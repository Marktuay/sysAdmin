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809" firstSheet="0" activeTab="6" autoFilterDateGrouping="1"/>
  </bookViews>
  <sheets>
    <sheet xmlns:r="http://schemas.openxmlformats.org/officeDocument/2006/relationships" name="Necesidades2026" sheetId="1" state="visible" r:id="rId1"/>
    <sheet xmlns:r="http://schemas.openxmlformats.org/officeDocument/2006/relationships" name="PLAN 12.99" sheetId="2" state="visible" r:id="rId2"/>
    <sheet xmlns:r="http://schemas.openxmlformats.org/officeDocument/2006/relationships" name="PLAN 14.99" sheetId="3" state="visible" r:id="rId3"/>
    <sheet xmlns:r="http://schemas.openxmlformats.org/officeDocument/2006/relationships" name="PLAN 15.99" sheetId="4" state="visible" r:id="rId4"/>
    <sheet xmlns:r="http://schemas.openxmlformats.org/officeDocument/2006/relationships" name="PLAN 17.99 TRASPASO DE TIGO" sheetId="5" state="visible" r:id="rId5"/>
    <sheet xmlns:r="http://schemas.openxmlformats.org/officeDocument/2006/relationships" name="PLAN 25.99" sheetId="6" state="visible" r:id="rId6"/>
    <sheet xmlns:r="http://schemas.openxmlformats.org/officeDocument/2006/relationships" name="PLAN 34.99" sheetId="7" state="visible" r:id="rId7"/>
    <sheet xmlns:r="http://schemas.openxmlformats.org/officeDocument/2006/relationships" name="PLAN 50.99" sheetId="8" state="visible" r:id="rId8"/>
    <sheet xmlns:r="http://schemas.openxmlformats.org/officeDocument/2006/relationships" name="Hoja4" sheetId="9" state="hidden" r:id="rId9"/>
    <sheet xmlns:r="http://schemas.openxmlformats.org/officeDocument/2006/relationships" name="Hoja2" sheetId="10" state="hidden" r:id="rId10"/>
    <sheet xmlns:r="http://schemas.openxmlformats.org/officeDocument/2006/relationships" name="Hoja1" sheetId="11" state="hidden" r:id="rId11"/>
  </sheets>
  <definedNames>
    <definedName name="PLAN">#REF!</definedName>
    <definedName name="PLAN1">#REF!</definedName>
    <definedName name="PLAN12.99">'PLAN 12.99'!$A$1:$K$50</definedName>
    <definedName name="PLANES">#REF!</definedName>
    <definedName name="_xlnm._FilterDatabase" localSheetId="1" hidden="1">'PLAN 12.99'!$A$1:$K$50</definedName>
    <definedName name="PLAN12.99" localSheetId="2">'PLAN 14.99'!$A$1:$K$25</definedName>
    <definedName name="_xlnm._FilterDatabase" localSheetId="2" hidden="1">'PLAN 14.99'!$A$1:$K$25</definedName>
    <definedName name="_xlnm._FilterDatabase" localSheetId="4" hidden="1">'PLAN 17.99 TRASPASO DE TIGO'!$B$1:$J$5</definedName>
    <definedName name="_xlnm._FilterDatabase" localSheetId="5" hidden="1">'PLAN 25.99'!$B$1:$P$25</definedName>
    <definedName name="_xlnm._FilterDatabase" localSheetId="6" hidden="1">'PLAN 34.99'!$B$1:$O$22</definedName>
    <definedName name="_xlnm._FilterDatabase" localSheetId="7" hidden="1">'PLAN 50.99'!$B$1:$O$2</definedName>
    <definedName name="_xlnm._FilterDatabase" localSheetId="8" hidden="1">'Hoja4'!$A$1:$B$85</definedName>
    <definedName name="_xlnm._FilterDatabase" localSheetId="10" hidden="1">'Hoja1'!$A$1:$A$1000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_-&quot;$&quot;* #,##0.00_-;\-&quot;$&quot;* #,##0.00_-;_-&quot;$&quot;* &quot;-&quot;??_-;_-@"/>
  </numFmts>
  <fonts count="34">
    <font>
      <name val="Calibri"/>
      <color theme="1"/>
      <sz val="11"/>
      <scheme val="minor"/>
    </font>
    <font>
      <name val="Arial"/>
      <b val="1"/>
      <color rgb="FFFFFFFF"/>
      <sz val="11"/>
    </font>
    <font>
      <name val="Arial"/>
      <color rgb="FF222222"/>
      <sz val="11"/>
    </font>
    <font>
      <name val="Calibri"/>
      <color theme="1"/>
      <sz val="11"/>
    </font>
    <font>
      <name val="Arial"/>
      <b val="1"/>
      <color rgb="FF222222"/>
      <sz val="10"/>
    </font>
    <font>
      <name val="Arial"/>
      <b val="1"/>
      <color theme="1"/>
      <sz val="10"/>
    </font>
    <font>
      <name val="Calibri"/>
      <color rgb="FF3D85C6"/>
      <sz val="11"/>
    </font>
    <font>
      <name val="Calibri"/>
      <b val="1"/>
      <color rgb="FF3C78D8"/>
      <sz val="11"/>
    </font>
    <font>
      <name val="Calibri"/>
      <b val="1"/>
      <color theme="1"/>
      <sz val="11"/>
    </font>
    <font>
      <name val="Calibri"/>
      <b val="1"/>
      <color rgb="FFFFFFFF"/>
      <sz val="11"/>
    </font>
    <font>
      <name val="Calibri"/>
      <b val="1"/>
      <color rgb="FF4A86E8"/>
      <sz val="11"/>
    </font>
    <font>
      <name val="Calibri"/>
      <b val="1"/>
      <color rgb="FF6AA84F"/>
      <sz val="11"/>
    </font>
    <font>
      <name val="Verdana"/>
      <b val="1"/>
      <color theme="1"/>
      <sz val="8"/>
    </font>
    <font>
      <name val="Calibri"/>
      <color theme="1"/>
      <sz val="11"/>
    </font>
    <font>
      <name val="Calibri"/>
      <color theme="1"/>
      <sz val="9"/>
    </font>
    <font>
      <name val="Calibri"/>
      <color rgb="FF000000"/>
      <sz val="9"/>
    </font>
    <font>
      <name val="Calibri"/>
      <color rgb="FF222222"/>
      <sz val="9"/>
    </font>
    <font>
      <name val="Calibri"/>
      <color rgb="FFFF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theme="1"/>
      <sz val="12"/>
    </font>
    <font>
      <name val="Calibri"/>
      <b val="1"/>
      <color theme="1"/>
      <sz val="11"/>
    </font>
    <font>
      <name val="Quattrocento Sans"/>
      <color theme="1"/>
      <sz val="9"/>
    </font>
    <font>
      <name val="Verdana"/>
      <color theme="1"/>
      <sz val="8"/>
    </font>
    <font>
      <name val="Calibri"/>
      <b val="1"/>
      <color rgb="FF000000"/>
      <sz val="9"/>
    </font>
    <font>
      <name val="Verdana"/>
      <b val="1"/>
      <color theme="1"/>
      <sz val="7"/>
    </font>
    <font>
      <name val="Verdana"/>
      <color rgb="FF000000"/>
      <sz val="7"/>
    </font>
    <font>
      <name val="Verdana"/>
      <color theme="1"/>
      <sz val="7"/>
    </font>
    <font>
      <name val="Quattrocento Sans"/>
      <color theme="1"/>
      <sz val="8"/>
    </font>
    <font>
      <name val="Quattrocento Sans"/>
      <color rgb="FF000000"/>
      <sz val="8"/>
    </font>
    <font>
      <name val="Calibri"/>
      <b val="1"/>
      <color rgb="FFFF0000"/>
      <sz val="11"/>
    </font>
    <font>
      <name val="Calibri"/>
      <sz val="11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</fonts>
  <fills count="29">
    <fill>
      <patternFill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6FA8DC"/>
        <bgColor rgb="FF6FA8DC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93C47D"/>
        <bgColor rgb="FF93C47D"/>
      </patternFill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  <fill>
      <patternFill patternType="solid">
        <fgColor rgb="FFB7E1CD"/>
        <bgColor rgb="FFB7E1CD"/>
      </patternFill>
    </fill>
    <fill>
      <patternFill patternType="solid">
        <fgColor rgb="FFA8D08D"/>
        <bgColor rgb="FFA8D08D"/>
      </patternFill>
    </fill>
    <fill>
      <patternFill patternType="solid">
        <fgColor rgb="FFFFE598"/>
        <bgColor rgb="FFFFE598"/>
      </patternFill>
    </fill>
    <fill>
      <patternFill patternType="solid">
        <fgColor rgb="FFFFE599"/>
        <bgColor rgb="FFFFE599"/>
      </patternFill>
    </fill>
    <fill>
      <patternFill patternType="solid">
        <fgColor rgb="FFB4C6E7"/>
        <bgColor rgb="FFB4C6E7"/>
      </patternFill>
    </fill>
    <fill>
      <patternFill patternType="solid">
        <fgColor rgb="FF44546A"/>
        <bgColor rgb="FF44546A"/>
      </patternFill>
    </fill>
    <fill>
      <patternFill patternType="solid">
        <fgColor rgb="FFC5E0B3"/>
        <bgColor rgb="FFC5E0B3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93C47D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B4C6E7"/>
      </patternFill>
    </fill>
    <fill>
      <patternFill patternType="solid">
        <fgColor rgb="FFFFFF00"/>
        <bgColor rgb="FFFF0000"/>
      </patternFill>
    </fill>
    <fill>
      <patternFill patternType="solid">
        <fgColor rgb="FFFFFF00"/>
        <bgColor rgb="FFFFFFFF"/>
      </patternFill>
    </fill>
    <fill>
      <patternFill patternType="solid">
        <fgColor theme="9" tint="0.3999755851924192"/>
        <bgColor theme="0"/>
      </patternFill>
    </fill>
    <fill>
      <patternFill patternType="solid">
        <fgColor theme="9" tint="0.3999755851924192"/>
        <bgColor rgb="FF93C47D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FF00"/>
        <bgColor rgb="FF9FC5E8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13"/>
  </cellStyleXfs>
  <cellXfs count="28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4" fontId="3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3" fontId="3" fillId="0" borderId="1" applyAlignment="1" pivotButton="0" quotePrefix="0" xfId="0">
      <alignment horizontal="center"/>
    </xf>
    <xf numFmtId="0" fontId="3" fillId="0" borderId="1" pivotButton="0" quotePrefix="0" xfId="0"/>
    <xf numFmtId="4" fontId="6" fillId="0" borderId="1" applyAlignment="1" pivotButton="0" quotePrefix="0" xfId="0">
      <alignment horizontal="center"/>
    </xf>
    <xf numFmtId="4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4" fontId="3" fillId="0" borderId="1" pivotButton="0" quotePrefix="0" xfId="0"/>
    <xf numFmtId="0" fontId="8" fillId="0" borderId="0" applyAlignment="1" pivotButton="0" quotePrefix="0" xfId="0">
      <alignment horizontal="center"/>
    </xf>
    <xf numFmtId="0" fontId="3" fillId="0" borderId="0" pivotButton="0" quotePrefix="0" xfId="0"/>
    <xf numFmtId="164" fontId="3" fillId="0" borderId="0" pivotButton="0" quotePrefix="0" xfId="0"/>
    <xf numFmtId="0" fontId="9" fillId="4" borderId="1" applyAlignment="1" pivotButton="0" quotePrefix="0" xfId="0">
      <alignment horizontal="center"/>
    </xf>
    <xf numFmtId="164" fontId="3" fillId="0" borderId="1" pivotButton="0" quotePrefix="0" xfId="0"/>
    <xf numFmtId="164" fontId="3" fillId="0" borderId="1" applyAlignment="1" pivotButton="0" quotePrefix="0" xfId="0">
      <alignment horizontal="right"/>
    </xf>
    <xf numFmtId="0" fontId="8" fillId="0" borderId="1" pivotButton="0" quotePrefix="0" xfId="0"/>
    <xf numFmtId="164" fontId="8" fillId="0" borderId="1" pivotButton="0" quotePrefix="0" xfId="0"/>
    <xf numFmtId="164" fontId="10" fillId="0" borderId="1" pivotButton="0" quotePrefix="0" xfId="0"/>
    <xf numFmtId="164" fontId="11" fillId="0" borderId="1" pivotButton="0" quotePrefix="0" xfId="0"/>
    <xf numFmtId="0" fontId="12" fillId="5" borderId="2" applyAlignment="1" pivotButton="0" quotePrefix="0" xfId="0">
      <alignment horizontal="center" vertical="center" wrapText="1"/>
    </xf>
    <xf numFmtId="0" fontId="12" fillId="5" borderId="2" applyAlignment="1" pivotButton="0" quotePrefix="0" xfId="0">
      <alignment horizontal="left" vertical="center"/>
    </xf>
    <xf numFmtId="0" fontId="12" fillId="5" borderId="1" applyAlignment="1" pivotButton="0" quotePrefix="0" xfId="0">
      <alignment horizontal="left" vertical="center"/>
    </xf>
    <xf numFmtId="0" fontId="12" fillId="5" borderId="1" applyAlignment="1" pivotButton="0" quotePrefix="0" xfId="0">
      <alignment horizontal="center" vertical="center"/>
    </xf>
    <xf numFmtId="49" fontId="12" fillId="5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3" fillId="0" borderId="1" pivotButton="0" quotePrefix="0" xfId="0"/>
    <xf numFmtId="0" fontId="12" fillId="5" borderId="3" applyAlignment="1" pivotButton="0" quotePrefix="0" xfId="0">
      <alignment horizontal="center" vertical="center" wrapText="1"/>
    </xf>
    <xf numFmtId="0" fontId="13" fillId="6" borderId="4" pivotButton="0" quotePrefix="0" xfId="0"/>
    <xf numFmtId="0" fontId="13" fillId="6" borderId="4" applyAlignment="1" pivotButton="0" quotePrefix="0" xfId="0">
      <alignment horizontal="center"/>
    </xf>
    <xf numFmtId="0" fontId="14" fillId="7" borderId="1" applyAlignment="1" pivotButton="0" quotePrefix="0" xfId="0">
      <alignment horizontal="left" wrapText="1"/>
    </xf>
    <xf numFmtId="0" fontId="14" fillId="7" borderId="1" applyAlignment="1" pivotButton="0" quotePrefix="0" xfId="0">
      <alignment horizontal="left" vertical="center" wrapText="1"/>
    </xf>
    <xf numFmtId="49" fontId="15" fillId="7" borderId="1" applyAlignment="1" pivotButton="0" quotePrefix="0" xfId="0">
      <alignment horizontal="center" wrapText="1"/>
    </xf>
    <xf numFmtId="49" fontId="14" fillId="7" borderId="1" applyAlignment="1" pivotButton="0" quotePrefix="0" xfId="0">
      <alignment horizontal="center" wrapText="1"/>
    </xf>
    <xf numFmtId="0" fontId="14" fillId="7" borderId="1" applyAlignment="1" pivotButton="0" quotePrefix="0" xfId="0">
      <alignment horizontal="center" wrapText="1"/>
    </xf>
    <xf numFmtId="0" fontId="14" fillId="7" borderId="1" applyAlignment="1" pivotButton="0" quotePrefix="0" xfId="0">
      <alignment horizontal="center"/>
    </xf>
    <xf numFmtId="0" fontId="13" fillId="8" borderId="1" pivotButton="0" quotePrefix="0" xfId="0"/>
    <xf numFmtId="0" fontId="13" fillId="8" borderId="5" pivotButton="0" quotePrefix="0" xfId="0"/>
    <xf numFmtId="0" fontId="14" fillId="7" borderId="1" applyAlignment="1" pivotButton="0" quotePrefix="0" xfId="0">
      <alignment horizontal="left"/>
    </xf>
    <xf numFmtId="0" fontId="14" fillId="7" borderId="1" applyAlignment="1" pivotButton="0" quotePrefix="0" xfId="0">
      <alignment horizontal="left" vertical="center"/>
    </xf>
    <xf numFmtId="0" fontId="3" fillId="7" borderId="0" pivotButton="0" quotePrefix="0" xfId="0"/>
    <xf numFmtId="0" fontId="14" fillId="7" borderId="2" pivotButton="0" quotePrefix="0" xfId="0"/>
    <xf numFmtId="0" fontId="14" fillId="7" borderId="1" pivotButton="0" quotePrefix="0" xfId="0"/>
    <xf numFmtId="0" fontId="13" fillId="0" borderId="6" pivotButton="0" quotePrefix="0" xfId="0"/>
    <xf numFmtId="0" fontId="16" fillId="7" borderId="2" pivotButton="0" quotePrefix="0" xfId="0"/>
    <xf numFmtId="49" fontId="14" fillId="7" borderId="1" applyAlignment="1" pivotButton="0" quotePrefix="0" xfId="0">
      <alignment horizontal="left" wrapText="1"/>
    </xf>
    <xf numFmtId="0" fontId="13" fillId="6" borderId="1" pivotButton="0" quotePrefix="0" xfId="0"/>
    <xf numFmtId="0" fontId="13" fillId="6" borderId="5" pivotButton="0" quotePrefix="0" xfId="0"/>
    <xf numFmtId="0" fontId="14" fillId="7" borderId="2" applyAlignment="1" pivotButton="0" quotePrefix="0" xfId="0">
      <alignment horizontal="left"/>
    </xf>
    <xf numFmtId="0" fontId="17" fillId="8" borderId="1" pivotButton="0" quotePrefix="0" xfId="0"/>
    <xf numFmtId="0" fontId="17" fillId="8" borderId="5" pivotButton="0" quotePrefix="0" xfId="0"/>
    <xf numFmtId="0" fontId="14" fillId="7" borderId="2" applyAlignment="1" pivotButton="0" quotePrefix="0" xfId="0">
      <alignment horizontal="left" wrapText="1"/>
    </xf>
    <xf numFmtId="0" fontId="14" fillId="7" borderId="2" applyAlignment="1" pivotButton="0" quotePrefix="0" xfId="0">
      <alignment horizontal="center" wrapText="1"/>
    </xf>
    <xf numFmtId="0" fontId="14" fillId="7" borderId="2" applyAlignment="1" pivotButton="0" quotePrefix="0" xfId="0">
      <alignment horizontal="left" vertical="center"/>
    </xf>
    <xf numFmtId="0" fontId="17" fillId="6" borderId="4" pivotButton="0" quotePrefix="0" xfId="0"/>
    <xf numFmtId="0" fontId="13" fillId="7" borderId="1" pivotButton="0" quotePrefix="0" xfId="0"/>
    <xf numFmtId="0" fontId="13" fillId="7" borderId="6" pivotButton="0" quotePrefix="0" xfId="0"/>
    <xf numFmtId="0" fontId="14" fillId="7" borderId="2" applyAlignment="1" pivotButton="0" quotePrefix="0" xfId="0">
      <alignment vertical="center" wrapText="1"/>
    </xf>
    <xf numFmtId="0" fontId="14" fillId="7" borderId="1" applyAlignment="1" pivotButton="0" quotePrefix="0" xfId="0">
      <alignment vertical="center"/>
    </xf>
    <xf numFmtId="49" fontId="15" fillId="7" borderId="1" applyAlignment="1" pivotButton="0" quotePrefix="0" xfId="0">
      <alignment horizontal="center" vertical="center" wrapText="1"/>
    </xf>
    <xf numFmtId="49" fontId="14" fillId="7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/>
    </xf>
    <xf numFmtId="0" fontId="13" fillId="7" borderId="5" pivotButton="0" quotePrefix="0" xfId="0"/>
    <xf numFmtId="0" fontId="13" fillId="0" borderId="0" pivotButton="0" quotePrefix="0" xfId="0"/>
    <xf numFmtId="0" fontId="14" fillId="7" borderId="4" applyAlignment="1" pivotButton="0" quotePrefix="0" xfId="0">
      <alignment horizontal="left"/>
    </xf>
    <xf numFmtId="0" fontId="18" fillId="6" borderId="4" applyAlignment="1" pivotButton="0" quotePrefix="0" xfId="0">
      <alignment horizontal="center"/>
    </xf>
    <xf numFmtId="49" fontId="15" fillId="7" borderId="1" applyAlignment="1" pivotButton="0" quotePrefix="0" xfId="0">
      <alignment horizontal="center"/>
    </xf>
    <xf numFmtId="0" fontId="13" fillId="3" borderId="4" applyAlignment="1" pivotButton="0" quotePrefix="0" xfId="0">
      <alignment horizontal="center"/>
    </xf>
    <xf numFmtId="0" fontId="14" fillId="9" borderId="1" applyAlignment="1" pivotButton="0" quotePrefix="0" xfId="0">
      <alignment horizontal="left"/>
    </xf>
    <xf numFmtId="0" fontId="14" fillId="9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left" vertical="center"/>
    </xf>
    <xf numFmtId="49" fontId="15" fillId="9" borderId="1" applyAlignment="1" pivotButton="0" quotePrefix="0" xfId="0">
      <alignment horizontal="center" wrapText="1"/>
    </xf>
    <xf numFmtId="49" fontId="15" fillId="9" borderId="1" applyAlignment="1" pivotButton="0" quotePrefix="0" xfId="0">
      <alignment horizontal="center"/>
    </xf>
    <xf numFmtId="0" fontId="14" fillId="9" borderId="1" applyAlignment="1" pivotButton="0" quotePrefix="0" xfId="0">
      <alignment horizontal="center" wrapText="1"/>
    </xf>
    <xf numFmtId="0" fontId="14" fillId="9" borderId="1" applyAlignment="1" pivotButton="0" quotePrefix="0" xfId="0">
      <alignment horizontal="center"/>
    </xf>
    <xf numFmtId="0" fontId="3" fillId="9" borderId="0" pivotButton="0" quotePrefix="0" xfId="0"/>
    <xf numFmtId="0" fontId="13" fillId="3" borderId="4" pivotButton="0" quotePrefix="0" xfId="0"/>
    <xf numFmtId="0" fontId="3" fillId="3" borderId="0" pivotButton="0" quotePrefix="0" xfId="0"/>
    <xf numFmtId="0" fontId="15" fillId="7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left"/>
    </xf>
    <xf numFmtId="0" fontId="14" fillId="10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left" vertical="center"/>
    </xf>
    <xf numFmtId="49" fontId="15" fillId="10" borderId="1" applyAlignment="1" pivotButton="0" quotePrefix="0" xfId="0">
      <alignment horizontal="center" wrapText="1"/>
    </xf>
    <xf numFmtId="49" fontId="15" fillId="10" borderId="1" applyAlignment="1" pivotButton="0" quotePrefix="0" xfId="0">
      <alignment horizontal="center"/>
    </xf>
    <xf numFmtId="0" fontId="14" fillId="10" borderId="1" applyAlignment="1" pivotButton="0" quotePrefix="0" xfId="0">
      <alignment horizontal="center" wrapText="1"/>
    </xf>
    <xf numFmtId="0" fontId="14" fillId="10" borderId="1" applyAlignment="1" pivotButton="0" quotePrefix="0" xfId="0">
      <alignment horizontal="center"/>
    </xf>
    <xf numFmtId="0" fontId="3" fillId="10" borderId="0" pivotButton="0" quotePrefix="0" xfId="0"/>
    <xf numFmtId="0" fontId="18" fillId="3" borderId="4" applyAlignment="1" pivotButton="0" quotePrefix="0" xfId="0">
      <alignment horizontal="center"/>
    </xf>
    <xf numFmtId="0" fontId="15" fillId="7" borderId="1" applyAlignment="1" pivotButton="0" quotePrefix="0" xfId="0">
      <alignment horizontal="left"/>
    </xf>
    <xf numFmtId="0" fontId="15" fillId="7" borderId="1" applyAlignment="1" pivotButton="0" quotePrefix="0" xfId="0">
      <alignment horizontal="left" vertical="center" wrapText="1"/>
    </xf>
    <xf numFmtId="0" fontId="15" fillId="7" borderId="1" applyAlignment="1" pivotButton="0" quotePrefix="0" xfId="0">
      <alignment horizontal="left" vertical="center"/>
    </xf>
    <xf numFmtId="0" fontId="15" fillId="7" borderId="1" applyAlignment="1" pivotButton="0" quotePrefix="0" xfId="0">
      <alignment horizontal="center" wrapText="1"/>
    </xf>
    <xf numFmtId="0" fontId="15" fillId="7" borderId="1" applyAlignment="1" pivotButton="0" quotePrefix="0" xfId="0">
      <alignment horizontal="center"/>
    </xf>
    <xf numFmtId="0" fontId="19" fillId="0" borderId="0" pivotButton="0" quotePrefix="0" xfId="0"/>
    <xf numFmtId="0" fontId="18" fillId="6" borderId="4" pivotButton="0" quotePrefix="0" xfId="0"/>
    <xf numFmtId="0" fontId="13" fillId="3" borderId="7" applyAlignment="1" pivotButton="0" quotePrefix="0" xfId="0">
      <alignment horizontal="center"/>
    </xf>
    <xf numFmtId="0" fontId="13" fillId="11" borderId="1" applyAlignment="1" pivotButton="0" quotePrefix="0" xfId="0">
      <alignment horizontal="center" vertical="center"/>
    </xf>
    <xf numFmtId="0" fontId="14" fillId="7" borderId="8" applyAlignment="1" pivotButton="0" quotePrefix="0" xfId="0">
      <alignment horizontal="left"/>
    </xf>
    <xf numFmtId="0" fontId="14" fillId="7" borderId="9" applyAlignment="1" pivotButton="0" quotePrefix="0" xfId="0">
      <alignment horizontal="left" vertical="center" wrapText="1"/>
    </xf>
    <xf numFmtId="0" fontId="13" fillId="6" borderId="7" applyAlignment="1" pivotButton="0" quotePrefix="0" xfId="0">
      <alignment horizontal="center"/>
    </xf>
    <xf numFmtId="0" fontId="13" fillId="6" borderId="10" pivotButton="0" quotePrefix="0" xfId="0"/>
    <xf numFmtId="0" fontId="3" fillId="7" borderId="1" pivotButton="0" quotePrefix="0" xfId="0"/>
    <xf numFmtId="0" fontId="13" fillId="3" borderId="10" pivotButton="0" quotePrefix="0" xfId="0"/>
    <xf numFmtId="0" fontId="13" fillId="6" borderId="11" pivotButton="0" quotePrefix="0" xfId="0"/>
    <xf numFmtId="0" fontId="13" fillId="12" borderId="1" pivotButton="0" quotePrefix="0" xfId="0"/>
    <xf numFmtId="0" fontId="20" fillId="13" borderId="3" pivotButton="0" quotePrefix="0" xfId="0"/>
    <xf numFmtId="0" fontId="13" fillId="13" borderId="3" pivotButton="0" quotePrefix="0" xfId="0"/>
    <xf numFmtId="0" fontId="21" fillId="0" borderId="1" pivotButton="0" quotePrefix="0" xfId="0"/>
    <xf numFmtId="49" fontId="15" fillId="14" borderId="1" applyAlignment="1" pivotButton="0" quotePrefix="0" xfId="0">
      <alignment horizontal="center" wrapText="1"/>
    </xf>
    <xf numFmtId="49" fontId="14" fillId="14" borderId="1" applyAlignment="1" pivotButton="0" quotePrefix="0" xfId="0">
      <alignment horizontal="center" wrapText="1"/>
    </xf>
    <xf numFmtId="0" fontId="14" fillId="14" borderId="1" applyAlignment="1" pivotButton="0" quotePrefix="0" xfId="0">
      <alignment horizontal="center" wrapText="1"/>
    </xf>
    <xf numFmtId="0" fontId="14" fillId="14" borderId="1" applyAlignment="1" pivotButton="0" quotePrefix="0" xfId="0">
      <alignment horizontal="center"/>
    </xf>
    <xf numFmtId="0" fontId="13" fillId="14" borderId="1" pivotButton="0" quotePrefix="0" xfId="0"/>
    <xf numFmtId="0" fontId="13" fillId="14" borderId="5" pivotButton="0" quotePrefix="0" xfId="0"/>
    <xf numFmtId="0" fontId="14" fillId="10" borderId="2" pivotButton="0" quotePrefix="0" xfId="0"/>
    <xf numFmtId="0" fontId="13" fillId="10" borderId="1" pivotButton="0" quotePrefix="0" xfId="0"/>
    <xf numFmtId="0" fontId="13" fillId="10" borderId="6" pivotButton="0" quotePrefix="0" xfId="0"/>
    <xf numFmtId="0" fontId="16" fillId="10" borderId="2" pivotButton="0" quotePrefix="0" xfId="0"/>
    <xf numFmtId="0" fontId="13" fillId="10" borderId="5" pivotButton="0" quotePrefix="0" xfId="0"/>
    <xf numFmtId="0" fontId="14" fillId="10" borderId="9" applyAlignment="1" pivotButton="0" quotePrefix="0" xfId="0">
      <alignment horizontal="left" vertical="center" wrapText="1"/>
    </xf>
    <xf numFmtId="0" fontId="14" fillId="7" borderId="12" applyAlignment="1" pivotButton="0" quotePrefix="0" xfId="0">
      <alignment horizontal="center" wrapText="1"/>
    </xf>
    <xf numFmtId="0" fontId="13" fillId="6" borderId="13" pivotButton="0" quotePrefix="0" xfId="0"/>
    <xf numFmtId="0" fontId="3" fillId="13" borderId="1" pivotButton="0" quotePrefix="0" xfId="0"/>
    <xf numFmtId="0" fontId="13" fillId="13" borderId="1" pivotButton="0" quotePrefix="0" xfId="0"/>
    <xf numFmtId="0" fontId="12" fillId="5" borderId="14" applyAlignment="1" pivotButton="0" quotePrefix="0" xfId="0">
      <alignment horizontal="left" vertical="center"/>
    </xf>
    <xf numFmtId="0" fontId="12" fillId="5" borderId="15" applyAlignment="1" pivotButton="0" quotePrefix="0" xfId="0">
      <alignment horizontal="center" vertical="center" wrapText="1"/>
    </xf>
    <xf numFmtId="49" fontId="12" fillId="5" borderId="15" applyAlignment="1" pivotButton="0" quotePrefix="0" xfId="0">
      <alignment horizontal="center" vertical="center" wrapText="1"/>
    </xf>
    <xf numFmtId="0" fontId="12" fillId="5" borderId="15" applyAlignment="1" pivotButton="0" quotePrefix="0" xfId="0">
      <alignment horizontal="center" vertical="center"/>
    </xf>
    <xf numFmtId="0" fontId="22" fillId="7" borderId="1" applyAlignment="1" pivotButton="0" quotePrefix="0" xfId="0">
      <alignment horizontal="left" vertical="center" wrapText="1"/>
    </xf>
    <xf numFmtId="0" fontId="15" fillId="7" borderId="1" applyAlignment="1" pivotButton="0" quotePrefix="0" xfId="0">
      <alignment horizontal="right" wrapText="1"/>
    </xf>
    <xf numFmtId="0" fontId="14" fillId="10" borderId="1" pivotButton="0" quotePrefix="0" xfId="0"/>
    <xf numFmtId="0" fontId="22" fillId="10" borderId="1" applyAlignment="1" pivotButton="0" quotePrefix="0" xfId="0">
      <alignment horizontal="left" vertical="center" wrapText="1"/>
    </xf>
    <xf numFmtId="0" fontId="15" fillId="10" borderId="1" applyAlignment="1" pivotButton="0" quotePrefix="0" xfId="0">
      <alignment horizontal="right" wrapText="1"/>
    </xf>
    <xf numFmtId="0" fontId="15" fillId="7" borderId="0" applyAlignment="1" pivotButton="0" quotePrefix="0" xfId="0">
      <alignment horizontal="center"/>
    </xf>
    <xf numFmtId="0" fontId="20" fillId="13" borderId="15" pivotButton="0" quotePrefix="0" xfId="0"/>
    <xf numFmtId="0" fontId="17" fillId="3" borderId="4" applyAlignment="1" pivotButton="0" quotePrefix="0" xfId="0">
      <alignment vertical="center"/>
    </xf>
    <xf numFmtId="0" fontId="12" fillId="5" borderId="14" applyAlignment="1" pivotButton="0" quotePrefix="0" xfId="0">
      <alignment horizontal="left" vertical="center" wrapText="1"/>
    </xf>
    <xf numFmtId="0" fontId="23" fillId="5" borderId="14" applyAlignment="1" pivotButton="0" quotePrefix="0" xfId="0">
      <alignment horizontal="left" vertical="center"/>
    </xf>
    <xf numFmtId="0" fontId="12" fillId="5" borderId="15" applyAlignment="1" pivotButton="0" quotePrefix="0" xfId="0">
      <alignment horizontal="left" vertical="center"/>
    </xf>
    <xf numFmtId="0" fontId="15" fillId="7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/>
    </xf>
    <xf numFmtId="0" fontId="15" fillId="10" borderId="1" applyAlignment="1" pivotButton="0" quotePrefix="0" xfId="0">
      <alignment horizontal="left" vertical="center"/>
    </xf>
    <xf numFmtId="0" fontId="15" fillId="10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left" vertical="center" wrapText="1"/>
    </xf>
    <xf numFmtId="0" fontId="15" fillId="10" borderId="1" applyAlignment="1" pivotButton="0" quotePrefix="0" xfId="0">
      <alignment horizontal="center" wrapText="1"/>
    </xf>
    <xf numFmtId="0" fontId="15" fillId="10" borderId="1" applyAlignment="1" pivotButton="0" quotePrefix="0" xfId="0">
      <alignment horizontal="center"/>
    </xf>
    <xf numFmtId="0" fontId="21" fillId="13" borderId="1" pivotButton="0" quotePrefix="0" xfId="0"/>
    <xf numFmtId="0" fontId="21" fillId="13" borderId="5" pivotButton="0" quotePrefix="0" xfId="0"/>
    <xf numFmtId="0" fontId="21" fillId="6" borderId="4" pivotButton="0" quotePrefix="0" xfId="0"/>
    <xf numFmtId="0" fontId="24" fillId="7" borderId="1" applyAlignment="1" pivotButton="0" quotePrefix="0" xfId="0">
      <alignment horizontal="center" vertical="center" wrapText="1"/>
    </xf>
    <xf numFmtId="0" fontId="15" fillId="14" borderId="1" applyAlignment="1" pivotButton="0" quotePrefix="0" xfId="0">
      <alignment horizontal="left"/>
    </xf>
    <xf numFmtId="0" fontId="15" fillId="14" borderId="1" applyAlignment="1" pivotButton="0" quotePrefix="0" xfId="0">
      <alignment horizontal="left" vertical="center"/>
    </xf>
    <xf numFmtId="0" fontId="15" fillId="14" borderId="1" applyAlignment="1" pivotButton="0" quotePrefix="0" xfId="0">
      <alignment horizontal="center" vertical="center" wrapText="1"/>
    </xf>
    <xf numFmtId="0" fontId="15" fillId="14" borderId="1" applyAlignment="1" pivotButton="0" quotePrefix="0" xfId="0">
      <alignment horizontal="left" vertical="center" wrapText="1"/>
    </xf>
    <xf numFmtId="0" fontId="15" fillId="14" borderId="1" applyAlignment="1" pivotButton="0" quotePrefix="0" xfId="0">
      <alignment horizontal="center" wrapText="1"/>
    </xf>
    <xf numFmtId="0" fontId="15" fillId="14" borderId="1" applyAlignment="1" pivotButton="0" quotePrefix="0" xfId="0">
      <alignment horizontal="center"/>
    </xf>
    <xf numFmtId="0" fontId="3" fillId="14" borderId="0" pivotButton="0" quotePrefix="0" xfId="0"/>
    <xf numFmtId="0" fontId="13" fillId="0" borderId="0" applyAlignment="1" pivotButton="0" quotePrefix="0" xfId="0">
      <alignment horizontal="center" vertical="center"/>
    </xf>
    <xf numFmtId="0" fontId="25" fillId="5" borderId="14" applyAlignment="1" pivotButton="0" quotePrefix="0" xfId="0">
      <alignment horizontal="left" vertical="center" wrapText="1"/>
    </xf>
    <xf numFmtId="0" fontId="14" fillId="7" borderId="16" applyAlignment="1" pivotButton="0" quotePrefix="0" xfId="0">
      <alignment horizontal="left"/>
    </xf>
    <xf numFmtId="0" fontId="26" fillId="15" borderId="1" applyAlignment="1" pivotButton="0" quotePrefix="0" xfId="0">
      <alignment horizontal="center"/>
    </xf>
    <xf numFmtId="0" fontId="13" fillId="16" borderId="4" pivotButton="0" quotePrefix="0" xfId="0"/>
    <xf numFmtId="0" fontId="26" fillId="16" borderId="1" applyAlignment="1" pivotButton="0" quotePrefix="0" xfId="0">
      <alignment horizontal="center"/>
    </xf>
    <xf numFmtId="0" fontId="14" fillId="7" borderId="8" pivotButton="0" quotePrefix="0" xfId="0"/>
    <xf numFmtId="0" fontId="14" fillId="7" borderId="4" applyAlignment="1" pivotButton="0" quotePrefix="0" xfId="0">
      <alignment horizontal="center" vertical="center" wrapText="1"/>
    </xf>
    <xf numFmtId="0" fontId="26" fillId="6" borderId="1" applyAlignment="1" pivotButton="0" quotePrefix="0" xfId="0">
      <alignment horizontal="center"/>
    </xf>
    <xf numFmtId="0" fontId="28" fillId="6" borderId="14" applyAlignment="1" pivotButton="0" quotePrefix="0" xfId="0">
      <alignment horizontal="left"/>
    </xf>
    <xf numFmtId="49" fontId="28" fillId="6" borderId="1" applyAlignment="1" pivotButton="0" quotePrefix="0" xfId="0">
      <alignment horizontal="center" wrapText="1"/>
    </xf>
    <xf numFmtId="0" fontId="16" fillId="0" borderId="1" pivotButton="0" quotePrefix="0" xfId="0"/>
    <xf numFmtId="0" fontId="28" fillId="6" borderId="9" applyAlignment="1" pivotButton="0" quotePrefix="0" xfId="0">
      <alignment horizontal="left"/>
    </xf>
    <xf numFmtId="0" fontId="28" fillId="6" borderId="2" applyAlignment="1" pivotButton="0" quotePrefix="0" xfId="0">
      <alignment horizontal="left"/>
    </xf>
    <xf numFmtId="0" fontId="28" fillId="6" borderId="2" applyAlignment="1" pivotButton="0" quotePrefix="0" xfId="0">
      <alignment horizontal="left" vertical="center"/>
    </xf>
    <xf numFmtId="0" fontId="28" fillId="6" borderId="1" applyAlignment="1" pivotButton="0" quotePrefix="0" xfId="0">
      <alignment horizontal="left"/>
    </xf>
    <xf numFmtId="0" fontId="29" fillId="6" borderId="2" applyAlignment="1" pivotButton="0" quotePrefix="0" xfId="0">
      <alignment horizontal="left"/>
    </xf>
    <xf numFmtId="49" fontId="29" fillId="6" borderId="1" applyAlignment="1" pivotButton="0" quotePrefix="0" xfId="0">
      <alignment horizontal="center" wrapText="1"/>
    </xf>
    <xf numFmtId="0" fontId="29" fillId="6" borderId="5" applyAlignment="1" pivotButton="0" quotePrefix="0" xfId="0">
      <alignment horizontal="left"/>
    </xf>
    <xf numFmtId="0" fontId="29" fillId="6" borderId="1" applyAlignment="1" pivotButton="0" quotePrefix="0" xfId="0">
      <alignment horizontal="left"/>
    </xf>
    <xf numFmtId="0" fontId="28" fillId="6" borderId="1" applyAlignment="1" pivotButton="0" quotePrefix="0" xfId="0">
      <alignment horizontal="center" vertical="center" wrapText="1"/>
    </xf>
    <xf numFmtId="0" fontId="28" fillId="6" borderId="17" applyAlignment="1" pivotButton="0" quotePrefix="0" xfId="0">
      <alignment horizontal="center" vertical="center" wrapText="1"/>
    </xf>
    <xf numFmtId="0" fontId="29" fillId="17" borderId="1" applyAlignment="1" pivotButton="0" quotePrefix="0" xfId="0">
      <alignment horizontal="left"/>
    </xf>
    <xf numFmtId="49" fontId="29" fillId="17" borderId="1" applyAlignment="1" pivotButton="0" quotePrefix="0" xfId="0">
      <alignment horizontal="center" wrapText="1"/>
    </xf>
    <xf numFmtId="0" fontId="28" fillId="17" borderId="1" applyAlignment="1" pivotButton="0" quotePrefix="0" xfId="0">
      <alignment horizontal="left"/>
    </xf>
    <xf numFmtId="49" fontId="28" fillId="17" borderId="1" applyAlignment="1" pivotButton="0" quotePrefix="0" xfId="0">
      <alignment horizontal="center" wrapText="1"/>
    </xf>
    <xf numFmtId="0" fontId="21" fillId="0" borderId="1" applyAlignment="1" pivotButton="0" quotePrefix="0" xfId="0">
      <alignment horizontal="center"/>
    </xf>
    <xf numFmtId="0" fontId="13" fillId="0" borderId="18" pivotButton="0" quotePrefix="0" xfId="0"/>
    <xf numFmtId="0" fontId="13" fillId="8" borderId="4" pivotButton="0" quotePrefix="0" xfId="0"/>
    <xf numFmtId="0" fontId="17" fillId="8" borderId="4" pivotButton="0" quotePrefix="0" xfId="0"/>
    <xf numFmtId="165" fontId="17" fillId="8" borderId="1" pivotButton="0" quotePrefix="0" xfId="0"/>
    <xf numFmtId="165" fontId="13" fillId="0" borderId="1" pivotButton="0" quotePrefix="0" xfId="0"/>
    <xf numFmtId="0" fontId="30" fillId="8" borderId="15" pivotButton="0" quotePrefix="0" xfId="0"/>
    <xf numFmtId="165" fontId="17" fillId="8" borderId="15" pivotButton="0" quotePrefix="0" xfId="0"/>
    <xf numFmtId="0" fontId="30" fillId="8" borderId="4" applyAlignment="1" pivotButton="0" quotePrefix="0" xfId="0">
      <alignment horizontal="center" vertical="center"/>
    </xf>
    <xf numFmtId="0" fontId="21" fillId="5" borderId="1" applyAlignment="1" pivotButton="0" quotePrefix="0" xfId="0">
      <alignment vertical="center"/>
    </xf>
    <xf numFmtId="0" fontId="21" fillId="5" borderId="1" applyAlignment="1" pivotButton="0" quotePrefix="0" xfId="0">
      <alignment horizontal="center"/>
    </xf>
    <xf numFmtId="0" fontId="13" fillId="18" borderId="4" pivotButton="0" quotePrefix="0" xfId="0"/>
    <xf numFmtId="0" fontId="13" fillId="18" borderId="20" pivotButton="0" quotePrefix="0" xfId="0"/>
    <xf numFmtId="0" fontId="13" fillId="18" borderId="3" pivotButton="0" quotePrefix="0" xfId="0"/>
    <xf numFmtId="165" fontId="13" fillId="18" borderId="1" pivotButton="0" quotePrefix="0" xfId="0"/>
    <xf numFmtId="165" fontId="21" fillId="0" borderId="1" pivotButton="0" quotePrefix="0" xfId="0"/>
    <xf numFmtId="49" fontId="12" fillId="6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/>
    </xf>
    <xf numFmtId="49" fontId="26" fillId="6" borderId="1" applyAlignment="1" pivotButton="0" quotePrefix="0" xfId="0">
      <alignment horizontal="center" wrapText="1"/>
    </xf>
    <xf numFmtId="0" fontId="26" fillId="6" borderId="1" applyAlignment="1" pivotButton="0" quotePrefix="0" xfId="0">
      <alignment horizontal="center" wrapText="1"/>
    </xf>
    <xf numFmtId="14" fontId="26" fillId="6" borderId="1" applyAlignment="1" pivotButton="0" quotePrefix="0" xfId="0">
      <alignment horizontal="center" wrapText="1"/>
    </xf>
    <xf numFmtId="0" fontId="14" fillId="19" borderId="2" applyAlignment="1" pivotButton="0" quotePrefix="0" xfId="0">
      <alignment horizontal="left" wrapText="1"/>
    </xf>
    <xf numFmtId="0" fontId="14" fillId="19" borderId="2" applyAlignment="1" pivotButton="0" quotePrefix="0" xfId="0">
      <alignment horizontal="center" wrapText="1"/>
    </xf>
    <xf numFmtId="0" fontId="14" fillId="19" borderId="1" pivotButton="0" quotePrefix="0" xfId="0"/>
    <xf numFmtId="0" fontId="14" fillId="19" borderId="1" applyAlignment="1" pivotButton="0" quotePrefix="0" xfId="0">
      <alignment horizontal="left"/>
    </xf>
    <xf numFmtId="49" fontId="15" fillId="19" borderId="1" applyAlignment="1" pivotButton="0" quotePrefix="0" xfId="0">
      <alignment horizontal="center" wrapText="1"/>
    </xf>
    <xf numFmtId="0" fontId="14" fillId="19" borderId="1" applyAlignment="1" pivotButton="0" quotePrefix="0" xfId="0">
      <alignment horizontal="center" wrapText="1"/>
    </xf>
    <xf numFmtId="0" fontId="14" fillId="19" borderId="1" applyAlignment="1" pivotButton="0" quotePrefix="0" xfId="0">
      <alignment horizontal="center"/>
    </xf>
    <xf numFmtId="0" fontId="13" fillId="20" borderId="4" applyAlignment="1" pivotButton="0" quotePrefix="0" xfId="0">
      <alignment horizontal="center"/>
    </xf>
    <xf numFmtId="0" fontId="15" fillId="19" borderId="1" applyAlignment="1" pivotButton="0" quotePrefix="0" xfId="0">
      <alignment horizontal="left" vertical="center"/>
    </xf>
    <xf numFmtId="0" fontId="15" fillId="19" borderId="1" applyAlignment="1" pivotButton="0" quotePrefix="0" xfId="0">
      <alignment horizontal="center" vertical="center" wrapText="1"/>
    </xf>
    <xf numFmtId="0" fontId="15" fillId="19" borderId="1" applyAlignment="1" pivotButton="0" quotePrefix="0" xfId="0">
      <alignment horizontal="left" vertical="center" wrapText="1"/>
    </xf>
    <xf numFmtId="0" fontId="15" fillId="19" borderId="1" applyAlignment="1" pivotButton="0" quotePrefix="0" xfId="0">
      <alignment horizontal="center" wrapText="1"/>
    </xf>
    <xf numFmtId="0" fontId="15" fillId="19" borderId="1" applyAlignment="1" pivotButton="0" quotePrefix="0" xfId="0">
      <alignment horizontal="center"/>
    </xf>
    <xf numFmtId="0" fontId="13" fillId="21" borderId="1" pivotButton="0" quotePrefix="0" xfId="0"/>
    <xf numFmtId="0" fontId="13" fillId="21" borderId="6" pivotButton="0" quotePrefix="0" xfId="0"/>
    <xf numFmtId="0" fontId="13" fillId="20" borderId="4" pivotButton="0" quotePrefix="0" xfId="0"/>
    <xf numFmtId="0" fontId="0" fillId="21" borderId="0" pivotButton="0" quotePrefix="0" xfId="0"/>
    <xf numFmtId="0" fontId="14" fillId="19" borderId="2" applyAlignment="1" pivotButton="0" quotePrefix="0" xfId="0">
      <alignment horizontal="left"/>
    </xf>
    <xf numFmtId="0" fontId="14" fillId="19" borderId="1" applyAlignment="1" pivotButton="0" quotePrefix="0" xfId="0">
      <alignment horizontal="left" vertical="center"/>
    </xf>
    <xf numFmtId="0" fontId="14" fillId="19" borderId="16" applyAlignment="1" pivotButton="0" quotePrefix="0" xfId="0">
      <alignment horizontal="left"/>
    </xf>
    <xf numFmtId="0" fontId="14" fillId="19" borderId="1" applyAlignment="1" pivotButton="0" quotePrefix="0" xfId="0">
      <alignment horizontal="center" vertical="center" wrapText="1"/>
    </xf>
    <xf numFmtId="0" fontId="13" fillId="19" borderId="1" pivotButton="0" quotePrefix="0" xfId="0"/>
    <xf numFmtId="0" fontId="13" fillId="19" borderId="5" pivotButton="0" quotePrefix="0" xfId="0"/>
    <xf numFmtId="0" fontId="14" fillId="19" borderId="8" applyAlignment="1" pivotButton="0" quotePrefix="0" xfId="0">
      <alignment horizontal="left"/>
    </xf>
    <xf numFmtId="0" fontId="13" fillId="20" borderId="4" applyAlignment="1" pivotButton="0" quotePrefix="0" xfId="0">
      <alignment vertical="center"/>
    </xf>
    <xf numFmtId="0" fontId="26" fillId="22" borderId="1" applyAlignment="1" pivotButton="0" quotePrefix="0" xfId="0">
      <alignment horizontal="center"/>
    </xf>
    <xf numFmtId="49" fontId="15" fillId="19" borderId="4" applyAlignment="1" pivotButton="0" quotePrefix="0" xfId="0">
      <alignment horizontal="center" wrapText="1"/>
    </xf>
    <xf numFmtId="0" fontId="13" fillId="21" borderId="0" pivotButton="0" quotePrefix="0" xfId="0"/>
    <xf numFmtId="0" fontId="27" fillId="22" borderId="1" applyAlignment="1" pivotButton="0" quotePrefix="0" xfId="0">
      <alignment horizontal="center"/>
    </xf>
    <xf numFmtId="0" fontId="3" fillId="3" borderId="7" applyAlignment="1" pivotButton="0" quotePrefix="0" xfId="0">
      <alignment horizontal="center"/>
    </xf>
    <xf numFmtId="0" fontId="13" fillId="24" borderId="4" applyAlignment="1" pivotButton="0" quotePrefix="0" xfId="0">
      <alignment horizontal="center"/>
    </xf>
    <xf numFmtId="0" fontId="16" fillId="19" borderId="2" pivotButton="0" quotePrefix="0" xfId="0"/>
    <xf numFmtId="0" fontId="17" fillId="19" borderId="1" pivotButton="0" quotePrefix="0" xfId="0"/>
    <xf numFmtId="0" fontId="17" fillId="19" borderId="5" pivotButton="0" quotePrefix="0" xfId="0"/>
    <xf numFmtId="0" fontId="13" fillId="24" borderId="4" pivotButton="0" quotePrefix="0" xfId="0"/>
    <xf numFmtId="49" fontId="14" fillId="19" borderId="1" applyAlignment="1" pivotButton="0" quotePrefix="0" xfId="0">
      <alignment horizontal="center" wrapText="1"/>
    </xf>
    <xf numFmtId="0" fontId="18" fillId="23" borderId="4" applyAlignment="1" pivotButton="0" quotePrefix="0" xfId="0">
      <alignment horizontal="center"/>
    </xf>
    <xf numFmtId="0" fontId="14" fillId="19" borderId="1" applyAlignment="1" pivotButton="0" quotePrefix="0" xfId="0">
      <alignment horizontal="left" vertical="center" wrapText="1"/>
    </xf>
    <xf numFmtId="0" fontId="3" fillId="19" borderId="0" pivotButton="0" quotePrefix="0" xfId="0"/>
    <xf numFmtId="0" fontId="3" fillId="24" borderId="0" pivotButton="0" quotePrefix="0" xfId="0"/>
    <xf numFmtId="0" fontId="22" fillId="19" borderId="1" applyAlignment="1" pivotButton="0" quotePrefix="0" xfId="0">
      <alignment horizontal="left" vertical="center" wrapText="1"/>
    </xf>
    <xf numFmtId="0" fontId="15" fillId="19" borderId="1" applyAlignment="1" pivotButton="0" quotePrefix="0" xfId="0">
      <alignment horizontal="right" wrapText="1"/>
    </xf>
    <xf numFmtId="0" fontId="15" fillId="19" borderId="8" applyAlignment="1" pivotButton="0" quotePrefix="0" xfId="0">
      <alignment horizontal="left"/>
    </xf>
    <xf numFmtId="0" fontId="26" fillId="22" borderId="4" applyAlignment="1" pivotButton="0" quotePrefix="0" xfId="0">
      <alignment horizontal="center"/>
    </xf>
    <xf numFmtId="0" fontId="14" fillId="19" borderId="17" applyAlignment="1" pivotButton="0" quotePrefix="0" xfId="0">
      <alignment horizontal="left" vertical="center"/>
    </xf>
    <xf numFmtId="0" fontId="15" fillId="19" borderId="17" applyAlignment="1" pivotButton="0" quotePrefix="0" xfId="0">
      <alignment horizontal="center" vertical="center" wrapText="1"/>
    </xf>
    <xf numFmtId="0" fontId="14" fillId="19" borderId="17" applyAlignment="1" pivotButton="0" quotePrefix="0" xfId="0">
      <alignment horizontal="center"/>
    </xf>
    <xf numFmtId="0" fontId="13" fillId="0" borderId="12" applyAlignment="1" pivotButton="0" quotePrefix="0" xfId="0">
      <alignment horizontal="left"/>
    </xf>
    <xf numFmtId="0" fontId="31" fillId="0" borderId="19" pivotButton="0" quotePrefix="0" xfId="0"/>
    <xf numFmtId="0" fontId="30" fillId="8" borderId="12" applyAlignment="1" pivotButton="0" quotePrefix="0" xfId="0">
      <alignment horizontal="center"/>
    </xf>
    <xf numFmtId="0" fontId="21" fillId="5" borderId="12" applyAlignment="1" pivotButton="0" quotePrefix="0" xfId="0">
      <alignment horizontal="center" vertical="center"/>
    </xf>
    <xf numFmtId="0" fontId="13" fillId="25" borderId="4" applyAlignment="1" pivotButton="0" quotePrefix="0" xfId="0">
      <alignment horizontal="center"/>
    </xf>
    <xf numFmtId="0" fontId="14" fillId="26" borderId="1" applyAlignment="1" pivotButton="0" quotePrefix="0" xfId="0">
      <alignment horizontal="left" vertical="center"/>
    </xf>
    <xf numFmtId="0" fontId="14" fillId="26" borderId="1" applyAlignment="1" pivotButton="0" quotePrefix="0" xfId="0">
      <alignment horizontal="center" wrapText="1"/>
    </xf>
    <xf numFmtId="0" fontId="14" fillId="26" borderId="1" applyAlignment="1" pivotButton="0" quotePrefix="0" xfId="0">
      <alignment horizontal="center"/>
    </xf>
    <xf numFmtId="0" fontId="0" fillId="27" borderId="0" pivotButton="0" quotePrefix="0" xfId="0"/>
    <xf numFmtId="0" fontId="13" fillId="25" borderId="4" pivotButton="0" quotePrefix="0" xfId="0"/>
    <xf numFmtId="0" fontId="15" fillId="19" borderId="1" applyAlignment="1" pivotButton="0" quotePrefix="0" xfId="0">
      <alignment horizontal="left"/>
    </xf>
    <xf numFmtId="0" fontId="13" fillId="19" borderId="6" pivotButton="0" quotePrefix="0" xfId="0"/>
    <xf numFmtId="0" fontId="15" fillId="28" borderId="1" applyAlignment="1" pivotButton="0" quotePrefix="0" xfId="0">
      <alignment horizontal="left"/>
    </xf>
    <xf numFmtId="0" fontId="15" fillId="28" borderId="1" applyAlignment="1" pivotButton="0" quotePrefix="0" xfId="0">
      <alignment horizontal="left" vertical="center"/>
    </xf>
    <xf numFmtId="0" fontId="24" fillId="28" borderId="1" applyAlignment="1" pivotButton="0" quotePrefix="0" xfId="0">
      <alignment horizontal="center" vertical="center" wrapText="1"/>
    </xf>
    <xf numFmtId="0" fontId="15" fillId="28" borderId="1" applyAlignment="1" pivotButton="0" quotePrefix="0" xfId="0">
      <alignment horizontal="left" vertical="center" wrapText="1"/>
    </xf>
    <xf numFmtId="49" fontId="15" fillId="28" borderId="1" applyAlignment="1" pivotButton="0" quotePrefix="0" xfId="0">
      <alignment horizontal="center" wrapText="1"/>
    </xf>
    <xf numFmtId="0" fontId="15" fillId="28" borderId="1" applyAlignment="1" pivotButton="0" quotePrefix="0" xfId="0">
      <alignment horizontal="center" wrapText="1"/>
    </xf>
    <xf numFmtId="0" fontId="15" fillId="28" borderId="1" applyAlignment="1" pivotButton="0" quotePrefix="0" xfId="0">
      <alignment horizontal="center"/>
    </xf>
    <xf numFmtId="0" fontId="13" fillId="28" borderId="1" pivotButton="0" quotePrefix="0" xfId="0"/>
    <xf numFmtId="0" fontId="13" fillId="28" borderId="6" pivotButton="0" quotePrefix="0" xfId="0"/>
    <xf numFmtId="0" fontId="15" fillId="28" borderId="1" applyAlignment="1" pivotButton="0" quotePrefix="0" xfId="0">
      <alignment horizontal="center" vertical="center"/>
    </xf>
    <xf numFmtId="0" fontId="14" fillId="26" borderId="16" applyAlignment="1" pivotButton="0" quotePrefix="0" xfId="0">
      <alignment horizontal="left"/>
    </xf>
    <xf numFmtId="0" fontId="15" fillId="26" borderId="1" applyAlignment="1" pivotButton="0" quotePrefix="0" xfId="0">
      <alignment horizontal="center" vertical="center" wrapText="1"/>
    </xf>
    <xf numFmtId="0" fontId="14" fillId="26" borderId="1" applyAlignment="1" pivotButton="0" quotePrefix="0" xfId="0">
      <alignment horizontal="center" vertical="center" wrapText="1"/>
    </xf>
    <xf numFmtId="0" fontId="13" fillId="25" borderId="1" pivotButton="0" quotePrefix="0" xfId="0"/>
    <xf numFmtId="0" fontId="13" fillId="27" borderId="1" pivotButton="0" quotePrefix="0" xfId="0"/>
    <xf numFmtId="0" fontId="13" fillId="27" borderId="6" pivotButton="0" quotePrefix="0" xfId="0"/>
    <xf numFmtId="0" fontId="30" fillId="8" borderId="1" applyAlignment="1" pivotButton="0" quotePrefix="0" xfId="0">
      <alignment horizontal="center"/>
    </xf>
    <xf numFmtId="0" fontId="0" fillId="0" borderId="19" pivotButton="0" quotePrefix="0" xfId="0"/>
    <xf numFmtId="0" fontId="21" fillId="5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/>
    </xf>
  </cellXfs>
  <cellStyles count="1">
    <cellStyle name="Normal" xfId="0" builtinId="0"/>
  </cellStyles>
  <dxfs count="7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Miuller Rivera</author>
  </authors>
  <commentList>
    <comment ref="B7" authorId="0" shapeId="0">
      <text>
        <t>Miuller Rivera:
Ver si es necesario que tenga telefono, yo considero que no</t>
      </text>
    </comment>
    <comment ref="B23" authorId="0" shapeId="0">
      <text>
        <t>Miuller Rivera:
Darle de baja</t>
      </text>
    </comment>
    <comment ref="B28" authorId="0" shapeId="0">
      <text>
        <t>Miuller Rivera:
Pasar a plan de $25</t>
      </text>
    </comment>
    <comment ref="C28" authorId="0" shapeId="0">
      <text>
        <t>Miuller Rivera:
Pasar a $25</t>
      </text>
    </comment>
    <comment ref="B45" authorId="0" shapeId="0">
      <text>
        <t>Miuller Rivera:
DARLE DE BAJA, VER CON RH</t>
      </text>
    </comment>
    <comment ref="B51" authorId="0" shapeId="0">
      <text>
        <t>Miuller Rivera:
PASAR A $25</t>
      </text>
    </comment>
  </commentList>
</comments>
</file>

<file path=xl/comments/comment2.xml><?xml version="1.0" encoding="utf-8"?>
<comments xmlns="http://schemas.openxmlformats.org/spreadsheetml/2006/main">
  <authors>
    <author>Miuller Rivera</author>
  </authors>
  <commentList>
    <comment ref="B6" authorId="0" shapeId="0">
      <text>
        <t xml:space="preserve">Miuller Rivera:
PASAR A $25
</t>
      </text>
    </comment>
  </commentList>
</comments>
</file>

<file path=xl/comments/comment3.xml><?xml version="1.0" encoding="utf-8"?>
<comments xmlns="http://schemas.openxmlformats.org/spreadsheetml/2006/main">
  <authors>
    <author>Miuller Rivera</author>
  </authors>
  <commentList>
    <comment ref="B6" authorId="0" shapeId="0">
      <text>
        <t xml:space="preserve">Miuller Rivera:
PASA A $35
</t>
      </text>
    </comment>
  </commentList>
</comments>
</file>

<file path=xl/comments/comment4.xml><?xml version="1.0" encoding="utf-8"?>
<comments xmlns="http://schemas.openxmlformats.org/spreadsheetml/2006/main">
  <authors>
    <author>Miuller Rivera</author>
  </authors>
  <commentList>
    <comment ref="B6" authorId="0" shapeId="0">
      <text>
        <t xml:space="preserve">Miuller Rivera:
PASAR A UN PLAN MENOR </t>
      </text>
    </comment>
    <comment ref="B10" authorId="0" shapeId="0">
      <text>
        <t xml:space="preserve">Miuller Rivera:
PASAR A UN PLAN MENOR
</t>
      </text>
    </comment>
    <comment ref="B14" authorId="0" shapeId="0">
      <text>
        <t xml:space="preserve">Miuller Rivera:
PASAR A UN PLAN MENOR
</t>
      </text>
    </comment>
    <comment ref="B15" authorId="0" shapeId="0">
      <text>
        <t xml:space="preserve">Miuller Rivera:
BAJAR A UN PLAN MENOR
</t>
      </text>
    </comment>
    <comment ref="B17" authorId="0" shapeId="0">
      <text>
        <t xml:space="preserve">Miuller Rivera:
PASAR A $35
</t>
      </text>
    </comment>
    <comment ref="B18" authorId="0" shapeId="0">
      <text>
        <t>Miuller Rivera:
PASAR A PLAN MENOR</t>
      </text>
    </comment>
    <comment ref="B20" authorId="0" shapeId="0">
      <text>
        <t xml:space="preserve">Miuller Rivera:
PASAR A UN PLAN MENOR
</t>
      </text>
    </comment>
    <comment ref="B21" authorId="0" shapeId="0">
      <text>
        <t xml:space="preserve">Miuller Rivera:
PASAR A UN PLAN MENOR
</t>
      </text>
    </comment>
  </commentList>
</comments>
</file>

<file path=xl/comments/comment5.xml><?xml version="1.0" encoding="utf-8"?>
<comments xmlns="http://schemas.openxmlformats.org/spreadsheetml/2006/main">
  <authors>
    <author>Miuller Rivera</author>
  </authors>
  <commentList>
    <comment ref="B3" authorId="0" shapeId="0">
      <text>
        <t xml:space="preserve">Miuller Rivera:
BAJAR A $25
</t>
      </text>
    </comment>
    <comment ref="B5" authorId="0" shapeId="0">
      <text>
        <t>Miuller Rivera:
PASAR A PLAN MENOR</t>
      </text>
    </comment>
    <comment ref="B11" authorId="0" shapeId="0">
      <text>
        <t>Miuller Rivera:
PASAR A $25</t>
      </text>
    </comment>
    <comment ref="B12" authorId="0" shapeId="0">
      <text>
        <t xml:space="preserve">Miuller Rivera:
PASAR A $25
</t>
      </text>
    </comment>
    <comment ref="B13" authorId="0" shapeId="0">
      <text>
        <t>Miuller Rivera:
PASAR A $25</t>
      </text>
    </comment>
    <comment ref="B14" authorId="0" shapeId="0">
      <text>
        <t xml:space="preserve">Miuller Rivera:
PASAR A $25
</t>
      </text>
    </comment>
    <comment ref="B15" authorId="0" shapeId="0">
      <text>
        <t xml:space="preserve">Miuller Rivera:
PASAR A $25
</t>
      </text>
    </comment>
    <comment ref="B18" authorId="0" shapeId="0">
      <text>
        <t xml:space="preserve">Miuller Rivera:
PASAR A $25
</t>
      </text>
    </comment>
    <comment ref="B23" authorId="0" shapeId="0">
      <text>
        <t xml:space="preserve">Miuller Rivera:
PASAR A $25
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G56"/>
  <sheetViews>
    <sheetView workbookViewId="0">
      <selection activeCell="A1" sqref="A1"/>
    </sheetView>
  </sheetViews>
  <sheetFormatPr baseColWidth="8" defaultColWidth="14.44140625" defaultRowHeight="15" customHeight="1"/>
  <cols>
    <col width="43.33203125" customWidth="1" min="1" max="1"/>
    <col width="18" customWidth="1" min="2" max="2"/>
    <col width="19.44140625" customWidth="1" min="3" max="3"/>
    <col width="21.88671875" customWidth="1" min="4" max="4"/>
    <col width="21" customWidth="1" min="5" max="5"/>
    <col width="20.44140625" customWidth="1" min="6" max="6"/>
    <col width="24.33203125" customWidth="1" min="7" max="7"/>
    <col width="30.33203125" customWidth="1" min="8" max="8"/>
  </cols>
  <sheetData>
    <row r="1">
      <c r="A1" s="1" t="inlineStr">
        <is>
          <t>Equipo actual</t>
        </is>
      </c>
      <c r="B1" s="1" t="inlineStr">
        <is>
          <t>Homologación</t>
        </is>
      </c>
      <c r="C1" s="1" t="inlineStr">
        <is>
          <t>Cantidad</t>
        </is>
      </c>
      <c r="D1" s="1" t="inlineStr">
        <is>
          <t>Precio</t>
        </is>
      </c>
      <c r="E1" s="1" t="inlineStr">
        <is>
          <t>Total C$</t>
        </is>
      </c>
      <c r="F1" s="1" t="inlineStr">
        <is>
          <t>Total $</t>
        </is>
      </c>
      <c r="G1" s="1" t="inlineStr">
        <is>
          <t>Personal</t>
        </is>
      </c>
    </row>
    <row r="2">
      <c r="A2" s="2" t="inlineStr">
        <is>
          <t>Alcatel/Azumi/ Samsung A12/ A03 / LG</t>
        </is>
      </c>
      <c r="B2" s="3" t="inlineStr">
        <is>
          <t>SAMSUNG GALAXY A06 128GB</t>
        </is>
      </c>
      <c r="C2" s="3" t="n">
        <v>22</v>
      </c>
      <c r="D2" s="4" t="inlineStr">
        <is>
          <t xml:space="preserve">C$ 4,870.67 </t>
        </is>
      </c>
      <c r="E2" s="4" t="n">
        <v>102284.07</v>
      </c>
      <c r="F2" s="4" t="n">
        <v>2793.12</v>
      </c>
      <c r="G2" s="5" t="inlineStr">
        <is>
          <t>Guardas de Seguridad</t>
        </is>
      </c>
    </row>
    <row r="3">
      <c r="A3" s="3" t="inlineStr">
        <is>
          <t>Samsung A12/A03</t>
        </is>
      </c>
      <c r="B3" s="3" t="inlineStr">
        <is>
          <t>SAMSUNG GALAXY A06 128GB</t>
        </is>
      </c>
      <c r="C3" s="3" t="n">
        <v>22</v>
      </c>
      <c r="D3" s="4" t="inlineStr">
        <is>
          <t xml:space="preserve">C$ 4,870.67 </t>
        </is>
      </c>
      <c r="E3" s="4" t="n">
        <v>102284.07</v>
      </c>
      <c r="F3" s="4" t="n">
        <v>2793.12</v>
      </c>
      <c r="G3" s="5" t="inlineStr">
        <is>
          <t>Personal Operativo</t>
        </is>
      </c>
    </row>
    <row r="4">
      <c r="A4" s="3" t="inlineStr">
        <is>
          <t>SamsumgA15</t>
        </is>
      </c>
      <c r="B4" s="3" t="inlineStr">
        <is>
          <t>SAMSUNG GALAXY A26 5G</t>
        </is>
      </c>
      <c r="C4" s="3" t="n">
        <v>20</v>
      </c>
      <c r="D4" s="4" t="n">
        <v>10366.2</v>
      </c>
      <c r="E4" s="4" t="n">
        <v>207324</v>
      </c>
      <c r="F4" s="3" t="n">
        <v>5661.49</v>
      </c>
      <c r="G4" s="6" t="inlineStr">
        <is>
          <t>Personal de planta</t>
        </is>
      </c>
    </row>
    <row r="5">
      <c r="A5" s="3" t="inlineStr">
        <is>
          <t>Samsung A35</t>
        </is>
      </c>
      <c r="B5" s="3" t="inlineStr">
        <is>
          <t>SAMSUNG GALAXY A36 5G</t>
        </is>
      </c>
      <c r="C5" s="3" t="n">
        <v>17</v>
      </c>
      <c r="D5" s="4" t="n">
        <v>14993.62</v>
      </c>
      <c r="E5" s="7" t="n">
        <v>254891</v>
      </c>
      <c r="F5" s="7" t="n">
        <v>6960</v>
      </c>
      <c r="G5" s="6" t="inlineStr">
        <is>
          <t>Ingenieros Residentes</t>
        </is>
      </c>
    </row>
    <row r="6">
      <c r="A6" s="3" t="inlineStr">
        <is>
          <t>Samsung S24 plus /Normal</t>
        </is>
      </c>
      <c r="B6" s="3" t="inlineStr">
        <is>
          <t>SAMSUNG GALAXY S25 PLUS 256GB</t>
        </is>
      </c>
      <c r="C6" s="3" t="n">
        <v>8</v>
      </c>
      <c r="D6" s="4" t="n">
        <v>52299.13</v>
      </c>
      <c r="E6" s="7" t="n">
        <v>418393.04</v>
      </c>
      <c r="F6" s="4" t="n">
        <v>11425.26</v>
      </c>
      <c r="G6" s="6" t="inlineStr">
        <is>
          <t>Jefes de Areas</t>
        </is>
      </c>
    </row>
    <row r="7">
      <c r="A7" s="8" t="n"/>
      <c r="B7" s="3" t="inlineStr">
        <is>
          <t>SAMSUNG GALAXY Z FOLD7 5G</t>
        </is>
      </c>
      <c r="C7" s="3" t="n">
        <v>1</v>
      </c>
      <c r="D7" s="4" t="n">
        <v>82470.23</v>
      </c>
      <c r="E7" s="4" t="n">
        <v>82470.23</v>
      </c>
      <c r="F7" s="3" t="n">
        <v>2252.04</v>
      </c>
      <c r="G7" s="6" t="inlineStr">
        <is>
          <t>Dirección</t>
        </is>
      </c>
    </row>
    <row r="8">
      <c r="E8" s="9">
        <f>SUM(E2:E7)</f>
        <v/>
      </c>
      <c r="F8" s="10">
        <f>SUM(F2:F7)</f>
        <v/>
      </c>
    </row>
    <row r="9"/>
    <row r="10"/>
    <row r="11"/>
    <row r="12"/>
    <row r="13">
      <c r="A13" s="11" t="inlineStr">
        <is>
          <t>Equipo actual</t>
        </is>
      </c>
      <c r="B13" s="11" t="inlineStr">
        <is>
          <t>Homologación</t>
        </is>
      </c>
      <c r="C13" s="11" t="inlineStr">
        <is>
          <t>Cantidad</t>
        </is>
      </c>
      <c r="D13" s="11" t="inlineStr">
        <is>
          <t>Precio Unitario (C$)</t>
        </is>
      </c>
      <c r="E13" s="11" t="inlineStr">
        <is>
          <t>Total C$</t>
        </is>
      </c>
      <c r="F13" s="11" t="inlineStr">
        <is>
          <t>Total USD</t>
        </is>
      </c>
      <c r="G13" s="11" t="inlineStr">
        <is>
          <t>Personal</t>
        </is>
      </c>
    </row>
    <row r="14">
      <c r="A14" s="8" t="inlineStr">
        <is>
          <t>Alcatel / Azumi / Samsung A12 / A03 / LG</t>
        </is>
      </c>
      <c r="B14" s="8" t="inlineStr">
        <is>
          <t>XIAOMI REDMI A5</t>
        </is>
      </c>
      <c r="C14" s="8" t="n">
        <v>22</v>
      </c>
      <c r="D14" s="12" t="n">
        <v>3588.82</v>
      </c>
      <c r="E14" s="12" t="n">
        <v>78953.99000000001</v>
      </c>
      <c r="F14" s="12" t="n">
        <v>2157.21</v>
      </c>
      <c r="G14" s="8" t="inlineStr">
        <is>
          <t>Guardas de Seguridad</t>
        </is>
      </c>
    </row>
    <row r="15">
      <c r="A15" s="8" t="inlineStr">
        <is>
          <t>Samsung A12 / A03</t>
        </is>
      </c>
      <c r="B15" s="8" t="inlineStr">
        <is>
          <t>SAMSUNG GALAXY A07 128GB</t>
        </is>
      </c>
      <c r="C15" s="8" t="n">
        <v>22</v>
      </c>
      <c r="D15" s="12" t="n">
        <v>5383.41</v>
      </c>
      <c r="E15" s="12" t="n">
        <v>118434.94</v>
      </c>
      <c r="F15" s="12" t="n">
        <v>3235.93</v>
      </c>
      <c r="G15" s="8" t="inlineStr">
        <is>
          <t>Personal Operativo</t>
        </is>
      </c>
    </row>
    <row r="16">
      <c r="A16" s="8" t="inlineStr">
        <is>
          <t>Samsung A15</t>
        </is>
      </c>
      <c r="B16" s="8" t="inlineStr">
        <is>
          <t>SAMSUNG GALAXY A17 256GB</t>
        </is>
      </c>
      <c r="C16" s="8" t="n">
        <v>20</v>
      </c>
      <c r="D16" s="12" t="n">
        <v>9851.57</v>
      </c>
      <c r="E16" s="12" t="n">
        <v>197031.4</v>
      </c>
      <c r="F16" s="12" t="n">
        <v>5382.28</v>
      </c>
      <c r="G16" s="8" t="inlineStr">
        <is>
          <t>Personal de Planta</t>
        </is>
      </c>
    </row>
    <row r="17">
      <c r="A17" s="8" t="inlineStr">
        <is>
          <t>Samsung A35</t>
        </is>
      </c>
      <c r="B17" s="8" t="inlineStr">
        <is>
          <t>SAMSUNG GALAXY A36 5G</t>
        </is>
      </c>
      <c r="C17" s="8" t="n">
        <v>17</v>
      </c>
      <c r="D17" s="12" t="n">
        <v>14993.62</v>
      </c>
      <c r="E17" s="12" t="n">
        <v>254891.54</v>
      </c>
      <c r="F17" s="12" t="n">
        <v>6960</v>
      </c>
      <c r="G17" s="8" t="inlineStr">
        <is>
          <t>Ingenieros Residentes</t>
        </is>
      </c>
    </row>
    <row r="18">
      <c r="A18" s="8" t="inlineStr">
        <is>
          <t>Samsung S24 / S24 Plus</t>
        </is>
      </c>
      <c r="B18" s="8" t="inlineStr">
        <is>
          <t>SAMSUNG GALAXY S25 PLUS 256GB</t>
        </is>
      </c>
      <c r="C18" s="8" t="n">
        <v>8</v>
      </c>
      <c r="D18" s="12" t="n">
        <v>52299.13</v>
      </c>
      <c r="E18" s="12" t="n">
        <v>418393.04</v>
      </c>
      <c r="F18" s="12" t="n">
        <v>11425.26</v>
      </c>
      <c r="G18" s="8" t="inlineStr">
        <is>
          <t>Jefes de Áreas</t>
        </is>
      </c>
    </row>
    <row r="19">
      <c r="A19" s="8" t="inlineStr">
        <is>
          <t>—</t>
        </is>
      </c>
      <c r="B19" s="8" t="inlineStr">
        <is>
          <t>SAMSUNG GALAXY Z FOLD7 5G</t>
        </is>
      </c>
      <c r="C19" s="8" t="n">
        <v>1</v>
      </c>
      <c r="D19" s="12" t="n">
        <v>82470.23</v>
      </c>
      <c r="E19" s="12" t="n">
        <v>82470.23</v>
      </c>
      <c r="F19" s="12" t="n">
        <v>2252.04</v>
      </c>
      <c r="G19" s="8" t="inlineStr">
        <is>
          <t>Dirección</t>
        </is>
      </c>
    </row>
    <row r="20">
      <c r="A20" s="8" t="n"/>
      <c r="B20" s="8" t="n"/>
      <c r="C20" s="8" t="n">
        <v>90</v>
      </c>
      <c r="D20" s="8" t="n"/>
      <c r="E20" s="12" t="n">
        <v>1149174</v>
      </c>
      <c r="F20" s="12" t="n">
        <v>31412.72</v>
      </c>
      <c r="G20" s="8" t="n"/>
    </row>
    <row r="21"/>
    <row r="22"/>
    <row r="23">
      <c r="A23" s="11" t="inlineStr">
        <is>
          <t>Equipo actual</t>
        </is>
      </c>
      <c r="B23" s="11" t="inlineStr">
        <is>
          <t>Homologación</t>
        </is>
      </c>
      <c r="C23" s="11" t="inlineStr">
        <is>
          <t>Cantidad</t>
        </is>
      </c>
      <c r="D23" s="11" t="inlineStr">
        <is>
          <t>Precio Unitario (C$)</t>
        </is>
      </c>
      <c r="E23" s="11" t="inlineStr">
        <is>
          <t>Total C$</t>
        </is>
      </c>
      <c r="F23" s="11" t="inlineStr">
        <is>
          <t>Total USD</t>
        </is>
      </c>
      <c r="G23" s="11" t="inlineStr">
        <is>
          <t>Personal</t>
        </is>
      </c>
    </row>
    <row r="24">
      <c r="A24" s="8" t="inlineStr">
        <is>
          <t>Alcatel / Azumi / Samsung A12 / A03 / LG</t>
        </is>
      </c>
      <c r="B24" s="8" t="inlineStr">
        <is>
          <t>XIAOMI REDMI A5</t>
        </is>
      </c>
      <c r="C24" s="8" t="n">
        <v>22</v>
      </c>
      <c r="D24" s="12" t="n">
        <v>3588.82</v>
      </c>
      <c r="E24" s="12" t="n">
        <v>78953.99000000001</v>
      </c>
      <c r="F24" s="12" t="n">
        <v>2157.21</v>
      </c>
      <c r="G24" s="8" t="inlineStr">
        <is>
          <t>Guardas de Seguridad</t>
        </is>
      </c>
    </row>
    <row r="25">
      <c r="A25" s="8" t="inlineStr">
        <is>
          <t>Samsung A12 / A03</t>
        </is>
      </c>
      <c r="B25" s="8" t="inlineStr">
        <is>
          <t>SAMSUNG GALAXY A06 128GB</t>
        </is>
      </c>
      <c r="C25" s="8" t="n">
        <v>22</v>
      </c>
      <c r="D25" s="12" t="n">
        <v>4870.67</v>
      </c>
      <c r="E25" s="12" t="n">
        <v>107154.74</v>
      </c>
      <c r="F25" s="12" t="n">
        <v>2928</v>
      </c>
      <c r="G25" s="8" t="inlineStr">
        <is>
          <t>Personal Operativo</t>
        </is>
      </c>
    </row>
    <row r="26">
      <c r="A26" s="8" t="inlineStr">
        <is>
          <t>Samsung A15</t>
        </is>
      </c>
      <c r="B26" s="8" t="inlineStr">
        <is>
          <t>SAMSUNG GALAXY A17 256GB</t>
        </is>
      </c>
      <c r="C26" s="8" t="n">
        <v>20</v>
      </c>
      <c r="D26" s="12" t="n">
        <v>9851.57</v>
      </c>
      <c r="E26" s="12" t="n">
        <v>197031.4</v>
      </c>
      <c r="F26" s="12" t="n">
        <v>5382.28</v>
      </c>
      <c r="G26" s="8" t="inlineStr">
        <is>
          <t>Personal de Planta</t>
        </is>
      </c>
    </row>
    <row r="27">
      <c r="A27" s="8" t="inlineStr">
        <is>
          <t>Samsung A35</t>
        </is>
      </c>
      <c r="B27" s="8" t="inlineStr">
        <is>
          <t>SAMSUNG GALAXY A36 5G</t>
        </is>
      </c>
      <c r="C27" s="8" t="n">
        <v>17</v>
      </c>
      <c r="D27" s="12" t="n">
        <v>14993.62</v>
      </c>
      <c r="E27" s="12" t="n">
        <v>254891.54</v>
      </c>
      <c r="F27" s="12" t="n">
        <v>6960</v>
      </c>
      <c r="G27" s="8" t="inlineStr">
        <is>
          <t>Ingenieros Residentes</t>
        </is>
      </c>
    </row>
    <row r="28">
      <c r="A28" s="8" t="inlineStr">
        <is>
          <t>Samsung S24 / S24 Plus</t>
        </is>
      </c>
      <c r="B28" s="8" t="inlineStr">
        <is>
          <t>SAMSUNG GALAXY S25 PLUS 256GB</t>
        </is>
      </c>
      <c r="C28" s="8" t="n">
        <v>8</v>
      </c>
      <c r="D28" s="12" t="n">
        <v>52299.13</v>
      </c>
      <c r="E28" s="12" t="n">
        <v>418393.04</v>
      </c>
      <c r="F28" s="12" t="n">
        <v>11425.26</v>
      </c>
      <c r="G28" s="8" t="inlineStr">
        <is>
          <t>Jefes de Áreas</t>
        </is>
      </c>
    </row>
    <row r="29">
      <c r="A29" s="8" t="inlineStr">
        <is>
          <t>—</t>
        </is>
      </c>
      <c r="B29" s="8" t="inlineStr">
        <is>
          <t>SAMSUNG GALAXY Z FOLD7 5G</t>
        </is>
      </c>
      <c r="C29" s="8" t="n">
        <v>1</v>
      </c>
      <c r="D29" s="12" t="n">
        <v>82470.23</v>
      </c>
      <c r="E29" s="12" t="n">
        <v>82470.23</v>
      </c>
      <c r="F29" s="12" t="n">
        <v>2252.04</v>
      </c>
      <c r="G29" s="8" t="inlineStr">
        <is>
          <t>Dirección</t>
        </is>
      </c>
    </row>
    <row r="30">
      <c r="A30" s="8" t="n"/>
      <c r="B30" s="8" t="n"/>
      <c r="C30" s="8" t="n">
        <v>90</v>
      </c>
      <c r="D30" s="8" t="n"/>
      <c r="E30" s="12" t="n">
        <v>1138894.94</v>
      </c>
      <c r="F30" s="12" t="n">
        <v>31104.79</v>
      </c>
      <c r="G30" s="8" t="n"/>
    </row>
    <row r="31"/>
    <row r="32"/>
    <row r="33"/>
    <row r="34"/>
    <row r="35">
      <c r="A35" s="13" t="inlineStr">
        <is>
          <t>EQUIPO</t>
        </is>
      </c>
      <c r="B35" s="13" t="inlineStr">
        <is>
          <t>CANTIDAD</t>
        </is>
      </c>
      <c r="C35" s="13" t="inlineStr">
        <is>
          <t>PRECIO $ x UND</t>
        </is>
      </c>
      <c r="D35" s="13" t="inlineStr">
        <is>
          <t>PRECIO CON DESCUENTO</t>
        </is>
      </c>
      <c r="E35" s="13" t="inlineStr">
        <is>
          <t>PRECIO TOTAL</t>
        </is>
      </c>
    </row>
    <row r="36">
      <c r="A36" s="14" t="inlineStr">
        <is>
          <t>Xiaomi Redmi A5</t>
        </is>
      </c>
      <c r="B36" s="14" t="n">
        <v>22</v>
      </c>
      <c r="C36" s="15" t="n">
        <v>97.98999999999999</v>
      </c>
      <c r="D36" s="15" t="n">
        <v>76.43000000000001</v>
      </c>
      <c r="E36" s="15" t="n">
        <v>1681.51</v>
      </c>
    </row>
    <row r="37">
      <c r="A37" s="14" t="inlineStr">
        <is>
          <t>Samsung A06</t>
        </is>
      </c>
      <c r="B37" s="14" t="n">
        <v>22</v>
      </c>
      <c r="C37" s="15" t="n">
        <v>132.99</v>
      </c>
      <c r="D37" s="15" t="n">
        <v>103.73</v>
      </c>
      <c r="E37" s="15" t="n">
        <v>2282.11</v>
      </c>
    </row>
    <row r="38">
      <c r="A38" s="14" t="inlineStr">
        <is>
          <t>Xiaomi Redmi 15C</t>
        </is>
      </c>
      <c r="B38" s="14" t="n">
        <v>20</v>
      </c>
      <c r="C38" s="15" t="n">
        <v>145.99</v>
      </c>
      <c r="D38" s="15" t="n">
        <v>113.87</v>
      </c>
      <c r="E38" s="15" t="n">
        <v>2277.44</v>
      </c>
    </row>
    <row r="39">
      <c r="A39" s="14" t="inlineStr">
        <is>
          <t>Honor X7D</t>
        </is>
      </c>
      <c r="B39" s="14" t="n">
        <v>17</v>
      </c>
      <c r="C39" s="15" t="n">
        <v>203.99</v>
      </c>
      <c r="D39" s="15" t="n">
        <v>159.11</v>
      </c>
      <c r="E39" s="15" t="n">
        <v>2704.91</v>
      </c>
    </row>
    <row r="40">
      <c r="A40" s="14" t="inlineStr">
        <is>
          <t>Samsung S25 Ultra 512GB</t>
        </is>
      </c>
      <c r="B40" s="14" t="n">
        <v>8</v>
      </c>
      <c r="C40" s="15" t="n">
        <v>1976.99</v>
      </c>
      <c r="D40" s="15" t="n">
        <v>1482.74</v>
      </c>
      <c r="E40" s="15" t="n">
        <v>11861.94</v>
      </c>
    </row>
    <row r="41">
      <c r="A41" s="14" t="inlineStr">
        <is>
          <t>Samsung Z Fold 5G</t>
        </is>
      </c>
      <c r="B41" s="14" t="n">
        <v>1</v>
      </c>
      <c r="C41" s="15" t="n">
        <v>2501.99</v>
      </c>
      <c r="D41" s="15" t="n">
        <v>1951.55</v>
      </c>
      <c r="E41" s="15" t="n">
        <v>1951.55</v>
      </c>
    </row>
    <row r="42">
      <c r="A42" s="14" t="inlineStr">
        <is>
          <t>TOTAL</t>
        </is>
      </c>
      <c r="B42" s="14" t="n">
        <v>90</v>
      </c>
      <c r="C42" s="15" t="n">
        <v>5059.94</v>
      </c>
      <c r="D42" s="15" t="n">
        <v>3887.44</v>
      </c>
      <c r="E42" s="15" t="n">
        <v>22759.46</v>
      </c>
    </row>
    <row r="43"/>
    <row r="44"/>
    <row r="45"/>
    <row r="46">
      <c r="A46" s="16" t="inlineStr">
        <is>
          <t>EQUIPO</t>
        </is>
      </c>
      <c r="B46" s="16" t="inlineStr">
        <is>
          <t>CANTIDAD</t>
        </is>
      </c>
      <c r="C46" s="16" t="inlineStr">
        <is>
          <t>PRECIO $ x UND</t>
        </is>
      </c>
      <c r="D46" s="16" t="inlineStr">
        <is>
          <t>PRECIO CON DESCUENTO</t>
        </is>
      </c>
      <c r="E46" s="16" t="inlineStr">
        <is>
          <t>PRECIO TOTAL</t>
        </is>
      </c>
    </row>
    <row r="47">
      <c r="A47" s="8" t="inlineStr">
        <is>
          <t>Samsung A06</t>
        </is>
      </c>
      <c r="B47" s="8" t="n">
        <v>19</v>
      </c>
      <c r="C47" s="17" t="n">
        <v>132.99</v>
      </c>
      <c r="D47" s="17" t="n">
        <v>103.73</v>
      </c>
      <c r="E47" s="18" t="n">
        <v>1971</v>
      </c>
    </row>
    <row r="48">
      <c r="A48" s="8" t="inlineStr">
        <is>
          <t>Samsung A36</t>
        </is>
      </c>
      <c r="B48" s="8" t="n">
        <v>17</v>
      </c>
      <c r="C48" s="17" t="n">
        <v>444.99</v>
      </c>
      <c r="D48" s="17" t="n">
        <v>347.09</v>
      </c>
      <c r="E48" s="17" t="n">
        <v>5900.53</v>
      </c>
    </row>
    <row r="49">
      <c r="A49" s="8" t="inlineStr">
        <is>
          <t>Samsung S25 Ultra 512GB</t>
        </is>
      </c>
      <c r="B49" s="8" t="n">
        <v>10</v>
      </c>
      <c r="C49" s="17" t="n">
        <v>1976.99</v>
      </c>
      <c r="D49" s="17" t="n">
        <v>1482.74</v>
      </c>
      <c r="E49" s="17" t="n">
        <v>14827.4</v>
      </c>
    </row>
    <row r="50">
      <c r="A50" s="19" t="inlineStr">
        <is>
          <t>TOTAL</t>
        </is>
      </c>
      <c r="B50" s="8" t="n">
        <v>46</v>
      </c>
      <c r="C50" s="8" t="n"/>
      <c r="D50" s="8" t="n"/>
      <c r="E50" s="20">
        <f>SUM(E47:E49)</f>
        <v/>
      </c>
    </row>
    <row r="51">
      <c r="A51" s="19" t="inlineStr">
        <is>
          <t>PRESUPUESTO APROBADO POR CLARO</t>
        </is>
      </c>
      <c r="B51" s="8" t="n"/>
      <c r="C51" s="8" t="n"/>
      <c r="D51" s="8" t="n"/>
      <c r="E51" s="21" t="n">
        <v>22759.46</v>
      </c>
    </row>
    <row r="52">
      <c r="A52" s="19" t="inlineStr">
        <is>
          <t>DIEFRENCIA</t>
        </is>
      </c>
      <c r="B52" s="8" t="n"/>
      <c r="C52" s="8" t="n"/>
      <c r="D52" s="8" t="n"/>
      <c r="E52" s="22" t="n">
        <v>60.53</v>
      </c>
    </row>
    <row r="53"/>
    <row r="54"/>
    <row r="55"/>
    <row r="56">
      <c r="E56" s="20" t="n"/>
    </row>
  </sheetData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1011"/>
  <sheetViews>
    <sheetView showGridLines="0" topLeftCell="A43" zoomScale="190" zoomScaleNormal="190" workbookViewId="0">
      <selection activeCell="C53" sqref="C53"/>
    </sheetView>
  </sheetViews>
  <sheetFormatPr baseColWidth="8" defaultColWidth="14.44140625" defaultRowHeight="15" customHeight="1"/>
  <cols>
    <col width="6.44140625" customWidth="1" min="1" max="1"/>
    <col width="27.44140625" customWidth="1" min="2" max="2"/>
    <col width="37" customWidth="1" min="3" max="3"/>
    <col width="18.33203125" customWidth="1" min="4" max="4"/>
    <col width="11.6640625" customWidth="1" min="5" max="5"/>
    <col hidden="1" width="11.6640625" customWidth="1" min="6" max="6"/>
    <col hidden="1" width="16.6640625" customWidth="1" min="7" max="7"/>
    <col hidden="1" width="15.6640625" customWidth="1" min="8" max="8"/>
    <col width="11.44140625" customWidth="1" min="9" max="9"/>
    <col width="25.33203125" customWidth="1" min="10" max="10"/>
    <col width="9.5546875" customWidth="1" min="11" max="11"/>
    <col hidden="1" width="11.44140625" customWidth="1" min="12" max="12"/>
    <col hidden="1" width="10.6640625" customWidth="1" min="13" max="13"/>
    <col hidden="1" width="11.88671875" customWidth="1" min="14" max="14"/>
    <col hidden="1" width="10.6640625" customWidth="1" min="15" max="15"/>
    <col width="23.44140625" customWidth="1" min="16" max="16"/>
    <col width="10.6640625" customWidth="1" min="17" max="25"/>
  </cols>
  <sheetData>
    <row r="1" ht="23.25" customHeight="1">
      <c r="A1" s="23" t="inlineStr">
        <is>
          <t>No</t>
        </is>
      </c>
      <c r="B1" s="24" t="inlineStr">
        <is>
          <t>Nombre Y Apellido</t>
        </is>
      </c>
      <c r="C1" s="25" t="inlineStr">
        <is>
          <t>Cargo</t>
        </is>
      </c>
      <c r="D1" s="26" t="inlineStr">
        <is>
          <t>Ubicacion</t>
        </is>
      </c>
      <c r="E1" s="27" t="inlineStr">
        <is>
          <t>Número</t>
        </is>
      </c>
      <c r="F1" s="27" t="n"/>
      <c r="G1" s="27" t="inlineStr">
        <is>
          <t>Cod. Contrato</t>
        </is>
      </c>
      <c r="H1" s="27" t="inlineStr">
        <is>
          <t>No. Contrato</t>
        </is>
      </c>
      <c r="I1" s="28" t="inlineStr">
        <is>
          <t>Estado Contrato</t>
        </is>
      </c>
      <c r="J1" s="28" t="inlineStr">
        <is>
          <t>Empresa</t>
        </is>
      </c>
      <c r="K1" s="26" t="inlineStr">
        <is>
          <t>PLAN</t>
        </is>
      </c>
      <c r="L1" s="28" t="inlineStr">
        <is>
          <t>Actual</t>
        </is>
      </c>
      <c r="M1" s="28" t="inlineStr">
        <is>
          <t>Plan Actual</t>
        </is>
      </c>
      <c r="N1" s="29" t="n"/>
      <c r="O1" s="30" t="inlineStr">
        <is>
          <t>Monto de Subsidio por plan</t>
        </is>
      </c>
      <c r="P1" s="26" t="inlineStr">
        <is>
          <t>Equipo</t>
        </is>
      </c>
      <c r="Q1" s="31" t="n"/>
      <c r="R1" s="31" t="n"/>
      <c r="S1" s="31" t="n"/>
      <c r="T1" s="31" t="n"/>
      <c r="U1" s="31" t="n"/>
      <c r="V1" s="31" t="n"/>
      <c r="W1" s="31" t="n"/>
      <c r="X1" s="31" t="n"/>
      <c r="Y1" s="31" t="n"/>
    </row>
    <row r="2" ht="14.25" customHeight="1">
      <c r="A2" s="32" t="n">
        <v>1</v>
      </c>
      <c r="B2" s="33" t="inlineStr">
        <is>
          <t>Rotativo</t>
        </is>
      </c>
      <c r="C2" s="34" t="inlineStr">
        <is>
          <t>Puesto 14</t>
        </is>
      </c>
      <c r="D2" s="34" t="inlineStr">
        <is>
          <t>Security</t>
        </is>
      </c>
      <c r="E2" s="35" t="inlineStr">
        <is>
          <t>58707931</t>
        </is>
      </c>
      <c r="F2" s="36" t="n">
        <v>50558707931</v>
      </c>
      <c r="G2" s="37">
        <f>VLOOKUP(F2,PLAN,2,FALSE)</f>
        <v/>
      </c>
      <c r="H2" s="37">
        <f>VLOOKUP(F2,PLAN,3,FALSE)</f>
        <v/>
      </c>
      <c r="I2" s="37" t="inlineStr">
        <is>
          <t>ACTIVO</t>
        </is>
      </c>
      <c r="J2" s="37">
        <f>VLOOKUP(F2,PLAN,4,FALSE)</f>
        <v/>
      </c>
      <c r="K2" s="38" t="n">
        <v>12.99</v>
      </c>
      <c r="L2" s="39" t="n">
        <v>25.99</v>
      </c>
      <c r="M2" s="39" t="n">
        <v>11.99</v>
      </c>
      <c r="N2" s="39">
        <f>L2=M2</f>
        <v/>
      </c>
      <c r="O2" s="40" t="n">
        <v>53.52</v>
      </c>
      <c r="P2" s="38" t="inlineStr">
        <is>
          <t>AZUMI V4</t>
        </is>
      </c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</row>
    <row r="3" ht="14.25" customHeight="1">
      <c r="A3" s="32" t="n">
        <v>2</v>
      </c>
      <c r="B3" s="41" t="inlineStr">
        <is>
          <t>Blanca Aguilar Ugarte</t>
        </is>
      </c>
      <c r="C3" s="34" t="inlineStr">
        <is>
          <t xml:space="preserve">Atención cliente ventas </t>
        </is>
      </c>
      <c r="D3" s="42" t="inlineStr">
        <is>
          <t>Cobirsa</t>
        </is>
      </c>
      <c r="E3" s="35" t="inlineStr">
        <is>
          <t>87053298</t>
        </is>
      </c>
      <c r="F3" s="35" t="inlineStr">
        <is>
          <t>50587053298</t>
        </is>
      </c>
      <c r="G3" s="37">
        <f>VLOOKUP(F3,PLAN,2,FALSE)</f>
        <v/>
      </c>
      <c r="H3" s="37">
        <f>VLOOKUP(F3,PLAN,3,FALSE)</f>
        <v/>
      </c>
      <c r="I3" s="37" t="inlineStr">
        <is>
          <t>ACTIVO</t>
        </is>
      </c>
      <c r="J3" s="37">
        <f>VLOOKUP(F3,PLAN,4,FALSE)</f>
        <v/>
      </c>
      <c r="K3" s="38" t="n">
        <v>12.99</v>
      </c>
      <c r="L3" s="43" t="n"/>
      <c r="M3" s="43" t="n"/>
      <c r="N3" s="43" t="n"/>
      <c r="O3" s="43" t="n"/>
      <c r="P3" s="38" t="inlineStr">
        <is>
          <t>SAMSUNG A23</t>
        </is>
      </c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</row>
    <row r="4" ht="14.25" customHeight="1">
      <c r="A4" s="32" t="n">
        <v>3</v>
      </c>
      <c r="B4" s="44" t="inlineStr">
        <is>
          <t>SAC Campuzano</t>
        </is>
      </c>
      <c r="C4" s="45" t="inlineStr">
        <is>
          <t xml:space="preserve">Atencion Clientes Conaser </t>
        </is>
      </c>
      <c r="D4" s="41" t="inlineStr">
        <is>
          <t>Campuzano</t>
        </is>
      </c>
      <c r="E4" s="35" t="inlineStr">
        <is>
          <t>58709127</t>
        </is>
      </c>
      <c r="F4" s="36" t="n">
        <v>50558709127</v>
      </c>
      <c r="G4" s="37">
        <f>VLOOKUP(F4,PLAN,2,FALSE)</f>
        <v/>
      </c>
      <c r="H4" s="37">
        <f>VLOOKUP(F4,PLAN,3,FALSE)</f>
        <v/>
      </c>
      <c r="I4" s="37" t="inlineStr">
        <is>
          <t>ACTIVO</t>
        </is>
      </c>
      <c r="J4" s="37">
        <f>VLOOKUP(F4,PLAN,4,FALSE)</f>
        <v/>
      </c>
      <c r="K4" s="38" t="n">
        <v>12.99</v>
      </c>
      <c r="L4" s="29" t="n">
        <v>25.99</v>
      </c>
      <c r="M4" s="29" t="n">
        <v>25.99</v>
      </c>
      <c r="N4" s="29">
        <f>L4=M4</f>
        <v/>
      </c>
      <c r="O4" s="46" t="n">
        <v>30</v>
      </c>
      <c r="P4" s="38" t="inlineStr">
        <is>
          <t>NOKIA C12</t>
        </is>
      </c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</row>
    <row r="5" ht="14.25" customHeight="1">
      <c r="A5" s="32" t="n">
        <v>4</v>
      </c>
      <c r="B5" s="47" t="inlineStr">
        <is>
          <t>Luis Enrique Moreno Díaz</t>
        </is>
      </c>
      <c r="C5" s="48" t="inlineStr">
        <is>
          <t>Cajero (COBIRSA)</t>
        </is>
      </c>
      <c r="D5" s="42" t="inlineStr">
        <is>
          <t>Ventas Cobirsa</t>
        </is>
      </c>
      <c r="E5" s="35" t="inlineStr">
        <is>
          <t>58710676</t>
        </is>
      </c>
      <c r="F5" s="36" t="n">
        <v>50558710676</v>
      </c>
      <c r="G5" s="37">
        <f>VLOOKUP(F5,PLAN,2,FALSE)</f>
        <v/>
      </c>
      <c r="H5" s="37">
        <f>VLOOKUP(F5,PLAN,3,FALSE)</f>
        <v/>
      </c>
      <c r="I5" s="37" t="inlineStr">
        <is>
          <t>ACTIVO</t>
        </is>
      </c>
      <c r="J5" s="37">
        <f>VLOOKUP(F5,PLAN,4,FALSE)</f>
        <v/>
      </c>
      <c r="K5" s="38" t="n">
        <v>12.99</v>
      </c>
      <c r="L5" s="49" t="n">
        <v>25.99</v>
      </c>
      <c r="M5" s="49" t="n">
        <v>34.99</v>
      </c>
      <c r="N5" s="49">
        <f>L5=M5</f>
        <v/>
      </c>
      <c r="O5" s="50" t="n">
        <v>36</v>
      </c>
      <c r="P5" s="38" t="inlineStr">
        <is>
          <t>SAMSUNG A12</t>
        </is>
      </c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</row>
    <row r="6" ht="14.25" customHeight="1">
      <c r="A6" s="32" t="n">
        <v>5</v>
      </c>
      <c r="B6" s="51" t="inlineStr">
        <is>
          <t>Francisco Velasquez Espinoza</t>
        </is>
      </c>
      <c r="C6" s="42" t="inlineStr">
        <is>
          <t>Gestor Administrativo</t>
        </is>
      </c>
      <c r="D6" s="42" t="inlineStr">
        <is>
          <t>CED</t>
        </is>
      </c>
      <c r="E6" s="35" t="inlineStr">
        <is>
          <t>58710683</t>
        </is>
      </c>
      <c r="F6" s="36" t="n">
        <v>50558710683</v>
      </c>
      <c r="G6" s="37">
        <f>VLOOKUP(F6,PLAN,2,FALSE)</f>
        <v/>
      </c>
      <c r="H6" s="37">
        <f>VLOOKUP(F6,PLAN,3,FALSE)</f>
        <v/>
      </c>
      <c r="I6" s="37" t="inlineStr">
        <is>
          <t>ACTIVO</t>
        </is>
      </c>
      <c r="J6" s="37">
        <f>VLOOKUP(F6,PLAN,4,FALSE)</f>
        <v/>
      </c>
      <c r="K6" s="38" t="n">
        <v>12.99</v>
      </c>
      <c r="L6" s="39" t="n">
        <v>25.99</v>
      </c>
      <c r="M6" s="39" t="n">
        <v>25.99</v>
      </c>
      <c r="N6" s="52">
        <f>L6=M6</f>
        <v/>
      </c>
      <c r="O6" s="53" t="n">
        <v>30</v>
      </c>
      <c r="P6" s="38" t="inlineStr">
        <is>
          <t>SAMSUNG A12</t>
        </is>
      </c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</row>
    <row r="7" ht="14.25" customHeight="1">
      <c r="A7" s="32" t="n">
        <v>6</v>
      </c>
      <c r="B7" s="209" t="inlineStr">
        <is>
          <t>Aracely Guzman</t>
        </is>
      </c>
      <c r="C7" s="209" t="inlineStr">
        <is>
          <t>RRHH</t>
        </is>
      </c>
      <c r="D7" s="209" t="inlineStr">
        <is>
          <t>RRHH CED</t>
        </is>
      </c>
      <c r="E7" s="210" t="inlineStr">
        <is>
          <t>58710705</t>
        </is>
      </c>
      <c r="F7" s="210" t="n">
        <v>50558710705</v>
      </c>
      <c r="G7" s="210">
        <f>VLOOKUP(F7,PLAN,2,FALSE)</f>
        <v/>
      </c>
      <c r="H7" s="210">
        <f>VLOOKUP(F7,PLAN,3,FALSE)</f>
        <v/>
      </c>
      <c r="I7" s="210" t="inlineStr">
        <is>
          <t>ACTIVO</t>
        </is>
      </c>
      <c r="J7" s="210">
        <f>VLOOKUP(F7,PLAN,4,FALSE)</f>
        <v/>
      </c>
      <c r="K7" s="210" t="n">
        <v>12.99</v>
      </c>
      <c r="L7" s="210" t="n">
        <v>25.99</v>
      </c>
      <c r="M7" s="210" t="n">
        <v>25.99</v>
      </c>
      <c r="N7" s="210">
        <f>L7=M7</f>
        <v/>
      </c>
      <c r="O7" s="210" t="n">
        <v>30</v>
      </c>
      <c r="P7" s="210" t="inlineStr">
        <is>
          <t>SAMSUNG A15</t>
        </is>
      </c>
      <c r="Q7" s="31" t="n"/>
      <c r="R7" s="31" t="n"/>
      <c r="S7" s="31" t="n"/>
      <c r="T7" s="31" t="n"/>
      <c r="U7" s="31" t="n"/>
      <c r="V7" s="31" t="n"/>
      <c r="W7" s="31" t="n"/>
      <c r="X7" s="31" t="n"/>
      <c r="Y7" s="31" t="n"/>
    </row>
    <row r="8" ht="13.5" customHeight="1">
      <c r="A8" s="32" t="n">
        <v>7</v>
      </c>
      <c r="B8" s="54" t="inlineStr">
        <is>
          <t>Rotativo</t>
        </is>
      </c>
      <c r="C8" s="42" t="inlineStr">
        <is>
          <t>Guardas de Seguridad - Montenebo 3</t>
        </is>
      </c>
      <c r="D8" s="34" t="inlineStr">
        <is>
          <t>Security</t>
        </is>
      </c>
      <c r="E8" s="35" t="inlineStr">
        <is>
          <t>58710712</t>
        </is>
      </c>
      <c r="F8" s="36" t="n">
        <v>50558710712</v>
      </c>
      <c r="G8" s="37">
        <f>VLOOKUP(F8,PLAN,2,FALSE)</f>
        <v/>
      </c>
      <c r="H8" s="37">
        <f>VLOOKUP(F8,PLAN,3,FALSE)</f>
        <v/>
      </c>
      <c r="I8" s="37" t="inlineStr">
        <is>
          <t>ACTIVO</t>
        </is>
      </c>
      <c r="J8" s="37">
        <f>VLOOKUP(F8,PLAN,4,FALSE)</f>
        <v/>
      </c>
      <c r="K8" s="38" t="n">
        <v>12.99</v>
      </c>
      <c r="L8" s="49" t="n">
        <v>25.99</v>
      </c>
      <c r="M8" s="49" t="n">
        <v>34.99</v>
      </c>
      <c r="N8" s="49">
        <f>L8=M8</f>
        <v/>
      </c>
      <c r="O8" s="50" t="n">
        <v>36</v>
      </c>
      <c r="P8" s="38" t="inlineStr">
        <is>
          <t>ALCATEL 5033E</t>
        </is>
      </c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</row>
    <row r="9" ht="14.25" customHeight="1">
      <c r="A9" s="32" t="n">
        <v>8</v>
      </c>
      <c r="B9" s="51" t="inlineStr">
        <is>
          <t>Carlos Lopez</t>
        </is>
      </c>
      <c r="C9" s="42" t="inlineStr">
        <is>
          <t>Guarda de Seguridad- Finca El Chaparro</t>
        </is>
      </c>
      <c r="D9" s="34" t="inlineStr">
        <is>
          <t>Security</t>
        </is>
      </c>
      <c r="E9" s="35" t="inlineStr">
        <is>
          <t>58710729</t>
        </is>
      </c>
      <c r="F9" s="36" t="n">
        <v>50558710729</v>
      </c>
      <c r="G9" s="37">
        <f>VLOOKUP(F9,PLAN,2,FALSE)</f>
        <v/>
      </c>
      <c r="H9" s="37">
        <f>VLOOKUP(F9,PLAN,3,FALSE)</f>
        <v/>
      </c>
      <c r="I9" s="37" t="inlineStr">
        <is>
          <t>ACTIVO</t>
        </is>
      </c>
      <c r="J9" s="37">
        <f>VLOOKUP(F9,PLAN,4,FALSE)</f>
        <v/>
      </c>
      <c r="K9" s="38" t="n">
        <v>12.99</v>
      </c>
      <c r="L9" s="39" t="n">
        <v>50.99</v>
      </c>
      <c r="M9" s="39" t="n">
        <v>34.99</v>
      </c>
      <c r="N9" s="39">
        <f>L9=M9</f>
        <v/>
      </c>
      <c r="O9" s="40" t="n">
        <v>36</v>
      </c>
      <c r="P9" s="38" t="inlineStr">
        <is>
          <t>SAMSUNG A03</t>
        </is>
      </c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</row>
    <row r="10" ht="14.25" customHeight="1">
      <c r="A10" s="32" t="n">
        <v>9</v>
      </c>
      <c r="B10" s="51" t="inlineStr">
        <is>
          <t xml:space="preserve">Benjamin Espinoza </t>
        </is>
      </c>
      <c r="C10" s="42" t="inlineStr">
        <is>
          <t xml:space="preserve">Responsable de Bodega CED </t>
        </is>
      </c>
      <c r="D10" s="34" t="inlineStr">
        <is>
          <t>Ciudad el doral CED</t>
        </is>
      </c>
      <c r="E10" s="35" t="inlineStr">
        <is>
          <t>58710736</t>
        </is>
      </c>
      <c r="F10" s="36" t="n">
        <v>50558710736</v>
      </c>
      <c r="G10" s="37">
        <f>VLOOKUP(F10,PLAN,2,FALSE)</f>
        <v/>
      </c>
      <c r="H10" s="37">
        <f>VLOOKUP(F10,PLAN,3,FALSE)</f>
        <v/>
      </c>
      <c r="I10" s="37" t="inlineStr">
        <is>
          <t>ACTIVO</t>
        </is>
      </c>
      <c r="J10" s="37">
        <f>VLOOKUP(F10,PLAN,4,FALSE)</f>
        <v/>
      </c>
      <c r="K10" s="38" t="n">
        <v>12.99</v>
      </c>
      <c r="L10" s="29" t="n">
        <v>50.99</v>
      </c>
      <c r="M10" s="29" t="n">
        <v>50.99</v>
      </c>
      <c r="N10" s="29">
        <f>L10=M10</f>
        <v/>
      </c>
      <c r="O10" s="46" t="n">
        <v>46</v>
      </c>
      <c r="P10" s="38" t="inlineStr">
        <is>
          <t>SAMSUNG A15</t>
        </is>
      </c>
      <c r="Q10" s="31" t="n"/>
      <c r="R10" s="31" t="n"/>
      <c r="S10" s="31" t="n"/>
      <c r="T10" s="31" t="n"/>
      <c r="U10" s="31" t="n"/>
      <c r="V10" s="31" t="n"/>
      <c r="W10" s="31" t="n"/>
      <c r="X10" s="31" t="n"/>
      <c r="Y10" s="31" t="n"/>
    </row>
    <row r="11" ht="14.25" customHeight="1">
      <c r="A11" s="32" t="n">
        <v>10</v>
      </c>
      <c r="B11" s="51" t="inlineStr">
        <is>
          <t>Claudia Salgado</t>
        </is>
      </c>
      <c r="C11" s="42" t="inlineStr">
        <is>
          <t>Atencion al cliente Conaser</t>
        </is>
      </c>
      <c r="D11" s="42" t="inlineStr">
        <is>
          <t>Conaser</t>
        </is>
      </c>
      <c r="E11" s="35" t="inlineStr">
        <is>
          <t>58710746</t>
        </is>
      </c>
      <c r="F11" s="36" t="n">
        <v>50558710746</v>
      </c>
      <c r="G11" s="37">
        <f>VLOOKUP(F11,PLAN,2,FALSE)</f>
        <v/>
      </c>
      <c r="H11" s="37">
        <f>VLOOKUP(F11,PLAN,3,FALSE)</f>
        <v/>
      </c>
      <c r="I11" s="37" t="inlineStr">
        <is>
          <t>ACTIVO</t>
        </is>
      </c>
      <c r="J11" s="37">
        <f>VLOOKUP(F11,PLAN,4,FALSE)</f>
        <v/>
      </c>
      <c r="K11" s="38" t="n">
        <v>12.99</v>
      </c>
      <c r="L11" s="29" t="n">
        <v>50.99</v>
      </c>
      <c r="M11" s="29" t="n">
        <v>11.99</v>
      </c>
      <c r="N11" s="29">
        <f>L11=M11</f>
        <v/>
      </c>
      <c r="O11" s="46" t="n">
        <v>53.52</v>
      </c>
      <c r="P11" s="38" t="inlineStr">
        <is>
          <t>SAMSUNG A12</t>
        </is>
      </c>
      <c r="Q11" s="31" t="n"/>
      <c r="R11" s="31" t="n"/>
      <c r="S11" s="31" t="n"/>
      <c r="T11" s="31" t="n"/>
      <c r="U11" s="31" t="n"/>
      <c r="V11" s="31" t="n"/>
      <c r="W11" s="31" t="n"/>
      <c r="X11" s="31" t="n"/>
      <c r="Y11" s="31" t="n"/>
    </row>
    <row r="12" ht="14.25" customHeight="1">
      <c r="A12" s="32" t="n">
        <v>11</v>
      </c>
      <c r="B12" s="56" t="inlineStr">
        <is>
          <t>Rotativo</t>
        </is>
      </c>
      <c r="C12" s="42" t="inlineStr">
        <is>
          <t>Guardas de Seguridad - BODEGA GRANADA</t>
        </is>
      </c>
      <c r="D12" s="34" t="inlineStr">
        <is>
          <t>Security</t>
        </is>
      </c>
      <c r="E12" s="35" t="inlineStr">
        <is>
          <t>58710760</t>
        </is>
      </c>
      <c r="F12" s="36" t="n">
        <v>50558710760</v>
      </c>
      <c r="G12" s="37">
        <f>VLOOKUP(F12,PLAN,2,FALSE)</f>
        <v/>
      </c>
      <c r="H12" s="37">
        <f>VLOOKUP(F12,PLAN,3,FALSE)</f>
        <v/>
      </c>
      <c r="I12" s="37" t="inlineStr">
        <is>
          <t>ACTIVO</t>
        </is>
      </c>
      <c r="J12" s="37">
        <f>VLOOKUP(F12,PLAN,4,FALSE)</f>
        <v/>
      </c>
      <c r="K12" s="38" t="n">
        <v>12.99</v>
      </c>
      <c r="L12" s="49" t="n">
        <v>11.99</v>
      </c>
      <c r="M12" s="49" t="n">
        <v>11.99</v>
      </c>
      <c r="N12" s="49">
        <f>L12=M12</f>
        <v/>
      </c>
      <c r="O12" s="50" t="n">
        <v>53.52</v>
      </c>
      <c r="P12" s="38" t="inlineStr">
        <is>
          <t>AZUMI V5</t>
        </is>
      </c>
      <c r="Q12" s="57" t="n"/>
      <c r="R12" s="57" t="n"/>
      <c r="S12" s="57" t="n"/>
      <c r="T12" s="57" t="n"/>
      <c r="U12" s="57" t="n"/>
      <c r="V12" s="57" t="n"/>
      <c r="W12" s="57" t="n"/>
      <c r="X12" s="57" t="n"/>
      <c r="Y12" s="57" t="n"/>
    </row>
    <row r="13" ht="14.25" customHeight="1">
      <c r="A13" s="32" t="n">
        <v>12</v>
      </c>
      <c r="B13" s="51" t="inlineStr">
        <is>
          <t>Rotativo</t>
        </is>
      </c>
      <c r="C13" s="42" t="inlineStr">
        <is>
          <t>Guardas de Seguridad -FINCA CHAPARRO P 17</t>
        </is>
      </c>
      <c r="D13" s="34" t="inlineStr">
        <is>
          <t>Security</t>
        </is>
      </c>
      <c r="E13" s="35" t="inlineStr">
        <is>
          <t>58710761</t>
        </is>
      </c>
      <c r="F13" s="36" t="n">
        <v>50558710761</v>
      </c>
      <c r="G13" s="37">
        <f>VLOOKUP(F13,PLAN,2,FALSE)</f>
        <v/>
      </c>
      <c r="H13" s="37">
        <f>VLOOKUP(F13,PLAN,3,FALSE)</f>
        <v/>
      </c>
      <c r="I13" s="37" t="inlineStr">
        <is>
          <t>ACTIVO</t>
        </is>
      </c>
      <c r="J13" s="37">
        <f>VLOOKUP(F13,PLAN,4,FALSE)</f>
        <v/>
      </c>
      <c r="K13" s="38" t="n">
        <v>12.99</v>
      </c>
      <c r="L13" s="39" t="n">
        <v>11.99</v>
      </c>
      <c r="M13" s="39" t="n">
        <v>11.99</v>
      </c>
      <c r="N13" s="39">
        <f>L13=M13</f>
        <v/>
      </c>
      <c r="O13" s="40" t="n">
        <v>53.52</v>
      </c>
      <c r="P13" s="38" t="inlineStr">
        <is>
          <t>SAMSUNG A01</t>
        </is>
      </c>
      <c r="Q13" s="31" t="n"/>
      <c r="R13" s="31" t="n"/>
      <c r="S13" s="31" t="n"/>
      <c r="T13" s="31" t="n"/>
      <c r="U13" s="31" t="n"/>
      <c r="V13" s="31" t="n"/>
      <c r="W13" s="31" t="n"/>
      <c r="X13" s="31" t="n"/>
      <c r="Y13" s="31" t="n"/>
    </row>
    <row r="14" ht="14.25" customHeight="1">
      <c r="A14" s="32" t="n">
        <v>13</v>
      </c>
      <c r="B14" s="51" t="inlineStr">
        <is>
          <t>Enrique Sanchez</t>
        </is>
      </c>
      <c r="C14" s="42" t="inlineStr">
        <is>
          <t>Gestor Administrativo</t>
        </is>
      </c>
      <c r="D14" s="42" t="inlineStr">
        <is>
          <t>Of. Bolonia CED</t>
        </is>
      </c>
      <c r="E14" s="35" t="inlineStr">
        <is>
          <t>58710778</t>
        </is>
      </c>
      <c r="F14" s="36" t="n">
        <v>50558710778</v>
      </c>
      <c r="G14" s="37">
        <f>VLOOKUP(F14,PLAN,2,FALSE)</f>
        <v/>
      </c>
      <c r="H14" s="37">
        <f>VLOOKUP(F14,PLAN,3,FALSE)</f>
        <v/>
      </c>
      <c r="I14" s="37" t="inlineStr">
        <is>
          <t>ACTIVO</t>
        </is>
      </c>
      <c r="J14" s="37">
        <f>VLOOKUP(F14,PLAN,4,FALSE)</f>
        <v/>
      </c>
      <c r="K14" s="38" t="n">
        <v>12.99</v>
      </c>
      <c r="L14" s="39" t="n"/>
      <c r="M14" s="39" t="n"/>
      <c r="N14" s="39" t="n"/>
      <c r="O14" s="40" t="n"/>
      <c r="P14" s="38" t="inlineStr">
        <is>
          <t>Blu Studio Mini</t>
        </is>
      </c>
      <c r="Q14" s="31" t="n"/>
      <c r="R14" s="31" t="n"/>
      <c r="S14" s="31" t="n"/>
      <c r="T14" s="31" t="n"/>
      <c r="U14" s="31" t="n"/>
      <c r="V14" s="31" t="n"/>
      <c r="W14" s="31" t="n"/>
      <c r="X14" s="31" t="n"/>
      <c r="Y14" s="31" t="n"/>
    </row>
    <row r="15" ht="14.25" customHeight="1">
      <c r="A15" s="32" t="n">
        <v>14</v>
      </c>
      <c r="B15" s="51" t="inlineStr">
        <is>
          <t>Rotativo</t>
        </is>
      </c>
      <c r="C15" s="42" t="inlineStr">
        <is>
          <t>Guardas de Seguridad - Bolonia</t>
        </is>
      </c>
      <c r="D15" s="42" t="inlineStr">
        <is>
          <t>Security</t>
        </is>
      </c>
      <c r="E15" s="35" t="inlineStr">
        <is>
          <t>58710830</t>
        </is>
      </c>
      <c r="F15" s="36" t="n">
        <v>50558710830</v>
      </c>
      <c r="G15" s="37">
        <f>VLOOKUP(F15,PLAN,2,FALSE)</f>
        <v/>
      </c>
      <c r="H15" s="37">
        <f>VLOOKUP(F15,PLAN,3,FALSE)</f>
        <v/>
      </c>
      <c r="I15" s="37" t="inlineStr">
        <is>
          <t>ACTIVO</t>
        </is>
      </c>
      <c r="J15" s="37">
        <f>VLOOKUP(F15,PLAN,4,FALSE)</f>
        <v/>
      </c>
      <c r="K15" s="38" t="n">
        <v>12.99</v>
      </c>
      <c r="L15" s="49" t="n">
        <v>11.99</v>
      </c>
      <c r="M15" s="49" t="n">
        <v>11.99</v>
      </c>
      <c r="N15" s="49">
        <f>L15=M15</f>
        <v/>
      </c>
      <c r="O15" s="50" t="n">
        <v>53.52</v>
      </c>
      <c r="P15" s="38" t="inlineStr">
        <is>
          <t>SAMSUNG A12</t>
        </is>
      </c>
      <c r="Q15" s="57" t="n"/>
      <c r="R15" s="57" t="n"/>
      <c r="S15" s="57" t="n"/>
      <c r="T15" s="57" t="n"/>
      <c r="U15" s="57" t="n"/>
      <c r="V15" s="57" t="n"/>
      <c r="W15" s="57" t="n"/>
      <c r="X15" s="57" t="n"/>
      <c r="Y15" s="57" t="n"/>
    </row>
    <row r="16" ht="14.25" customHeight="1">
      <c r="A16" s="32" t="n">
        <v>15</v>
      </c>
      <c r="B16" s="51" t="inlineStr">
        <is>
          <t>Rotativo</t>
        </is>
      </c>
      <c r="C16" s="42" t="inlineStr">
        <is>
          <t>Guardas de Seguridad - Puesto 24 El Doral</t>
        </is>
      </c>
      <c r="D16" s="42" t="inlineStr">
        <is>
          <t>Security</t>
        </is>
      </c>
      <c r="E16" s="35" t="inlineStr">
        <is>
          <t>58710840</t>
        </is>
      </c>
      <c r="F16" s="36" t="n">
        <v>50558710840</v>
      </c>
      <c r="G16" s="37">
        <f>VLOOKUP(F16,PLAN,2,FALSE)</f>
        <v/>
      </c>
      <c r="H16" s="37">
        <f>VLOOKUP(F16,PLAN,3,FALSE)</f>
        <v/>
      </c>
      <c r="I16" s="37" t="inlineStr">
        <is>
          <t>ACTIVO</t>
        </is>
      </c>
      <c r="J16" s="37">
        <f>VLOOKUP(F16,PLAN,4,FALSE)</f>
        <v/>
      </c>
      <c r="K16" s="38" t="n">
        <v>12.99</v>
      </c>
      <c r="L16" s="29" t="n">
        <v>25.99</v>
      </c>
      <c r="M16" s="29" t="n">
        <v>11.99</v>
      </c>
      <c r="N16" s="29">
        <f>L16=M16</f>
        <v/>
      </c>
      <c r="O16" s="46" t="n">
        <v>53.52</v>
      </c>
      <c r="P16" s="38" t="inlineStr">
        <is>
          <t>SAMSUNG A03</t>
        </is>
      </c>
      <c r="Q16" s="31" t="n"/>
      <c r="R16" s="31" t="n"/>
      <c r="S16" s="31" t="n"/>
      <c r="T16" s="31" t="n"/>
      <c r="U16" s="31" t="n"/>
      <c r="V16" s="31" t="n"/>
      <c r="W16" s="31" t="n"/>
      <c r="X16" s="31" t="n"/>
      <c r="Y16" s="31" t="n"/>
    </row>
    <row r="17" ht="14.25" customFormat="1" customHeight="1" s="225">
      <c r="A17" s="216" t="n">
        <v>16</v>
      </c>
      <c r="B17" s="226" t="inlineStr">
        <is>
          <t>Junior Martínez Lohlofftz</t>
        </is>
      </c>
      <c r="C17" s="227" t="inlineStr">
        <is>
          <t>Asesor de ventas</t>
        </is>
      </c>
      <c r="D17" s="227" t="inlineStr">
        <is>
          <t>Blokon</t>
        </is>
      </c>
      <c r="E17" s="213" t="inlineStr">
        <is>
          <t>58710904</t>
        </is>
      </c>
      <c r="F17" s="244" t="n">
        <v>50558710904</v>
      </c>
      <c r="G17" s="214">
        <f>VLOOKUP(F17,PLAN,2,FALSE)</f>
        <v/>
      </c>
      <c r="H17" s="214">
        <f>VLOOKUP(F17,PLAN,3,FALSE)</f>
        <v/>
      </c>
      <c r="I17" s="214" t="inlineStr">
        <is>
          <t>ACTIVO</t>
        </is>
      </c>
      <c r="J17" s="214">
        <f>VLOOKUP(F17,PLAN,4,FALSE)</f>
        <v/>
      </c>
      <c r="K17" s="215" t="n">
        <v>12.99</v>
      </c>
      <c r="L17" s="222" t="n">
        <v>25.99</v>
      </c>
      <c r="M17" s="222" t="n">
        <v>34.99</v>
      </c>
      <c r="N17" s="222">
        <f>L17=M17</f>
        <v/>
      </c>
      <c r="O17" s="223" t="n">
        <v>36</v>
      </c>
      <c r="P17" s="215" t="inlineStr">
        <is>
          <t>NOKIA C12</t>
        </is>
      </c>
      <c r="Q17" s="224" t="n"/>
      <c r="R17" s="224" t="n"/>
      <c r="S17" s="224" t="n"/>
      <c r="T17" s="224" t="n"/>
      <c r="U17" s="224" t="n"/>
      <c r="V17" s="224" t="n"/>
      <c r="W17" s="224" t="n"/>
      <c r="X17" s="224" t="n"/>
      <c r="Y17" s="224" t="n"/>
    </row>
    <row r="18" ht="14.25" customHeight="1">
      <c r="A18" s="32" t="n">
        <v>17</v>
      </c>
      <c r="B18" s="51" t="inlineStr">
        <is>
          <t>Alejandro Salinas</t>
        </is>
      </c>
      <c r="C18" s="42" t="inlineStr">
        <is>
          <t>Auditor  de Campo</t>
        </is>
      </c>
      <c r="D18" s="42" t="inlineStr">
        <is>
          <t>CED</t>
        </is>
      </c>
      <c r="E18" s="35" t="inlineStr">
        <is>
          <t>58711067</t>
        </is>
      </c>
      <c r="F18" s="36" t="n">
        <v>50558711067</v>
      </c>
      <c r="G18" s="37">
        <f>VLOOKUP(F18,PLAN,2,FALSE)</f>
        <v/>
      </c>
      <c r="H18" s="37">
        <f>VLOOKUP(F18,PLAN,3,FALSE)</f>
        <v/>
      </c>
      <c r="I18" s="37" t="inlineStr">
        <is>
          <t>ACTIVO</t>
        </is>
      </c>
      <c r="J18" s="37">
        <f>VLOOKUP(F18,PLAN,4,FALSE)</f>
        <v/>
      </c>
      <c r="K18" s="38" t="n">
        <v>12.99</v>
      </c>
      <c r="L18" s="58" t="n">
        <v>25.99</v>
      </c>
      <c r="M18" s="58" t="n">
        <v>25.99</v>
      </c>
      <c r="N18" s="58">
        <f>L18=M18</f>
        <v/>
      </c>
      <c r="O18" s="59" t="n">
        <v>30</v>
      </c>
      <c r="P18" s="38" t="inlineStr">
        <is>
          <t>SAMSUNG A21s</t>
        </is>
      </c>
      <c r="Q18" s="31" t="n"/>
      <c r="R18" s="31" t="n"/>
      <c r="S18" s="31" t="n"/>
      <c r="T18" s="31" t="n"/>
      <c r="U18" s="31" t="n"/>
      <c r="V18" s="31" t="n"/>
      <c r="W18" s="31" t="n"/>
      <c r="X18" s="31" t="n"/>
      <c r="Y18" s="31" t="n"/>
    </row>
    <row r="19" ht="14.25" customHeight="1">
      <c r="A19" s="32" t="n">
        <v>18</v>
      </c>
      <c r="B19" s="51" t="inlineStr">
        <is>
          <t>Rotativo</t>
        </is>
      </c>
      <c r="C19" s="42" t="inlineStr">
        <is>
          <t>Guardas de Seguridad - Garita El Doral</t>
        </is>
      </c>
      <c r="D19" s="42" t="inlineStr">
        <is>
          <t>Security</t>
        </is>
      </c>
      <c r="E19" s="35" t="inlineStr">
        <is>
          <t>58711092</t>
        </is>
      </c>
      <c r="F19" s="36" t="n">
        <v>50558711092</v>
      </c>
      <c r="G19" s="37">
        <f>VLOOKUP(F19,PLAN,2,FALSE)</f>
        <v/>
      </c>
      <c r="H19" s="37">
        <f>VLOOKUP(F19,PLAN,3,FALSE)</f>
        <v/>
      </c>
      <c r="I19" s="37" t="inlineStr">
        <is>
          <t>ACTIVO</t>
        </is>
      </c>
      <c r="J19" s="37">
        <f>VLOOKUP(F19,PLAN,4,FALSE)</f>
        <v/>
      </c>
      <c r="K19" s="38" t="n">
        <v>12.99</v>
      </c>
      <c r="L19" s="29" t="n">
        <v>25.99</v>
      </c>
      <c r="M19" s="29" t="n">
        <v>34.99</v>
      </c>
      <c r="N19" s="29">
        <f>L19=M19</f>
        <v/>
      </c>
      <c r="O19" s="46" t="n">
        <v>36</v>
      </c>
      <c r="P19" s="38" t="inlineStr">
        <is>
          <t>SAMSUNG A03</t>
        </is>
      </c>
      <c r="Q19" s="31" t="n"/>
      <c r="R19" s="31" t="n"/>
      <c r="S19" s="31" t="n"/>
      <c r="T19" s="31" t="n"/>
      <c r="U19" s="31" t="n"/>
      <c r="V19" s="31" t="n"/>
      <c r="W19" s="31" t="n"/>
      <c r="X19" s="31" t="n"/>
      <c r="Y19" s="31" t="n"/>
    </row>
    <row r="20" ht="14.25" customHeight="1">
      <c r="A20" s="32" t="n">
        <v>19</v>
      </c>
      <c r="B20" s="60" t="inlineStr">
        <is>
          <t>Rotativo</t>
        </is>
      </c>
      <c r="C20" s="61" t="inlineStr">
        <is>
          <t>SUPERVISOR DORAL</t>
        </is>
      </c>
      <c r="D20" s="42" t="inlineStr">
        <is>
          <t>Security</t>
        </is>
      </c>
      <c r="E20" s="62" t="n">
        <v>58711881</v>
      </c>
      <c r="F20" s="63" t="n">
        <v>50558711881</v>
      </c>
      <c r="G20" s="37">
        <f>VLOOKUP(F20,PLAN,2,FALSE)</f>
        <v/>
      </c>
      <c r="H20" s="37">
        <f>VLOOKUP(F20,PLAN,3,FALSE)</f>
        <v/>
      </c>
      <c r="I20" s="37" t="inlineStr">
        <is>
          <t>ACTIVO</t>
        </is>
      </c>
      <c r="J20" s="37">
        <f>VLOOKUP(F20,PLAN,4,FALSE)</f>
        <v/>
      </c>
      <c r="K20" s="64" t="n">
        <v>12.99</v>
      </c>
      <c r="L20" s="29" t="n">
        <v>25.99</v>
      </c>
      <c r="M20" s="29" t="n">
        <v>11.99</v>
      </c>
      <c r="N20" s="29">
        <f>L20=M20</f>
        <v/>
      </c>
      <c r="O20" s="46" t="n">
        <v>53.52</v>
      </c>
      <c r="P20" s="64" t="inlineStr">
        <is>
          <t>SAMSUNG A03</t>
        </is>
      </c>
      <c r="Q20" s="31" t="n"/>
      <c r="R20" s="31" t="n"/>
      <c r="S20" s="31" t="n"/>
      <c r="T20" s="31" t="n"/>
      <c r="U20" s="31" t="n"/>
      <c r="V20" s="31" t="n"/>
      <c r="W20" s="31" t="n"/>
      <c r="X20" s="31" t="n"/>
      <c r="Y20" s="31" t="n"/>
    </row>
    <row r="21" ht="12.75" customHeight="1">
      <c r="A21" s="32" t="n">
        <v>20</v>
      </c>
      <c r="B21" s="41" t="inlineStr">
        <is>
          <t>Daniel Muñoz</t>
        </is>
      </c>
      <c r="C21" s="42" t="inlineStr">
        <is>
          <t>Operador de planta de tratamiento CONASER</t>
        </is>
      </c>
      <c r="D21" s="42" t="inlineStr">
        <is>
          <t>Conaser</t>
        </is>
      </c>
      <c r="E21" s="35" t="inlineStr">
        <is>
          <t>86064744</t>
        </is>
      </c>
      <c r="F21" s="36" t="n">
        <v>50586064744</v>
      </c>
      <c r="G21" s="37">
        <f>VLOOKUP(F21,PLAN,2,FALSE)</f>
        <v/>
      </c>
      <c r="H21" s="37">
        <f>VLOOKUP(F21,PLAN,3,FALSE)</f>
        <v/>
      </c>
      <c r="I21" s="37" t="inlineStr">
        <is>
          <t>ACTIVO</t>
        </is>
      </c>
      <c r="J21" s="37">
        <f>VLOOKUP(F21,PLAN,4,FALSE)</f>
        <v/>
      </c>
      <c r="K21" s="38" t="n">
        <v>12.99</v>
      </c>
      <c r="L21" s="58" t="n">
        <v>25.99</v>
      </c>
      <c r="M21" s="58" t="n">
        <v>34.99</v>
      </c>
      <c r="N21" s="58">
        <f>L21=M21</f>
        <v/>
      </c>
      <c r="O21" s="65" t="n">
        <v>36</v>
      </c>
      <c r="P21" s="38" t="inlineStr">
        <is>
          <t>SAMSUNG A12</t>
        </is>
      </c>
      <c r="Q21" s="31" t="n"/>
      <c r="R21" s="31" t="n"/>
      <c r="S21" s="31" t="n"/>
      <c r="T21" s="31" t="n"/>
      <c r="U21" s="31" t="n"/>
      <c r="V21" s="31" t="n"/>
      <c r="W21" s="31" t="n"/>
      <c r="X21" s="31" t="n"/>
      <c r="Y21" s="31" t="n"/>
    </row>
    <row r="22" ht="12.75" customHeight="1">
      <c r="A22" s="32" t="n">
        <v>21</v>
      </c>
      <c r="B22" s="41" t="inlineStr">
        <is>
          <t>Joan Flores</t>
        </is>
      </c>
      <c r="C22" s="42" t="inlineStr">
        <is>
          <t>BLOKON (Asistente Gerencia)</t>
        </is>
      </c>
      <c r="D22" s="42" t="inlineStr">
        <is>
          <t>Blokon</t>
        </is>
      </c>
      <c r="E22" s="35" t="inlineStr">
        <is>
          <t>88537722</t>
        </is>
      </c>
      <c r="F22" s="36" t="n">
        <v>50588537722</v>
      </c>
      <c r="G22" s="37">
        <f>VLOOKUP(F22,PLAN,2,FALSE)</f>
        <v/>
      </c>
      <c r="H22" s="37">
        <f>VLOOKUP(F22,PLAN,3,FALSE)</f>
        <v/>
      </c>
      <c r="I22" s="37" t="inlineStr">
        <is>
          <t>ACTIVO</t>
        </is>
      </c>
      <c r="J22" s="37">
        <f>VLOOKUP(F22,PLAN,4,FALSE)</f>
        <v/>
      </c>
      <c r="K22" s="38" t="n">
        <v>12.99</v>
      </c>
      <c r="L22" s="39" t="n">
        <v>25.99</v>
      </c>
      <c r="M22" s="39" t="n">
        <v>25.99</v>
      </c>
      <c r="N22" s="39">
        <f>L22=M22</f>
        <v/>
      </c>
      <c r="O22" s="40" t="n">
        <v>30</v>
      </c>
      <c r="P22" s="38" t="inlineStr">
        <is>
          <t>SAMSUNG A15</t>
        </is>
      </c>
      <c r="Q22" s="31" t="n"/>
      <c r="R22" s="31" t="n"/>
      <c r="S22" s="31" t="n"/>
      <c r="T22" s="31" t="n"/>
      <c r="U22" s="31" t="n"/>
      <c r="V22" s="31" t="n"/>
      <c r="W22" s="31" t="n"/>
      <c r="X22" s="31" t="n"/>
      <c r="Y22" s="31" t="n"/>
    </row>
    <row r="23" ht="14.25" customHeight="1">
      <c r="A23" s="32" t="n">
        <v>22</v>
      </c>
      <c r="B23" s="211" t="inlineStr">
        <is>
          <t>Christian Rizo</t>
        </is>
      </c>
      <c r="C23" s="211" t="inlineStr">
        <is>
          <t>Asesor comercial BLOKON PLANTA</t>
        </is>
      </c>
      <c r="D23" s="212" t="inlineStr">
        <is>
          <t>Blokon</t>
        </is>
      </c>
      <c r="E23" s="213" t="inlineStr">
        <is>
          <t>86927529</t>
        </is>
      </c>
      <c r="F23" s="213" t="inlineStr">
        <is>
          <t>50586927529</t>
        </is>
      </c>
      <c r="G23" s="214" t="n">
        <v>15431460</v>
      </c>
      <c r="H23" s="214" t="n">
        <v>11938220</v>
      </c>
      <c r="I23" s="214" t="inlineStr">
        <is>
          <t>ACTIVO</t>
        </is>
      </c>
      <c r="J23" s="214" t="inlineStr">
        <is>
          <t>New Century Builders S.A.</t>
        </is>
      </c>
      <c r="K23" s="215" t="n">
        <v>12.99</v>
      </c>
      <c r="L23" s="39" t="n">
        <v>25.99</v>
      </c>
      <c r="M23" s="39" t="n">
        <v>34.99</v>
      </c>
      <c r="N23" s="52">
        <f>L23=M23</f>
        <v/>
      </c>
      <c r="O23" s="53" t="n">
        <v>36</v>
      </c>
      <c r="P23" s="215" t="inlineStr">
        <is>
          <t>SAMSUNG A02s</t>
        </is>
      </c>
      <c r="Q23" s="31" t="n"/>
      <c r="R23" s="31" t="n"/>
      <c r="S23" s="31" t="n"/>
      <c r="T23" s="31" t="n"/>
      <c r="U23" s="31" t="n"/>
      <c r="V23" s="31" t="n"/>
      <c r="W23" s="31" t="n"/>
      <c r="X23" s="31" t="n"/>
      <c r="Y23" s="31" t="n"/>
    </row>
    <row r="24" ht="14.25" customHeight="1">
      <c r="A24" s="32" t="n">
        <v>23</v>
      </c>
      <c r="B24" s="45" t="inlineStr">
        <is>
          <t>Darling Umaña</t>
        </is>
      </c>
      <c r="C24" s="45" t="inlineStr">
        <is>
          <t>Servicio Al Cliente BLOKON</t>
        </is>
      </c>
      <c r="D24" s="41" t="inlineStr">
        <is>
          <t>Blokon</t>
        </is>
      </c>
      <c r="E24" s="35" t="inlineStr">
        <is>
          <t>86927530</t>
        </is>
      </c>
      <c r="F24" s="35" t="inlineStr">
        <is>
          <t>50586927530</t>
        </is>
      </c>
      <c r="G24" s="37" t="n">
        <v>15431541</v>
      </c>
      <c r="H24" s="37" t="n">
        <v>11938220</v>
      </c>
      <c r="I24" s="37" t="inlineStr">
        <is>
          <t>ACTIVO</t>
        </is>
      </c>
      <c r="J24" s="37" t="inlineStr">
        <is>
          <t>New Century Builders S.A.</t>
        </is>
      </c>
      <c r="K24" s="38" t="n">
        <v>12.99</v>
      </c>
      <c r="L24" s="29" t="n">
        <v>25.99</v>
      </c>
      <c r="M24" s="29" t="n">
        <v>34.99</v>
      </c>
      <c r="N24" s="29">
        <f>L24=M24</f>
        <v/>
      </c>
      <c r="O24" s="46" t="n">
        <v>36</v>
      </c>
      <c r="P24" s="38" t="inlineStr">
        <is>
          <t>SAMSUNG A15</t>
        </is>
      </c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</row>
    <row r="25" ht="14.25" customHeight="1">
      <c r="A25" s="32" t="n">
        <v>24</v>
      </c>
      <c r="B25" s="45" t="inlineStr">
        <is>
          <t>Josue Ruiz Izaguirre</t>
        </is>
      </c>
      <c r="C25" s="45" t="inlineStr">
        <is>
          <t>Jefe de Bodega BLOKON</t>
        </is>
      </c>
      <c r="D25" s="41" t="inlineStr">
        <is>
          <t>Blokon</t>
        </is>
      </c>
      <c r="E25" s="35" t="inlineStr">
        <is>
          <t>86927549</t>
        </is>
      </c>
      <c r="F25" s="35" t="inlineStr">
        <is>
          <t>50586927549</t>
        </is>
      </c>
      <c r="G25" s="37" t="n">
        <v>15431636</v>
      </c>
      <c r="H25" s="37" t="n">
        <v>11938220</v>
      </c>
      <c r="I25" s="37" t="inlineStr">
        <is>
          <t>ACTIVO</t>
        </is>
      </c>
      <c r="J25" s="37" t="inlineStr">
        <is>
          <t>New Century Builders S.A.</t>
        </is>
      </c>
      <c r="K25" s="38" t="n">
        <v>12.99</v>
      </c>
      <c r="L25" s="39" t="n">
        <v>11.99</v>
      </c>
      <c r="M25" s="39" t="n">
        <v>11.99</v>
      </c>
      <c r="N25" s="39">
        <f>L25=M25</f>
        <v/>
      </c>
      <c r="O25" s="40" t="n">
        <v>53.52</v>
      </c>
      <c r="P25" s="38" t="inlineStr">
        <is>
          <t>SAMSUNG A03</t>
        </is>
      </c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</row>
    <row r="26" ht="13.5" customHeight="1">
      <c r="A26" s="32" t="n">
        <v>25</v>
      </c>
      <c r="B26" s="51" t="inlineStr">
        <is>
          <t>Freddy Gonzalez Aguirre</t>
        </is>
      </c>
      <c r="C26" s="42" t="inlineStr">
        <is>
          <t>Bodega</t>
        </is>
      </c>
      <c r="D26" s="42" t="inlineStr">
        <is>
          <t>Export Depot</t>
        </is>
      </c>
      <c r="E26" s="35" t="inlineStr">
        <is>
          <t>58710776</t>
        </is>
      </c>
      <c r="F26" s="36" t="inlineStr">
        <is>
          <t>50558710776</t>
        </is>
      </c>
      <c r="G26" s="37" t="n">
        <v>13190446</v>
      </c>
      <c r="H26" s="37" t="n">
        <v>11938220</v>
      </c>
      <c r="I26" s="37" t="inlineStr">
        <is>
          <t>ACTIVO</t>
        </is>
      </c>
      <c r="J26" s="37" t="inlineStr">
        <is>
          <t>New Century Builders S.A.</t>
        </is>
      </c>
      <c r="K26" s="38" t="n">
        <v>12.99</v>
      </c>
      <c r="L26" s="31" t="n"/>
      <c r="M26" s="31" t="n"/>
      <c r="N26" s="31" t="n"/>
      <c r="O26" s="31" t="n"/>
      <c r="P26" s="38" t="inlineStr">
        <is>
          <t>SAMSUNG A12</t>
        </is>
      </c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</row>
    <row r="27" ht="14.25" customHeight="1">
      <c r="A27" s="32" t="n">
        <v>26</v>
      </c>
      <c r="B27" s="51" t="inlineStr">
        <is>
          <t>Tesoreria</t>
        </is>
      </c>
      <c r="C27" s="42" t="inlineStr">
        <is>
          <t xml:space="preserve"> Para uso de banco</t>
        </is>
      </c>
      <c r="D27" s="42" t="inlineStr">
        <is>
          <t>Tesoreria CED</t>
        </is>
      </c>
      <c r="E27" s="35" t="inlineStr">
        <is>
          <t>58710764</t>
        </is>
      </c>
      <c r="F27" s="36" t="n">
        <v>50558710764</v>
      </c>
      <c r="G27" s="37">
        <f>VLOOKUP(F27,PLAN,2,FALSE)</f>
        <v/>
      </c>
      <c r="H27" s="37">
        <f>VLOOKUP(F27,PLAN,3,FALSE)</f>
        <v/>
      </c>
      <c r="I27" s="37" t="inlineStr">
        <is>
          <t>ACTIVO</t>
        </is>
      </c>
      <c r="J27" s="37">
        <f>VLOOKUP(F27,PLAN,4,FALSE)</f>
        <v/>
      </c>
      <c r="K27" s="38" t="n">
        <v>12.99</v>
      </c>
      <c r="L27" s="66" t="n"/>
      <c r="M27" s="66" t="n"/>
      <c r="N27" s="66" t="n"/>
      <c r="O27" s="66" t="n"/>
      <c r="P27" s="38" t="inlineStr">
        <is>
          <t>SAMSUNG J2 2018</t>
        </is>
      </c>
      <c r="Q27" s="66" t="n"/>
      <c r="R27" s="66" t="n"/>
      <c r="S27" s="66" t="n"/>
      <c r="T27" s="66" t="n"/>
      <c r="U27" s="66" t="n"/>
      <c r="V27" s="66" t="n"/>
      <c r="W27" s="66" t="n"/>
      <c r="X27" s="66" t="n"/>
      <c r="Y27" s="66" t="n"/>
    </row>
    <row r="28" ht="14.25" customFormat="1" customHeight="1" s="225">
      <c r="A28" s="245" t="n">
        <v>27</v>
      </c>
      <c r="B28" s="226" t="inlineStr">
        <is>
          <t>Cristhofer Martinez</t>
        </is>
      </c>
      <c r="C28" s="227" t="inlineStr">
        <is>
          <t>Administración Security</t>
        </is>
      </c>
      <c r="D28" s="227" t="inlineStr">
        <is>
          <t>Security</t>
        </is>
      </c>
      <c r="E28" s="213" t="inlineStr">
        <is>
          <t>58710811</t>
        </is>
      </c>
      <c r="F28" s="244" t="n">
        <v>50558710811</v>
      </c>
      <c r="G28" s="214">
        <f>VLOOKUP(F28,PLAN,2,FALSE)</f>
        <v/>
      </c>
      <c r="H28" s="214">
        <f>VLOOKUP(F28,PLAN,3,FALSE)</f>
        <v/>
      </c>
      <c r="I28" s="214" t="inlineStr">
        <is>
          <t>ACTIVO</t>
        </is>
      </c>
      <c r="J28" s="214">
        <f>VLOOKUP(F28,PLAN,4,FALSE)</f>
        <v/>
      </c>
      <c r="K28" s="215" t="n">
        <v>12.99</v>
      </c>
      <c r="P28" s="215" t="inlineStr">
        <is>
          <t>Iphone Xr</t>
        </is>
      </c>
      <c r="Q28" s="224" t="n"/>
      <c r="R28" s="224" t="n"/>
      <c r="S28" s="224" t="n"/>
      <c r="T28" s="224" t="n"/>
      <c r="U28" s="224" t="n"/>
      <c r="V28" s="224" t="n"/>
      <c r="W28" s="224" t="n"/>
      <c r="X28" s="224" t="n"/>
      <c r="Y28" s="224" t="n"/>
    </row>
    <row r="29" ht="14.25" customHeight="1">
      <c r="A29" s="32" t="n">
        <v>28</v>
      </c>
      <c r="B29" s="34" t="inlineStr">
        <is>
          <t>Carlos Flores</t>
        </is>
      </c>
      <c r="C29" s="34" t="inlineStr">
        <is>
          <t>Presupuesto</t>
        </is>
      </c>
      <c r="D29" s="67" t="inlineStr">
        <is>
          <t>Operaciones</t>
        </is>
      </c>
      <c r="E29" s="35" t="inlineStr">
        <is>
          <t>58707909</t>
        </is>
      </c>
      <c r="F29" s="36" t="n">
        <v>50558707909</v>
      </c>
      <c r="G29" s="37">
        <f>VLOOKUP(F29,PLAN,2,FALSE)</f>
        <v/>
      </c>
      <c r="H29" s="37">
        <f>VLOOKUP(F29,PLAN,3,FALSE)</f>
        <v/>
      </c>
      <c r="I29" s="37" t="inlineStr">
        <is>
          <t>ACTIVO</t>
        </is>
      </c>
      <c r="J29" s="37">
        <f>VLOOKUP(F29,PLAN,4,FALSE)</f>
        <v/>
      </c>
      <c r="K29" s="38" t="n">
        <v>12.99</v>
      </c>
      <c r="P29" s="38" t="inlineStr">
        <is>
          <t>SAMSUNG A34</t>
        </is>
      </c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</row>
    <row r="30" ht="13.5" customHeight="1">
      <c r="A30" s="32" t="n">
        <v>29</v>
      </c>
      <c r="B30" s="33" t="inlineStr">
        <is>
          <t>Flor Miranda</t>
        </is>
      </c>
      <c r="C30" s="34" t="inlineStr">
        <is>
          <t>Cobranza</t>
        </is>
      </c>
      <c r="D30" s="42" t="inlineStr">
        <is>
          <t>Security</t>
        </is>
      </c>
      <c r="E30" s="35" t="inlineStr">
        <is>
          <t>84475246</t>
        </is>
      </c>
      <c r="F30" s="36" t="inlineStr">
        <is>
          <t>50584475246</t>
        </is>
      </c>
      <c r="G30" s="37" t="n">
        <v>15827931</v>
      </c>
      <c r="H30" s="37" t="n">
        <v>10245586</v>
      </c>
      <c r="I30" s="37" t="inlineStr">
        <is>
          <t>ACTIVO</t>
        </is>
      </c>
      <c r="J30" s="37" t="inlineStr">
        <is>
          <t>Efrain Alexis De La Cruz y CIA LTDA</t>
        </is>
      </c>
      <c r="K30" s="38" t="n">
        <v>12.99</v>
      </c>
      <c r="P30" s="38" t="inlineStr">
        <is>
          <t>SAMSUMG A12</t>
        </is>
      </c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</row>
    <row r="31" ht="12.75" customHeight="1">
      <c r="A31" s="68" t="n">
        <v>30</v>
      </c>
      <c r="B31" s="33" t="inlineStr">
        <is>
          <t>Rotativo</t>
        </is>
      </c>
      <c r="C31" s="34" t="inlineStr">
        <is>
          <t>MONTENEBO 3 P # 2</t>
        </is>
      </c>
      <c r="D31" s="42" t="inlineStr">
        <is>
          <t>Security</t>
        </is>
      </c>
      <c r="E31" s="35" t="inlineStr">
        <is>
          <t>86064742</t>
        </is>
      </c>
      <c r="F31" s="36" t="n">
        <v>50586064742</v>
      </c>
      <c r="G31" s="37">
        <f>VLOOKUP(F31,PLAN,2,FALSE)</f>
        <v/>
      </c>
      <c r="H31" s="37">
        <f>VLOOKUP(F31,PLAN,3,FALSE)</f>
        <v/>
      </c>
      <c r="I31" s="37" t="inlineStr">
        <is>
          <t>ACTIVO</t>
        </is>
      </c>
      <c r="J31" s="37">
        <f>VLOOKUP(F31,PLAN,4,FALSE)</f>
        <v/>
      </c>
      <c r="K31" s="38" t="n">
        <v>12.99</v>
      </c>
      <c r="P31" s="38" t="inlineStr">
        <is>
          <t>ALCATEL 5033E</t>
        </is>
      </c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</row>
    <row r="32" ht="12" customHeight="1">
      <c r="A32" s="68" t="n">
        <v>31</v>
      </c>
      <c r="B32" s="33" t="inlineStr">
        <is>
          <t>Rotativo</t>
        </is>
      </c>
      <c r="C32" s="34" t="inlineStr">
        <is>
          <t>PREDIO MAYOREO 2</t>
        </is>
      </c>
      <c r="D32" s="42" t="inlineStr">
        <is>
          <t>Security</t>
        </is>
      </c>
      <c r="E32" s="35" t="inlineStr">
        <is>
          <t>84475288</t>
        </is>
      </c>
      <c r="F32" s="36" t="inlineStr">
        <is>
          <t>50584475288</t>
        </is>
      </c>
      <c r="G32" s="37" t="n">
        <v>15827979</v>
      </c>
      <c r="H32" s="37" t="n">
        <v>10245586</v>
      </c>
      <c r="I32" s="37" t="inlineStr">
        <is>
          <t>ACTIVO</t>
        </is>
      </c>
      <c r="J32" s="37" t="inlineStr">
        <is>
          <t>Efrain Alexis De La Cruz y CIA LTDA</t>
        </is>
      </c>
      <c r="K32" s="38" t="n">
        <v>12.99</v>
      </c>
      <c r="L32" s="43" t="n"/>
      <c r="M32" s="43" t="n"/>
      <c r="N32" s="43" t="n"/>
      <c r="O32" s="43" t="n"/>
      <c r="P32" s="38" t="inlineStr">
        <is>
          <t xml:space="preserve">AZUMI </t>
        </is>
      </c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</row>
    <row r="33" ht="14.25" customHeight="1">
      <c r="A33" s="32" t="n">
        <v>32</v>
      </c>
      <c r="B33" s="51" t="inlineStr">
        <is>
          <t>Eddy Sandino</t>
        </is>
      </c>
      <c r="C33" s="42" t="inlineStr">
        <is>
          <t>Colector de Security</t>
        </is>
      </c>
      <c r="D33" s="42" t="inlineStr">
        <is>
          <t>Security</t>
        </is>
      </c>
      <c r="E33" s="35" t="inlineStr">
        <is>
          <t>58710793</t>
        </is>
      </c>
      <c r="F33" s="36" t="n">
        <v>50558710793</v>
      </c>
      <c r="G33" s="37">
        <f>VLOOKUP(F33,PLAN,2,FALSE)</f>
        <v/>
      </c>
      <c r="H33" s="37">
        <f>VLOOKUP(F33,PLAN,3,FALSE)</f>
        <v/>
      </c>
      <c r="I33" s="37" t="inlineStr">
        <is>
          <t>ACTIVO</t>
        </is>
      </c>
      <c r="J33" s="37">
        <f>VLOOKUP(F33,PLAN,4,FALSE)</f>
        <v/>
      </c>
      <c r="K33" s="38" t="n">
        <v>12.99</v>
      </c>
      <c r="P33" s="38" t="inlineStr">
        <is>
          <t>SAMSUNG J2 2018</t>
        </is>
      </c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</row>
    <row r="34" ht="14.25" customHeight="1">
      <c r="A34" s="68" t="n">
        <v>33</v>
      </c>
      <c r="B34" s="54" t="inlineStr">
        <is>
          <t>Guarda</t>
        </is>
      </c>
      <c r="C34" s="34" t="inlineStr">
        <is>
          <t>Guarda de Seguridad - Finca Verde Limon</t>
        </is>
      </c>
      <c r="D34" s="42" t="inlineStr">
        <is>
          <t>Security</t>
        </is>
      </c>
      <c r="E34" s="35" t="inlineStr">
        <is>
          <t>55030320</t>
        </is>
      </c>
      <c r="F34" s="36" t="inlineStr">
        <is>
          <t>50555030320</t>
        </is>
      </c>
      <c r="G34" s="37">
        <f>VLOOKUP(F34,PLAN,2,FALSE)</f>
        <v/>
      </c>
      <c r="H34" s="37">
        <f>VLOOKUP(F34,PLAN,3,FALSE)</f>
        <v/>
      </c>
      <c r="I34" s="37" t="inlineStr">
        <is>
          <t>ACTIVO</t>
        </is>
      </c>
      <c r="J34" s="37">
        <f>VLOOKUP(F34,PLAN,4,FALSE)</f>
        <v/>
      </c>
      <c r="K34" s="38" t="n">
        <v>12.99</v>
      </c>
      <c r="P34" s="38" t="inlineStr">
        <is>
          <t>SAMSUNG A03</t>
        </is>
      </c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</row>
    <row r="35" ht="14.25" customHeight="1">
      <c r="A35" s="68" t="n">
        <v>34</v>
      </c>
      <c r="B35" s="54" t="inlineStr">
        <is>
          <t>Guarda</t>
        </is>
      </c>
      <c r="C35" s="34" t="inlineStr">
        <is>
          <t>GARITA GRANADA</t>
        </is>
      </c>
      <c r="D35" s="42" t="inlineStr">
        <is>
          <t>Security</t>
        </is>
      </c>
      <c r="E35" s="35" t="inlineStr">
        <is>
          <t>55030326</t>
        </is>
      </c>
      <c r="F35" s="69" t="inlineStr">
        <is>
          <t>50555030326</t>
        </is>
      </c>
      <c r="G35" s="36">
        <f>VLOOKUP(F35,PLAN,2,FALSE)</f>
        <v/>
      </c>
      <c r="H35" s="37">
        <f>VLOOKUP(F35,PLAN,3,FALSE)</f>
        <v/>
      </c>
      <c r="I35" s="37" t="inlineStr">
        <is>
          <t>ACTIVO</t>
        </is>
      </c>
      <c r="J35" s="37">
        <f>VLOOKUP(F35,PLAN,4,FALSE)</f>
        <v/>
      </c>
      <c r="K35" s="38" t="n">
        <v>12.99</v>
      </c>
      <c r="P35" s="38" t="inlineStr">
        <is>
          <t>SAMSUNG A03</t>
        </is>
      </c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</row>
    <row r="36" ht="14.25" customHeight="1">
      <c r="A36" s="68" t="n">
        <v>35</v>
      </c>
      <c r="B36" s="54" t="inlineStr">
        <is>
          <t>Ervin Escobar, Emiliano Orozco</t>
        </is>
      </c>
      <c r="C36" s="34" t="inlineStr">
        <is>
          <t>Guarda de Seguridad - Bismark Martinez Villa Jerusalen</t>
        </is>
      </c>
      <c r="D36" s="42" t="inlineStr">
        <is>
          <t>Security</t>
        </is>
      </c>
      <c r="E36" s="35" t="inlineStr">
        <is>
          <t>55030331</t>
        </is>
      </c>
      <c r="F36" s="69" t="inlineStr">
        <is>
          <t>50555030331</t>
        </is>
      </c>
      <c r="G36" s="36">
        <f>VLOOKUP(F36,PLAN,2,FALSE)</f>
        <v/>
      </c>
      <c r="H36" s="37">
        <f>VLOOKUP(F36,PLAN,3,FALSE)</f>
        <v/>
      </c>
      <c r="I36" s="37" t="inlineStr">
        <is>
          <t>ACTIVO</t>
        </is>
      </c>
      <c r="J36" s="37">
        <f>VLOOKUP(F36,PLAN,4,FALSE)</f>
        <v/>
      </c>
      <c r="K36" s="38" t="n">
        <v>12.99</v>
      </c>
      <c r="P36" s="38" t="inlineStr">
        <is>
          <t>SAMSUNG A03</t>
        </is>
      </c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</row>
    <row r="37" ht="14.25" customHeight="1">
      <c r="A37" s="68" t="n">
        <v>36</v>
      </c>
      <c r="B37" s="54" t="inlineStr">
        <is>
          <t>Guarda</t>
        </is>
      </c>
      <c r="C37" s="34" t="inlineStr">
        <is>
          <t>SABANA APARTAMENTOS</t>
        </is>
      </c>
      <c r="D37" s="42" t="inlineStr">
        <is>
          <t>Security</t>
        </is>
      </c>
      <c r="E37" s="35" t="inlineStr">
        <is>
          <t>55030334</t>
        </is>
      </c>
      <c r="F37" s="69" t="inlineStr">
        <is>
          <t>50555030334</t>
        </is>
      </c>
      <c r="G37" s="36">
        <f>VLOOKUP(F37,PLAN,2,FALSE)</f>
        <v/>
      </c>
      <c r="H37" s="37">
        <f>VLOOKUP(F37,PLAN,3,FALSE)</f>
        <v/>
      </c>
      <c r="I37" s="37" t="inlineStr">
        <is>
          <t>ACTIVO</t>
        </is>
      </c>
      <c r="J37" s="37">
        <f>VLOOKUP(F37,PLAN,4,FALSE)</f>
        <v/>
      </c>
      <c r="K37" s="38" t="n">
        <v>12.99</v>
      </c>
      <c r="P37" s="38" t="inlineStr">
        <is>
          <t>AZUMI V5</t>
        </is>
      </c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</row>
    <row r="38" ht="14.25" customHeight="1">
      <c r="A38" s="32" t="n">
        <v>37</v>
      </c>
      <c r="B38" s="51" t="inlineStr">
        <is>
          <t>Isaac Zapata</t>
        </is>
      </c>
      <c r="C38" s="34" t="inlineStr">
        <is>
          <t>Auditor Junior</t>
        </is>
      </c>
      <c r="D38" s="42" t="inlineStr">
        <is>
          <t>Auditoria/CED</t>
        </is>
      </c>
      <c r="E38" s="35" t="inlineStr">
        <is>
          <t>55030381</t>
        </is>
      </c>
      <c r="F38" s="69" t="inlineStr">
        <is>
          <t>50555030381</t>
        </is>
      </c>
      <c r="G38" s="36">
        <f>VLOOKUP(F38,PLAN,2,FALSE)</f>
        <v/>
      </c>
      <c r="H38" s="37">
        <f>VLOOKUP(F38,PLAN,3,FALSE)</f>
        <v/>
      </c>
      <c r="I38" s="37" t="inlineStr">
        <is>
          <t>ACTIVO</t>
        </is>
      </c>
      <c r="J38" s="37">
        <f>VLOOKUP(F38,PLAN,4,FALSE)</f>
        <v/>
      </c>
      <c r="K38" s="38" t="n">
        <v>12.99</v>
      </c>
      <c r="P38" s="38" t="inlineStr">
        <is>
          <t>SAMSUNG A15</t>
        </is>
      </c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</row>
    <row r="39" ht="14.25" customHeight="1">
      <c r="A39" s="70" t="n">
        <v>38</v>
      </c>
      <c r="B39" s="71" t="inlineStr">
        <is>
          <t xml:space="preserve">Reynaldo Bustillos </t>
        </is>
      </c>
      <c r="C39" s="72" t="inlineStr">
        <is>
          <t>Maestro de Obras</t>
        </is>
      </c>
      <c r="D39" s="73" t="inlineStr">
        <is>
          <t>Campuzano</t>
        </is>
      </c>
      <c r="E39" s="74" t="inlineStr">
        <is>
          <t>89102039</t>
        </is>
      </c>
      <c r="F39" s="75" t="inlineStr">
        <is>
          <t>50589102039</t>
        </is>
      </c>
      <c r="G39" s="76">
        <f>VLOOKUP(F39,PLAN,2,FALSE)</f>
        <v/>
      </c>
      <c r="H39" s="76">
        <f>VLOOKUP(F39,PLAN,3,FALSE)</f>
        <v/>
      </c>
      <c r="I39" s="76" t="inlineStr">
        <is>
          <t>ACTIVO</t>
        </is>
      </c>
      <c r="J39" s="76">
        <f>VLOOKUP(F39,PLAN,4,FALSE)</f>
        <v/>
      </c>
      <c r="K39" s="77" t="n">
        <v>12.99</v>
      </c>
      <c r="L39" s="78" t="n"/>
      <c r="M39" s="78" t="n"/>
      <c r="N39" s="78" t="n"/>
      <c r="O39" s="78" t="n"/>
      <c r="P39" s="77" t="inlineStr">
        <is>
          <t>NOKIA C12</t>
        </is>
      </c>
      <c r="Q39" s="79" t="n"/>
      <c r="R39" s="79" t="n"/>
      <c r="S39" s="79" t="n"/>
      <c r="T39" s="79" t="n"/>
      <c r="U39" s="79" t="n"/>
      <c r="V39" s="79" t="n"/>
      <c r="W39" s="79" t="n"/>
      <c r="X39" s="79" t="n"/>
      <c r="Y39" s="79" t="n"/>
      <c r="Z39" s="80" t="n"/>
    </row>
    <row r="40" ht="14.25" customHeight="1">
      <c r="A40" s="32" t="n">
        <v>39</v>
      </c>
      <c r="B40" s="41" t="inlineStr">
        <is>
          <t>Belkis Aguilar</t>
        </is>
      </c>
      <c r="C40" s="42" t="inlineStr">
        <is>
          <t>Recepción</t>
        </is>
      </c>
      <c r="D40" s="42" t="inlineStr">
        <is>
          <t>Oficina Bolonia</t>
        </is>
      </c>
      <c r="E40" s="81" t="n">
        <v>58710959</v>
      </c>
      <c r="F40" s="82" t="n">
        <v>50558710959</v>
      </c>
      <c r="G40" s="82">
        <f>VLOOKUP(F40,PLAN,2,FALSE)</f>
        <v/>
      </c>
      <c r="H40" s="82">
        <f>VLOOKUP(F40,PLAN,3,FALSE)</f>
        <v/>
      </c>
      <c r="I40" s="37" t="inlineStr">
        <is>
          <t>ACTIVO</t>
        </is>
      </c>
      <c r="J40" s="37">
        <f>VLOOKUP(F40,PLAN,4,FALSE)</f>
        <v/>
      </c>
      <c r="K40" s="38" t="n">
        <v>12.99</v>
      </c>
      <c r="L40" s="43" t="n"/>
      <c r="M40" s="43" t="n"/>
      <c r="N40" s="43" t="n"/>
      <c r="O40" s="43" t="n"/>
      <c r="P40" s="38" t="inlineStr">
        <is>
          <t>SAMSUNG A15</t>
        </is>
      </c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</row>
    <row r="41" ht="14.25" customHeight="1">
      <c r="A41" s="32" t="n">
        <v>40</v>
      </c>
      <c r="B41" s="83" t="inlineStr">
        <is>
          <t>Gabriel Henandez</t>
        </is>
      </c>
      <c r="C41" s="84" t="inlineStr">
        <is>
          <t>Maestro de Obras</t>
        </is>
      </c>
      <c r="D41" s="85" t="inlineStr">
        <is>
          <t>CED/G66</t>
        </is>
      </c>
      <c r="E41" s="86" t="inlineStr">
        <is>
          <t>87052976</t>
        </is>
      </c>
      <c r="F41" s="87" t="inlineStr">
        <is>
          <t>50587052976</t>
        </is>
      </c>
      <c r="G41" s="88">
        <f>VLOOKUP(F41,PLAN,2,FALSE)</f>
        <v/>
      </c>
      <c r="H41" s="88">
        <f>VLOOKUP(F41,PLAN,3,FALSE)</f>
        <v/>
      </c>
      <c r="I41" s="88" t="inlineStr">
        <is>
          <t>ACTIVO</t>
        </is>
      </c>
      <c r="J41" s="88">
        <f>VLOOKUP(F41,PLAN,4,FALSE)</f>
        <v/>
      </c>
      <c r="K41" s="89" t="n">
        <v>12.99</v>
      </c>
      <c r="L41" s="90" t="n"/>
      <c r="M41" s="90" t="n"/>
      <c r="N41" s="90" t="n"/>
      <c r="O41" s="90" t="n"/>
      <c r="P41" s="89" t="inlineStr">
        <is>
          <t>Solo SIM Card</t>
        </is>
      </c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</row>
    <row r="42" ht="14.25" customHeight="1">
      <c r="A42" s="68" t="n">
        <v>41</v>
      </c>
      <c r="B42" s="41" t="inlineStr">
        <is>
          <t>Guarda</t>
        </is>
      </c>
      <c r="C42" s="34" t="inlineStr">
        <is>
          <t>Guarda de Seguridad - Xolotlan</t>
        </is>
      </c>
      <c r="D42" s="42" t="inlineStr">
        <is>
          <t>Security</t>
        </is>
      </c>
      <c r="E42" s="35" t="inlineStr">
        <is>
          <t>87053347</t>
        </is>
      </c>
      <c r="F42" s="69" t="inlineStr">
        <is>
          <t>50587053347</t>
        </is>
      </c>
      <c r="G42" s="37">
        <f>VLOOKUP(F42,PLAN,2,FALSE)</f>
        <v/>
      </c>
      <c r="H42" s="37">
        <f>VLOOKUP(F42,PLAN,3,FALSE)</f>
        <v/>
      </c>
      <c r="I42" s="37" t="inlineStr">
        <is>
          <t>ACTIVO</t>
        </is>
      </c>
      <c r="J42" s="37">
        <f>VLOOKUP(F42,PLAN,4,FALSE)</f>
        <v/>
      </c>
      <c r="K42" s="38" t="n">
        <v>12.99</v>
      </c>
      <c r="P42" s="38" t="inlineStr">
        <is>
          <t>AZUMI</t>
        </is>
      </c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</row>
    <row r="43" ht="14.25" customHeight="1">
      <c r="A43" s="91" t="n">
        <v>42</v>
      </c>
      <c r="B43" s="41" t="inlineStr">
        <is>
          <t>Xiomara Saravia</t>
        </is>
      </c>
      <c r="C43" s="34" t="inlineStr">
        <is>
          <t>Asistente de Legal</t>
        </is>
      </c>
      <c r="D43" s="42" t="inlineStr">
        <is>
          <t>Of. Bolonia CED / Legal</t>
        </is>
      </c>
      <c r="E43" s="35" t="inlineStr">
        <is>
          <t>87053010</t>
        </is>
      </c>
      <c r="F43" s="35" t="inlineStr">
        <is>
          <t>50587053010</t>
        </is>
      </c>
      <c r="G43" s="37">
        <f>VLOOKUP(F43,PLAN,2,FALSE)</f>
        <v/>
      </c>
      <c r="H43" s="37">
        <f>VLOOKUP(F43,PLAN,3,FALSE)</f>
        <v/>
      </c>
      <c r="I43" s="37" t="inlineStr">
        <is>
          <t>ACTIVO</t>
        </is>
      </c>
      <c r="J43" s="37">
        <f>VLOOKUP(F43,PLAN,4,FALSE)</f>
        <v/>
      </c>
      <c r="K43" s="38" t="n">
        <v>12.99</v>
      </c>
      <c r="L43" s="43" t="n"/>
      <c r="M43" s="43" t="n"/>
      <c r="N43" s="43" t="n"/>
      <c r="O43" s="43" t="n"/>
      <c r="P43" s="38" t="inlineStr">
        <is>
          <t>SAMSUNG A15</t>
        </is>
      </c>
      <c r="Q43" s="79" t="n"/>
      <c r="R43" s="79" t="n"/>
      <c r="S43" s="79" t="n"/>
      <c r="T43" s="79" t="n"/>
      <c r="U43" s="79" t="n"/>
      <c r="V43" s="79" t="n"/>
      <c r="W43" s="79" t="n"/>
      <c r="X43" s="79" t="n"/>
      <c r="Y43" s="79" t="n"/>
      <c r="Z43" s="80" t="n"/>
    </row>
    <row r="44" ht="14.25" customHeight="1">
      <c r="A44" s="68" t="n">
        <v>43</v>
      </c>
      <c r="B44" s="83" t="inlineStr">
        <is>
          <t>Eliezer Cabrera</t>
        </is>
      </c>
      <c r="C44" s="84" t="inlineStr">
        <is>
          <t xml:space="preserve">Ingeniero Residente </t>
        </is>
      </c>
      <c r="D44" s="85" t="inlineStr">
        <is>
          <t>Ciudad el Doral CED</t>
        </is>
      </c>
      <c r="E44" s="86" t="inlineStr">
        <is>
          <t>87053092</t>
        </is>
      </c>
      <c r="F44" s="87" t="inlineStr">
        <is>
          <t>50587053092</t>
        </is>
      </c>
      <c r="G44" s="88">
        <f>VLOOKUP(F44,PLAN,2,FALSE)</f>
        <v/>
      </c>
      <c r="H44" s="88">
        <f>VLOOKUP(F44,PLAN,3,FALSE)</f>
        <v/>
      </c>
      <c r="I44" s="88" t="inlineStr">
        <is>
          <t>ACTIVO</t>
        </is>
      </c>
      <c r="J44" s="88">
        <f>VLOOKUP(F44,PLAN,4,FALSE)</f>
        <v/>
      </c>
      <c r="K44" s="89" t="n">
        <v>12.99</v>
      </c>
      <c r="L44" s="90" t="n"/>
      <c r="M44" s="90" t="n"/>
      <c r="N44" s="90" t="n"/>
      <c r="O44" s="90" t="n"/>
      <c r="P44" s="89" t="inlineStr">
        <is>
          <t>SAMSUNG A35</t>
        </is>
      </c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</row>
    <row r="45" ht="14.25" customFormat="1" customHeight="1" s="225">
      <c r="A45" s="216" t="n">
        <v>44</v>
      </c>
      <c r="B45" s="212" t="inlineStr">
        <is>
          <t>Alfredo Salgado</t>
        </is>
      </c>
      <c r="C45" s="246" t="inlineStr">
        <is>
          <t>Gestor de Compras</t>
        </is>
      </c>
      <c r="D45" s="227" t="inlineStr">
        <is>
          <t>New Century Agricultura</t>
        </is>
      </c>
      <c r="E45" s="213" t="inlineStr">
        <is>
          <t>87053148</t>
        </is>
      </c>
      <c r="F45" s="213" t="inlineStr">
        <is>
          <t>50587053148</t>
        </is>
      </c>
      <c r="G45" s="214">
        <f>VLOOKUP(F45,PLAN,2,FALSE)</f>
        <v/>
      </c>
      <c r="H45" s="214">
        <f>VLOOKUP(F45,PLAN,3,FALSE)</f>
        <v/>
      </c>
      <c r="I45" s="214" t="inlineStr">
        <is>
          <t>ACTIVO</t>
        </is>
      </c>
      <c r="J45" s="214">
        <f>VLOOKUP(F45,PLAN,4,FALSE)</f>
        <v/>
      </c>
      <c r="K45" s="215" t="n">
        <v>12.99</v>
      </c>
      <c r="P45" s="215" t="inlineStr">
        <is>
          <t>Solo SIM Card</t>
        </is>
      </c>
      <c r="Q45" s="224" t="n"/>
      <c r="R45" s="224" t="n"/>
      <c r="S45" s="224" t="n"/>
      <c r="T45" s="224" t="n"/>
      <c r="U45" s="224" t="n"/>
      <c r="V45" s="224" t="n"/>
      <c r="W45" s="224" t="n"/>
      <c r="X45" s="224" t="n"/>
      <c r="Y45" s="224" t="n"/>
    </row>
    <row r="46" ht="14.25" customHeight="1">
      <c r="A46" s="68" t="n">
        <v>45</v>
      </c>
      <c r="B46" s="92" t="inlineStr">
        <is>
          <t>Eduardo Gonzalez</t>
        </is>
      </c>
      <c r="C46" s="93" t="inlineStr">
        <is>
          <t>Jefe de Produccion</t>
        </is>
      </c>
      <c r="D46" s="94" t="inlineStr">
        <is>
          <t>Blokon</t>
        </is>
      </c>
      <c r="E46" s="35" t="inlineStr">
        <is>
          <t>87053176</t>
        </is>
      </c>
      <c r="F46" s="35" t="inlineStr">
        <is>
          <t>50587053176</t>
        </is>
      </c>
      <c r="G46" s="95">
        <f>VLOOKUP(F46,PLAN,2,FALSE)</f>
        <v/>
      </c>
      <c r="H46" s="95">
        <f>VLOOKUP(F46,PLAN,3,FALSE)</f>
        <v/>
      </c>
      <c r="I46" s="95" t="inlineStr">
        <is>
          <t>ACTIVO</t>
        </is>
      </c>
      <c r="J46" s="95">
        <f>VLOOKUP(F46,PLAN,4,FALSE)</f>
        <v/>
      </c>
      <c r="K46" s="96" t="n">
        <v>12.99</v>
      </c>
      <c r="L46" s="97" t="n"/>
      <c r="M46" s="97" t="n"/>
      <c r="N46" s="97" t="n"/>
      <c r="O46" s="97" t="n"/>
      <c r="P46" s="38" t="inlineStr">
        <is>
          <t>SAMSUNG A12</t>
        </is>
      </c>
      <c r="Q46" s="98" t="n"/>
      <c r="R46" s="98" t="n"/>
      <c r="S46" s="98" t="n"/>
      <c r="T46" s="98" t="n"/>
      <c r="U46" s="98" t="n"/>
      <c r="V46" s="98" t="n"/>
      <c r="W46" s="98" t="n"/>
      <c r="X46" s="98" t="n"/>
      <c r="Y46" s="98" t="n"/>
      <c r="Z46" s="97" t="n"/>
    </row>
    <row r="47" ht="14.25" customHeight="1">
      <c r="A47" s="32" t="n">
        <v>46</v>
      </c>
      <c r="B47" s="41" t="inlineStr">
        <is>
          <t>Wilson Urbina</t>
        </is>
      </c>
      <c r="C47" s="34" t="inlineStr">
        <is>
          <t>Coodinador de Planificacion</t>
        </is>
      </c>
      <c r="D47" s="42" t="inlineStr">
        <is>
          <t>Blokon</t>
        </is>
      </c>
      <c r="E47" s="35" t="inlineStr">
        <is>
          <t>87053203</t>
        </is>
      </c>
      <c r="F47" s="35" t="inlineStr">
        <is>
          <t>50587053203</t>
        </is>
      </c>
      <c r="G47" s="37">
        <f>VLOOKUP(F47,PLAN,2,FALSE)</f>
        <v/>
      </c>
      <c r="H47" s="37">
        <f>VLOOKUP(F47,PLAN,3,FALSE)</f>
        <v/>
      </c>
      <c r="I47" s="37" t="inlineStr">
        <is>
          <t>ACTIVO</t>
        </is>
      </c>
      <c r="J47" s="37">
        <f>VLOOKUP(F47,PLAN,4,FALSE)</f>
        <v/>
      </c>
      <c r="K47" s="38" t="n">
        <v>12.99</v>
      </c>
      <c r="P47" s="38" t="inlineStr">
        <is>
          <t>SAMSUNG A33</t>
        </is>
      </c>
      <c r="Q47" s="31" t="n"/>
      <c r="R47" s="31" t="n"/>
      <c r="S47" s="31" t="n"/>
      <c r="T47" s="31" t="n"/>
      <c r="U47" s="31" t="n"/>
      <c r="V47" s="31" t="n"/>
      <c r="W47" s="31" t="n"/>
      <c r="X47" s="31" t="n"/>
      <c r="Y47" s="31" t="n"/>
    </row>
    <row r="48" ht="14.25" customHeight="1">
      <c r="A48" s="99" t="n">
        <v>47</v>
      </c>
      <c r="B48" s="41" t="inlineStr">
        <is>
          <t>Yency Trujillo Rivera</t>
        </is>
      </c>
      <c r="C48" s="34" t="inlineStr">
        <is>
          <t>Caja</t>
        </is>
      </c>
      <c r="D48" s="42" t="inlineStr">
        <is>
          <t>Security</t>
        </is>
      </c>
      <c r="E48" s="35" t="inlineStr">
        <is>
          <t>89104525</t>
        </is>
      </c>
      <c r="F48" s="69" t="inlineStr">
        <is>
          <t>50589104525</t>
        </is>
      </c>
      <c r="G48" s="37">
        <f>VLOOKUP(F48,PLAN,2,FALSE)</f>
        <v/>
      </c>
      <c r="H48" s="37">
        <f>VLOOKUP(F48,PLAN,3,FALSE)</f>
        <v/>
      </c>
      <c r="I48" s="37" t="inlineStr">
        <is>
          <t>ACTIVO</t>
        </is>
      </c>
      <c r="J48" s="37">
        <f>VLOOKUP(F48,PLAN,4,FALSE)</f>
        <v/>
      </c>
      <c r="K48" s="38" t="n">
        <v>12.99</v>
      </c>
      <c r="P48" s="38" t="inlineStr">
        <is>
          <t>SAMSUNG A03</t>
        </is>
      </c>
      <c r="Q48" s="79" t="n"/>
      <c r="R48" s="79" t="n"/>
      <c r="S48" s="79" t="n"/>
      <c r="T48" s="79" t="n"/>
      <c r="U48" s="79" t="n"/>
      <c r="V48" s="79" t="n"/>
      <c r="W48" s="79" t="n"/>
      <c r="X48" s="79" t="n"/>
      <c r="Y48" s="79" t="n"/>
      <c r="Z48" s="80" t="n"/>
    </row>
    <row r="49" ht="14.25" customHeight="1">
      <c r="A49" s="100" t="n">
        <v>48</v>
      </c>
      <c r="B49" s="101" t="inlineStr">
        <is>
          <t>Ernesto Morales</t>
        </is>
      </c>
      <c r="C49" s="42" t="inlineStr">
        <is>
          <t>Soporte Tecnico</t>
        </is>
      </c>
      <c r="D49" s="42" t="inlineStr">
        <is>
          <t xml:space="preserve">Informatica </t>
        </is>
      </c>
      <c r="E49" s="81" t="n">
        <v>58708058</v>
      </c>
      <c r="F49" s="82" t="n">
        <v>50558708058</v>
      </c>
      <c r="G49" s="82">
        <f>VLOOKUP(F49,PLAN,2,FALSE)</f>
        <v/>
      </c>
      <c r="H49" s="82">
        <f>VLOOKUP(F49,PLAN,3,FALSE)</f>
        <v/>
      </c>
      <c r="I49" s="82" t="inlineStr">
        <is>
          <t>ACTIVO</t>
        </is>
      </c>
      <c r="J49" s="37">
        <f>VLOOKUP(F49,PLAN,4,FALSE)</f>
        <v/>
      </c>
      <c r="K49" s="38" t="n">
        <v>12.99</v>
      </c>
      <c r="L49" s="58" t="n"/>
      <c r="M49" s="58" t="n"/>
      <c r="N49" s="58" t="n"/>
      <c r="O49" s="65" t="n"/>
      <c r="P49" s="38" t="inlineStr">
        <is>
          <t>SAMSUNG A20 (2019)</t>
        </is>
      </c>
      <c r="Q49" s="31" t="n"/>
      <c r="R49" s="31" t="n"/>
      <c r="S49" s="31" t="n"/>
      <c r="T49" s="31" t="n"/>
      <c r="U49" s="31" t="n"/>
      <c r="V49" s="31" t="n"/>
      <c r="W49" s="31" t="n"/>
      <c r="X49" s="31" t="n"/>
      <c r="Y49" s="31" t="n"/>
    </row>
    <row r="50" ht="14.25" customHeight="1">
      <c r="A50" s="32" t="n">
        <v>49</v>
      </c>
      <c r="B50" s="102" t="inlineStr">
        <is>
          <t>Asesor</t>
        </is>
      </c>
      <c r="C50" s="42" t="inlineStr">
        <is>
          <t xml:space="preserve">Ventas </t>
        </is>
      </c>
      <c r="D50" s="42" t="inlineStr">
        <is>
          <t>Cobirsa</t>
        </is>
      </c>
      <c r="E50" s="35" t="inlineStr">
        <is>
          <t>58707940</t>
        </is>
      </c>
      <c r="F50" s="36" t="n">
        <v>50558707940</v>
      </c>
      <c r="G50" s="37">
        <f>VLOOKUP(F50,PLAN,2,FALSE)</f>
        <v/>
      </c>
      <c r="H50" s="37">
        <f>VLOOKUP(F50,PLAN,3,FALSE)</f>
        <v/>
      </c>
      <c r="I50" s="37" t="inlineStr">
        <is>
          <t>ACTIVO</t>
        </is>
      </c>
      <c r="J50" s="37">
        <f>VLOOKUP(F50,PLAN,4,FALSE)</f>
        <v/>
      </c>
      <c r="K50" s="38" t="n">
        <v>12.99</v>
      </c>
      <c r="L50" s="39" t="n">
        <v>25.99</v>
      </c>
      <c r="M50" s="39" t="n">
        <v>25.99</v>
      </c>
      <c r="N50" s="39">
        <f>L50=M50</f>
        <v/>
      </c>
      <c r="O50" s="40" t="n">
        <v>30</v>
      </c>
      <c r="P50" s="38" t="inlineStr">
        <is>
          <t>SAMSUNG A23</t>
        </is>
      </c>
      <c r="Q50" s="31" t="n"/>
      <c r="R50" s="31" t="n"/>
      <c r="S50" s="31" t="n"/>
      <c r="T50" s="31" t="n"/>
      <c r="U50" s="31" t="n"/>
      <c r="V50" s="31" t="n"/>
      <c r="W50" s="31" t="n"/>
      <c r="X50" s="31" t="n"/>
      <c r="Y50" s="31" t="n"/>
    </row>
    <row r="51" ht="14.25" customFormat="1" customHeight="1" s="225">
      <c r="A51" s="216" t="n">
        <v>50</v>
      </c>
      <c r="B51" s="212" t="inlineStr">
        <is>
          <t>Giovani Telica</t>
        </is>
      </c>
      <c r="C51" s="246" t="inlineStr">
        <is>
          <t>Ingeniero Residente</t>
        </is>
      </c>
      <c r="D51" s="227" t="inlineStr">
        <is>
          <t>G66 / CED</t>
        </is>
      </c>
      <c r="E51" s="213" t="inlineStr">
        <is>
          <t>87053293</t>
        </is>
      </c>
      <c r="F51" s="213" t="inlineStr">
        <is>
          <t>50587053293</t>
        </is>
      </c>
      <c r="G51" s="214">
        <f>VLOOKUP(F51,PLAN,2,FALSE)</f>
        <v/>
      </c>
      <c r="H51" s="214">
        <f>VLOOKUP(F51,PLAN,3,FALSE)</f>
        <v/>
      </c>
      <c r="I51" s="214" t="inlineStr">
        <is>
          <t>ACTIVO</t>
        </is>
      </c>
      <c r="J51" s="214">
        <f>VLOOKUP(F51,PLAN,4,FALSE)</f>
        <v/>
      </c>
      <c r="K51" s="215" t="n">
        <v>12.99</v>
      </c>
      <c r="L51" s="247" t="n"/>
      <c r="M51" s="247" t="n"/>
      <c r="N51" s="247" t="n"/>
      <c r="O51" s="247" t="n"/>
      <c r="P51" s="215" t="inlineStr">
        <is>
          <t>SAMSUNG A35</t>
        </is>
      </c>
      <c r="Q51" s="224" t="n"/>
      <c r="R51" s="224" t="n"/>
      <c r="S51" s="224" t="n"/>
      <c r="T51" s="224" t="n"/>
      <c r="U51" s="224" t="n"/>
      <c r="V51" s="224" t="n"/>
      <c r="W51" s="224" t="n"/>
      <c r="X51" s="224" t="n"/>
      <c r="Y51" s="224" t="n"/>
    </row>
    <row r="52" ht="14.25" customHeight="1">
      <c r="A52" s="103" t="n">
        <v>51</v>
      </c>
      <c r="B52" s="41" t="inlineStr">
        <is>
          <t xml:space="preserve">Gestor </t>
        </is>
      </c>
      <c r="C52" s="42" t="inlineStr">
        <is>
          <t>Gestor Ventas</t>
        </is>
      </c>
      <c r="D52" s="42" t="inlineStr">
        <is>
          <t>Cobirsa</t>
        </is>
      </c>
      <c r="E52" s="81" t="n">
        <v>58711058</v>
      </c>
      <c r="F52" s="82" t="n">
        <v>50558711058</v>
      </c>
      <c r="G52" s="82">
        <f>VLOOKUP(F52,PLAN,2,FALSE)</f>
        <v/>
      </c>
      <c r="H52" s="82">
        <f>VLOOKUP(F52,PLAN,3,FALSE)</f>
        <v/>
      </c>
      <c r="I52" s="37" t="inlineStr">
        <is>
          <t>ACTIVO</t>
        </is>
      </c>
      <c r="J52" s="37">
        <f>VLOOKUP(F52,PLAN,4,FALSE)</f>
        <v/>
      </c>
      <c r="K52" s="38" t="n">
        <v>12.99</v>
      </c>
      <c r="P52" s="38" t="inlineStr">
        <is>
          <t>SAMSUNG A21s</t>
        </is>
      </c>
      <c r="Q52" s="31" t="n"/>
      <c r="R52" s="31" t="n"/>
      <c r="S52" s="31" t="n"/>
      <c r="T52" s="31" t="n"/>
      <c r="U52" s="31" t="n"/>
      <c r="V52" s="31" t="n"/>
      <c r="W52" s="31" t="n"/>
      <c r="X52" s="31" t="n"/>
      <c r="Y52" s="31" t="n"/>
    </row>
    <row r="53" ht="14.25" customHeight="1">
      <c r="A53" s="103" t="n">
        <v>52</v>
      </c>
      <c r="B53" s="41" t="inlineStr">
        <is>
          <t>Azucena Melendez</t>
        </is>
      </c>
      <c r="C53" s="42" t="inlineStr">
        <is>
          <t>Ventas</t>
        </is>
      </c>
      <c r="D53" s="42" t="inlineStr">
        <is>
          <t>Cobirsa</t>
        </is>
      </c>
      <c r="E53" s="81" t="n">
        <v>85168525</v>
      </c>
      <c r="F53" s="81" t="n">
        <v>50585168525</v>
      </c>
      <c r="G53" s="82" t="n">
        <v>16942639</v>
      </c>
      <c r="H53" s="82" t="n">
        <v>10245586</v>
      </c>
      <c r="I53" s="37" t="inlineStr">
        <is>
          <t>ACTIVO</t>
        </is>
      </c>
      <c r="J53" s="37" t="inlineStr">
        <is>
          <t>Efrain Alexis De La Cruz y CIA LTDA</t>
        </is>
      </c>
      <c r="K53" s="38" t="n">
        <v>12.99</v>
      </c>
      <c r="L53" s="8" t="n"/>
      <c r="M53" s="8" t="n"/>
      <c r="N53" s="8" t="n"/>
      <c r="O53" s="8" t="n"/>
      <c r="P53" s="38" t="inlineStr">
        <is>
          <t>SAMSUNG A33</t>
        </is>
      </c>
      <c r="Q53" s="104" t="n"/>
      <c r="R53" s="31" t="n"/>
      <c r="S53" s="31" t="n"/>
      <c r="T53" s="31" t="n"/>
      <c r="U53" s="31" t="n"/>
      <c r="V53" s="31" t="n"/>
      <c r="W53" s="31" t="n"/>
      <c r="X53" s="31" t="n"/>
      <c r="Y53" s="31" t="n"/>
    </row>
    <row r="54" ht="14.25" customHeight="1">
      <c r="A54" s="238" t="inlineStr">
        <is>
          <t xml:space="preserve"> </t>
        </is>
      </c>
      <c r="B54" s="41" t="inlineStr">
        <is>
          <t>Walter Gonzalez</t>
        </is>
      </c>
      <c r="C54" s="42" t="inlineStr">
        <is>
          <t>Responsable de Bodega</t>
        </is>
      </c>
      <c r="D54" s="42" t="inlineStr">
        <is>
          <t>Bismark Martinez</t>
        </is>
      </c>
      <c r="E54" s="69" t="inlineStr">
        <is>
          <t>87052883</t>
        </is>
      </c>
      <c r="F54" s="69" t="inlineStr">
        <is>
          <t>50587052883</t>
        </is>
      </c>
      <c r="G54" s="38" t="inlineStr">
        <is>
          <t>16974044</t>
        </is>
      </c>
      <c r="H54" s="38" t="inlineStr">
        <is>
          <t>12835587</t>
        </is>
      </c>
      <c r="I54" s="37" t="inlineStr">
        <is>
          <t>ACTIVO</t>
        </is>
      </c>
      <c r="J54" s="37" t="inlineStr">
        <is>
          <t>Efrain Alexis De La Cruz y CIA LTDA</t>
        </is>
      </c>
      <c r="K54" s="38" t="n">
        <v>12.99</v>
      </c>
      <c r="L54" s="105" t="n"/>
      <c r="M54" s="105" t="n"/>
      <c r="N54" s="105" t="n"/>
      <c r="O54" s="105" t="n"/>
      <c r="P54" s="38" t="inlineStr">
        <is>
          <t>SAMSUNG A06</t>
        </is>
      </c>
      <c r="Q54" s="106" t="n"/>
      <c r="R54" s="79" t="n"/>
      <c r="S54" s="79" t="n"/>
      <c r="T54" s="79" t="n"/>
      <c r="U54" s="79" t="n"/>
      <c r="V54" s="79" t="n"/>
      <c r="W54" s="79" t="n"/>
      <c r="X54" s="79" t="n"/>
      <c r="Y54" s="79" t="n"/>
      <c r="Z54" s="80" t="n"/>
    </row>
    <row r="55" ht="14.25" customHeight="1">
      <c r="A55" s="32" t="n"/>
      <c r="P55" s="107" t="n"/>
      <c r="Q55" s="31" t="n"/>
      <c r="R55" s="31" t="n"/>
      <c r="S55" s="31" t="n"/>
      <c r="T55" s="31" t="n"/>
      <c r="U55" s="31" t="n"/>
      <c r="V55" s="31" t="n"/>
      <c r="W55" s="31" t="n"/>
      <c r="X55" s="31" t="n"/>
      <c r="Y55" s="31" t="n"/>
    </row>
    <row r="56" ht="14.25" customHeight="1">
      <c r="A56" s="32" t="n"/>
      <c r="B56" s="108" t="inlineStr">
        <is>
          <t>Asignados</t>
        </is>
      </c>
      <c r="C56" s="108">
        <f>+(C58-C57)</f>
        <v/>
      </c>
      <c r="P56" s="31" t="n"/>
      <c r="Q56" s="31" t="n"/>
      <c r="R56" s="31" t="n"/>
      <c r="S56" s="31" t="n"/>
      <c r="T56" s="31" t="n"/>
      <c r="U56" s="31" t="n"/>
      <c r="V56" s="31" t="n"/>
      <c r="W56" s="31" t="n"/>
      <c r="X56" s="31" t="n"/>
      <c r="Y56" s="31" t="n"/>
    </row>
    <row r="57" ht="14.25" customHeight="1">
      <c r="A57" s="32" t="n"/>
      <c r="B57" s="109" t="inlineStr">
        <is>
          <t>Disponibles</t>
        </is>
      </c>
      <c r="C57" s="110">
        <f>COUNTBLANK(B2:B54)</f>
        <v/>
      </c>
      <c r="P57" s="31" t="n"/>
      <c r="Q57" s="31" t="n"/>
      <c r="R57" s="31" t="n"/>
      <c r="S57" s="31" t="n"/>
      <c r="T57" s="31" t="n"/>
      <c r="U57" s="31" t="n"/>
      <c r="V57" s="31" t="n"/>
      <c r="W57" s="31" t="n"/>
      <c r="X57" s="31" t="n"/>
      <c r="Y57" s="31" t="n"/>
    </row>
    <row r="58" ht="14.25" customHeight="1">
      <c r="A58" s="32" t="n"/>
      <c r="B58" s="111" t="inlineStr">
        <is>
          <t>Total</t>
        </is>
      </c>
      <c r="C58" s="111" t="n">
        <v>53</v>
      </c>
      <c r="P58" s="31" t="n"/>
      <c r="Q58" s="31" t="n"/>
      <c r="R58" s="31" t="n"/>
      <c r="S58" s="31" t="n"/>
      <c r="T58" s="31" t="n"/>
      <c r="U58" s="31" t="n"/>
      <c r="V58" s="31" t="n"/>
      <c r="W58" s="31" t="n"/>
      <c r="X58" s="31" t="n"/>
      <c r="Y58" s="31" t="n"/>
    </row>
    <row r="59" ht="14.25" customHeight="1">
      <c r="A59" s="32" t="n"/>
      <c r="P59" s="31" t="n"/>
      <c r="Q59" s="31" t="n"/>
      <c r="R59" s="31" t="n"/>
      <c r="S59" s="31" t="n"/>
      <c r="T59" s="31" t="n"/>
      <c r="U59" s="31" t="n"/>
      <c r="V59" s="31" t="n"/>
      <c r="W59" s="31" t="n"/>
      <c r="X59" s="31" t="n"/>
      <c r="Y59" s="31" t="n"/>
    </row>
    <row r="60" ht="14.25" customHeight="1">
      <c r="A60" s="32" t="n"/>
      <c r="Q60" s="31" t="n"/>
      <c r="R60" s="31" t="n"/>
      <c r="S60" s="31" t="n"/>
      <c r="T60" s="31" t="n"/>
      <c r="U60" s="31" t="n"/>
      <c r="V60" s="31" t="n"/>
      <c r="W60" s="31" t="n"/>
      <c r="X60" s="31" t="n"/>
      <c r="Y60" s="31" t="n"/>
    </row>
    <row r="61" ht="14.25" customHeight="1">
      <c r="A61" s="32" t="n"/>
      <c r="Q61" s="31" t="n"/>
      <c r="R61" s="31" t="n"/>
      <c r="S61" s="31" t="n"/>
      <c r="T61" s="31" t="n"/>
      <c r="U61" s="31" t="n"/>
      <c r="V61" s="31" t="n"/>
      <c r="W61" s="31" t="n"/>
      <c r="X61" s="31" t="n"/>
      <c r="Y61" s="31" t="n"/>
    </row>
    <row r="62" ht="14.25" customHeight="1">
      <c r="A62" s="32" t="n"/>
      <c r="P62" s="31" t="n"/>
      <c r="Q62" s="31" t="n"/>
      <c r="R62" s="31" t="n"/>
      <c r="S62" s="31" t="n"/>
      <c r="T62" s="31" t="n"/>
      <c r="U62" s="31" t="n"/>
      <c r="V62" s="31" t="n"/>
      <c r="W62" s="31" t="n"/>
      <c r="X62" s="31" t="n"/>
      <c r="Y62" s="31" t="n"/>
    </row>
    <row r="63" ht="14.25" customHeight="1">
      <c r="A63" s="32" t="n"/>
      <c r="P63" s="31" t="n"/>
      <c r="Q63" s="31" t="n"/>
      <c r="R63" s="31" t="n"/>
      <c r="S63" s="31" t="n"/>
      <c r="T63" s="31" t="n"/>
      <c r="U63" s="31" t="n"/>
      <c r="V63" s="31" t="n"/>
      <c r="W63" s="31" t="n"/>
      <c r="X63" s="31" t="n"/>
      <c r="Y63" s="31" t="n"/>
    </row>
    <row r="64" ht="14.25" customHeight="1">
      <c r="A64" s="32" t="n"/>
      <c r="P64" s="31" t="n"/>
      <c r="Q64" s="31" t="n"/>
      <c r="R64" s="31" t="n"/>
      <c r="S64" s="31" t="n"/>
      <c r="T64" s="31" t="n"/>
      <c r="U64" s="31" t="n"/>
      <c r="V64" s="31" t="n"/>
      <c r="W64" s="31" t="n"/>
      <c r="X64" s="31" t="n"/>
      <c r="Y64" s="31" t="n"/>
    </row>
    <row r="65" ht="14.25" customHeight="1">
      <c r="A65" s="32" t="n"/>
      <c r="P65" s="31" t="n"/>
      <c r="Q65" s="31" t="n"/>
      <c r="R65" s="31" t="n"/>
      <c r="S65" s="31" t="n"/>
      <c r="T65" s="31" t="n"/>
      <c r="U65" s="31" t="n"/>
      <c r="V65" s="31" t="n"/>
      <c r="W65" s="31" t="n"/>
      <c r="X65" s="31" t="n"/>
      <c r="Y65" s="31" t="n"/>
    </row>
    <row r="66" ht="14.25" customHeight="1">
      <c r="A66" s="32" t="n"/>
      <c r="P66" s="31" t="n"/>
      <c r="Q66" s="31" t="n"/>
      <c r="R66" s="31" t="n"/>
      <c r="S66" s="31" t="n"/>
      <c r="T66" s="31" t="n"/>
      <c r="U66" s="31" t="n"/>
      <c r="V66" s="31" t="n"/>
      <c r="W66" s="31" t="n"/>
      <c r="X66" s="31" t="n"/>
      <c r="Y66" s="31" t="n"/>
    </row>
    <row r="67" ht="14.25" customHeight="1">
      <c r="A67" s="32" t="n"/>
      <c r="B67" s="14" t="inlineStr">
        <is>
          <t>Eliminados</t>
        </is>
      </c>
      <c r="P67" s="31" t="n"/>
      <c r="Q67" s="31" t="n"/>
      <c r="R67" s="31" t="n"/>
      <c r="S67" s="31" t="n"/>
      <c r="T67" s="31" t="n"/>
      <c r="U67" s="31" t="n"/>
      <c r="V67" s="31" t="n"/>
      <c r="W67" s="31" t="n"/>
      <c r="X67" s="31" t="n"/>
      <c r="Y67" s="31" t="n"/>
    </row>
    <row r="68" ht="14.25" customHeight="1">
      <c r="A68" s="32" t="n"/>
      <c r="B68" s="112" t="inlineStr">
        <is>
          <t>58710758</t>
        </is>
      </c>
      <c r="C68" s="113" t="n">
        <v>50558710758</v>
      </c>
      <c r="D68" s="114">
        <f>VLOOKUP(C68,PLAN,2,FALSE)</f>
        <v/>
      </c>
      <c r="E68" s="114">
        <f>VLOOKUP(C68,PLAN,3,FALSE)</f>
        <v/>
      </c>
      <c r="F68" s="114" t="inlineStr">
        <is>
          <t>ACTIVO</t>
        </is>
      </c>
      <c r="G68" s="114">
        <f>VLOOKUP(C68,PLAN,4,FALSE)</f>
        <v/>
      </c>
      <c r="H68" s="115" t="n">
        <v>12.99</v>
      </c>
      <c r="L68" s="29" t="n">
        <v>11.99</v>
      </c>
      <c r="M68" s="29" t="n">
        <v>11.99</v>
      </c>
      <c r="N68" s="29">
        <f>L68=M68</f>
        <v/>
      </c>
      <c r="O68" s="46" t="n">
        <v>53.52</v>
      </c>
      <c r="P68" s="31" t="n"/>
      <c r="Q68" s="31" t="n"/>
      <c r="R68" s="31" t="n"/>
      <c r="S68" s="31" t="n"/>
      <c r="T68" s="31" t="n"/>
      <c r="U68" s="31" t="n"/>
      <c r="V68" s="31" t="n"/>
      <c r="W68" s="31" t="n"/>
      <c r="X68" s="31" t="n"/>
      <c r="Y68" s="31" t="n"/>
    </row>
    <row r="69" ht="14.25" customHeight="1">
      <c r="A69" s="70" t="n"/>
      <c r="B69" s="112" t="inlineStr">
        <is>
          <t>86927536</t>
        </is>
      </c>
      <c r="C69" s="112" t="inlineStr">
        <is>
          <t>50586927536</t>
        </is>
      </c>
      <c r="D69" s="114" t="n">
        <v>15431590</v>
      </c>
      <c r="E69" s="114" t="n">
        <v>11938220</v>
      </c>
      <c r="F69" s="114" t="inlineStr">
        <is>
          <t>ACTIVO</t>
        </is>
      </c>
      <c r="G69" s="114" t="inlineStr">
        <is>
          <t>New Century Builders S.A.</t>
        </is>
      </c>
      <c r="H69" s="115" t="n">
        <v>12.99</v>
      </c>
      <c r="L69" s="116" t="n">
        <v>11.99</v>
      </c>
      <c r="M69" s="116" t="n">
        <v>11.99</v>
      </c>
      <c r="N69" s="116">
        <f>L69=M69</f>
        <v/>
      </c>
      <c r="O69" s="117" t="n">
        <v>53.52</v>
      </c>
      <c r="P69" s="31" t="n"/>
      <c r="Q69" s="79" t="n"/>
      <c r="R69" s="79" t="n"/>
      <c r="S69" s="79" t="n"/>
      <c r="T69" s="79" t="n"/>
      <c r="U69" s="79" t="n"/>
      <c r="V69" s="79" t="n"/>
      <c r="W69" s="79" t="n"/>
      <c r="X69" s="79" t="n"/>
      <c r="Y69" s="79" t="n"/>
      <c r="Z69" s="80" t="n"/>
    </row>
    <row r="70" ht="14.25" customHeight="1">
      <c r="A70" s="32" t="n"/>
      <c r="P70" s="31" t="n"/>
      <c r="Q70" s="31" t="n"/>
      <c r="R70" s="31" t="n"/>
      <c r="S70" s="31" t="n"/>
      <c r="T70" s="31" t="n"/>
      <c r="U70" s="31" t="n"/>
      <c r="V70" s="31" t="n"/>
      <c r="W70" s="31" t="n"/>
      <c r="X70" s="31" t="n"/>
      <c r="Y70" s="31" t="n"/>
    </row>
    <row r="71" ht="14.25" customHeight="1">
      <c r="A71" s="32" t="n"/>
      <c r="P71" s="31" t="n"/>
      <c r="Q71" s="31" t="n"/>
      <c r="R71" s="31" t="n"/>
      <c r="S71" s="31" t="n"/>
      <c r="T71" s="31" t="n"/>
      <c r="U71" s="31" t="n"/>
      <c r="V71" s="31" t="n"/>
      <c r="W71" s="31" t="n"/>
      <c r="X71" s="31" t="n"/>
      <c r="Y71" s="31" t="n"/>
    </row>
    <row r="72" ht="14.25" customHeight="1">
      <c r="A72" s="32" t="n"/>
      <c r="P72" s="31" t="n"/>
      <c r="Q72" s="31" t="n"/>
      <c r="R72" s="31" t="n"/>
      <c r="S72" s="31" t="n"/>
      <c r="T72" s="31" t="n"/>
      <c r="U72" s="31" t="n"/>
      <c r="V72" s="31" t="n"/>
      <c r="W72" s="31" t="n"/>
      <c r="X72" s="31" t="n"/>
      <c r="Y72" s="31" t="n"/>
    </row>
    <row r="73" ht="14.25" customHeight="1">
      <c r="A73" s="32" t="n"/>
      <c r="P73" s="31" t="n"/>
      <c r="Q73" s="31" t="n"/>
      <c r="R73" s="31" t="n"/>
      <c r="S73" s="31" t="n"/>
      <c r="T73" s="31" t="n"/>
      <c r="U73" s="31" t="n"/>
      <c r="V73" s="31" t="n"/>
      <c r="W73" s="31" t="n"/>
      <c r="X73" s="31" t="n"/>
      <c r="Y73" s="31" t="n"/>
    </row>
    <row r="74" ht="14.25" customHeight="1">
      <c r="A74" s="32" t="n"/>
      <c r="P74" s="31" t="n"/>
      <c r="Q74" s="31" t="n"/>
      <c r="R74" s="31" t="n"/>
      <c r="S74" s="31" t="n"/>
      <c r="T74" s="31" t="n"/>
      <c r="U74" s="31" t="n"/>
      <c r="V74" s="31" t="n"/>
      <c r="W74" s="31" t="n"/>
      <c r="X74" s="31" t="n"/>
      <c r="Y74" s="31" t="n"/>
    </row>
    <row r="75" ht="14.25" customHeight="1">
      <c r="A75" s="32" t="n"/>
      <c r="P75" s="31" t="n"/>
      <c r="Q75" s="31" t="n"/>
      <c r="R75" s="31" t="n"/>
      <c r="S75" s="31" t="n"/>
      <c r="T75" s="31" t="n"/>
      <c r="U75" s="31" t="n"/>
      <c r="V75" s="31" t="n"/>
      <c r="W75" s="31" t="n"/>
      <c r="X75" s="31" t="n"/>
      <c r="Y75" s="31" t="n"/>
    </row>
    <row r="76" ht="14.25" customHeight="1">
      <c r="A76" s="32" t="n"/>
      <c r="P76" s="31" t="n"/>
      <c r="Q76" s="31" t="n"/>
      <c r="R76" s="31" t="n"/>
      <c r="S76" s="31" t="n"/>
      <c r="T76" s="31" t="n"/>
      <c r="U76" s="31" t="n"/>
      <c r="V76" s="31" t="n"/>
      <c r="W76" s="31" t="n"/>
      <c r="X76" s="31" t="n"/>
      <c r="Y76" s="31" t="n"/>
    </row>
    <row r="77" ht="14.25" customHeight="1">
      <c r="A77" s="32" t="n"/>
      <c r="P77" s="31" t="n"/>
      <c r="Q77" s="31" t="n"/>
      <c r="R77" s="31" t="n"/>
      <c r="S77" s="31" t="n"/>
      <c r="T77" s="31" t="n"/>
      <c r="U77" s="31" t="n"/>
      <c r="V77" s="31" t="n"/>
      <c r="W77" s="31" t="n"/>
      <c r="X77" s="31" t="n"/>
      <c r="Y77" s="31" t="n"/>
    </row>
    <row r="78" ht="14.25" customHeight="1">
      <c r="A78" s="32" t="n"/>
      <c r="P78" s="31" t="n"/>
      <c r="Q78" s="31" t="n"/>
      <c r="R78" s="31" t="n"/>
      <c r="S78" s="31" t="n"/>
      <c r="T78" s="31" t="n"/>
      <c r="U78" s="31" t="n"/>
      <c r="V78" s="31" t="n"/>
      <c r="W78" s="31" t="n"/>
      <c r="X78" s="31" t="n"/>
      <c r="Y78" s="31" t="n"/>
    </row>
    <row r="79" ht="14.25" customHeight="1">
      <c r="A79" s="32" t="n"/>
      <c r="P79" s="31" t="n"/>
      <c r="Q79" s="31" t="n"/>
      <c r="R79" s="31" t="n"/>
      <c r="S79" s="31" t="n"/>
      <c r="T79" s="31" t="n"/>
      <c r="U79" s="31" t="n"/>
      <c r="V79" s="31" t="n"/>
      <c r="W79" s="31" t="n"/>
      <c r="X79" s="31" t="n"/>
      <c r="Y79" s="31" t="n"/>
    </row>
    <row r="80" ht="14.25" customHeight="1">
      <c r="A80" s="32" t="n"/>
      <c r="P80" s="31" t="n"/>
      <c r="Q80" s="31" t="n"/>
      <c r="R80" s="31" t="n"/>
      <c r="S80" s="31" t="n"/>
      <c r="T80" s="31" t="n"/>
      <c r="U80" s="31" t="n"/>
      <c r="V80" s="31" t="n"/>
      <c r="W80" s="31" t="n"/>
      <c r="X80" s="31" t="n"/>
      <c r="Y80" s="31" t="n"/>
    </row>
    <row r="81" ht="14.25" customHeight="1">
      <c r="A81" s="32" t="n"/>
      <c r="P81" s="31" t="n"/>
      <c r="Q81" s="31" t="n"/>
      <c r="R81" s="31" t="n"/>
      <c r="S81" s="31" t="n"/>
      <c r="T81" s="31" t="n"/>
      <c r="U81" s="31" t="n"/>
      <c r="V81" s="31" t="n"/>
      <c r="W81" s="31" t="n"/>
      <c r="X81" s="31" t="n"/>
      <c r="Y81" s="31" t="n"/>
    </row>
    <row r="82" ht="14.25" customHeight="1">
      <c r="A82" s="32" t="n"/>
      <c r="P82" s="31" t="n"/>
      <c r="Q82" s="31" t="n"/>
      <c r="R82" s="31" t="n"/>
      <c r="S82" s="31" t="n"/>
      <c r="T82" s="31" t="n"/>
      <c r="U82" s="31" t="n"/>
      <c r="V82" s="31" t="n"/>
      <c r="W82" s="31" t="n"/>
      <c r="X82" s="31" t="n"/>
      <c r="Y82" s="31" t="n"/>
    </row>
    <row r="83" ht="14.25" customHeight="1">
      <c r="A83" s="32" t="n"/>
      <c r="P83" s="31" t="n"/>
      <c r="Q83" s="31" t="n"/>
      <c r="R83" s="31" t="n"/>
      <c r="S83" s="31" t="n"/>
      <c r="T83" s="31" t="n"/>
      <c r="U83" s="31" t="n"/>
      <c r="V83" s="31" t="n"/>
      <c r="W83" s="31" t="n"/>
      <c r="X83" s="31" t="n"/>
      <c r="Y83" s="31" t="n"/>
    </row>
    <row r="84" ht="14.25" customHeight="1">
      <c r="A84" s="32" t="n"/>
      <c r="P84" s="31" t="n"/>
      <c r="Q84" s="31" t="n"/>
      <c r="R84" s="31" t="n"/>
      <c r="S84" s="31" t="n"/>
      <c r="T84" s="31" t="n"/>
      <c r="U84" s="31" t="n"/>
      <c r="V84" s="31" t="n"/>
      <c r="W84" s="31" t="n"/>
      <c r="X84" s="31" t="n"/>
      <c r="Y84" s="31" t="n"/>
    </row>
    <row r="85" ht="14.25" customHeight="1">
      <c r="A85" s="32" t="n"/>
      <c r="P85" s="31" t="n"/>
      <c r="Q85" s="31" t="n"/>
      <c r="R85" s="31" t="n"/>
      <c r="S85" s="31" t="n"/>
      <c r="T85" s="31" t="n"/>
      <c r="U85" s="31" t="n"/>
      <c r="V85" s="31" t="n"/>
      <c r="W85" s="31" t="n"/>
      <c r="X85" s="31" t="n"/>
      <c r="Y85" s="31" t="n"/>
    </row>
    <row r="86" ht="14.25" customHeight="1">
      <c r="A86" s="32" t="n"/>
      <c r="P86" s="31" t="n"/>
      <c r="Q86" s="31" t="n"/>
      <c r="R86" s="31" t="n"/>
      <c r="S86" s="31" t="n"/>
      <c r="T86" s="31" t="n"/>
      <c r="U86" s="31" t="n"/>
      <c r="V86" s="31" t="n"/>
      <c r="W86" s="31" t="n"/>
      <c r="X86" s="31" t="n"/>
      <c r="Y86" s="31" t="n"/>
    </row>
    <row r="87" ht="14.25" customHeight="1">
      <c r="A87" s="32" t="n"/>
      <c r="P87" s="31" t="n"/>
      <c r="Q87" s="31" t="n"/>
      <c r="R87" s="31" t="n"/>
      <c r="S87" s="31" t="n"/>
      <c r="T87" s="31" t="n"/>
      <c r="U87" s="31" t="n"/>
      <c r="V87" s="31" t="n"/>
      <c r="W87" s="31" t="n"/>
      <c r="X87" s="31" t="n"/>
      <c r="Y87" s="31" t="n"/>
    </row>
    <row r="88" ht="14.25" customHeight="1">
      <c r="A88" s="32" t="n"/>
      <c r="P88" s="31" t="n"/>
      <c r="Q88" s="31" t="n"/>
      <c r="R88" s="31" t="n"/>
      <c r="S88" s="31" t="n"/>
      <c r="T88" s="31" t="n"/>
      <c r="U88" s="31" t="n"/>
      <c r="V88" s="31" t="n"/>
      <c r="W88" s="31" t="n"/>
      <c r="X88" s="31" t="n"/>
      <c r="Y88" s="31" t="n"/>
    </row>
    <row r="89" ht="14.25" customHeight="1">
      <c r="A89" s="32" t="n"/>
      <c r="P89" s="31" t="n"/>
      <c r="Q89" s="31" t="n"/>
      <c r="R89" s="31" t="n"/>
      <c r="S89" s="31" t="n"/>
      <c r="T89" s="31" t="n"/>
      <c r="U89" s="31" t="n"/>
      <c r="V89" s="31" t="n"/>
      <c r="W89" s="31" t="n"/>
      <c r="X89" s="31" t="n"/>
      <c r="Y89" s="31" t="n"/>
    </row>
    <row r="90" ht="14.25" customHeight="1">
      <c r="A90" s="32" t="n"/>
      <c r="P90" s="31" t="n"/>
      <c r="Q90" s="31" t="n"/>
      <c r="R90" s="31" t="n"/>
      <c r="S90" s="31" t="n"/>
      <c r="T90" s="31" t="n"/>
      <c r="U90" s="31" t="n"/>
      <c r="V90" s="31" t="n"/>
      <c r="W90" s="31" t="n"/>
      <c r="X90" s="31" t="n"/>
      <c r="Y90" s="31" t="n"/>
    </row>
    <row r="91" ht="14.25" customHeight="1">
      <c r="A91" s="32" t="n"/>
      <c r="P91" s="31" t="n"/>
      <c r="Q91" s="31" t="n"/>
      <c r="R91" s="31" t="n"/>
      <c r="S91" s="31" t="n"/>
      <c r="T91" s="31" t="n"/>
      <c r="U91" s="31" t="n"/>
      <c r="V91" s="31" t="n"/>
      <c r="W91" s="31" t="n"/>
      <c r="X91" s="31" t="n"/>
      <c r="Y91" s="31" t="n"/>
    </row>
    <row r="92" ht="14.25" customHeight="1">
      <c r="A92" s="32" t="n"/>
      <c r="P92" s="31" t="n"/>
      <c r="Q92" s="31" t="n"/>
      <c r="R92" s="31" t="n"/>
      <c r="S92" s="31" t="n"/>
      <c r="T92" s="31" t="n"/>
      <c r="U92" s="31" t="n"/>
      <c r="V92" s="31" t="n"/>
      <c r="W92" s="31" t="n"/>
      <c r="X92" s="31" t="n"/>
      <c r="Y92" s="31" t="n"/>
    </row>
    <row r="93" ht="14.25" customHeight="1">
      <c r="A93" s="32" t="n"/>
      <c r="P93" s="31" t="n"/>
      <c r="Q93" s="31" t="n"/>
      <c r="R93" s="31" t="n"/>
      <c r="S93" s="31" t="n"/>
      <c r="T93" s="31" t="n"/>
      <c r="U93" s="31" t="n"/>
      <c r="V93" s="31" t="n"/>
      <c r="W93" s="31" t="n"/>
      <c r="X93" s="31" t="n"/>
      <c r="Y93" s="31" t="n"/>
    </row>
    <row r="94" ht="14.25" customHeight="1">
      <c r="A94" s="32" t="n"/>
      <c r="P94" s="31" t="n"/>
      <c r="Q94" s="31" t="n"/>
      <c r="R94" s="31" t="n"/>
      <c r="S94" s="31" t="n"/>
      <c r="T94" s="31" t="n"/>
      <c r="U94" s="31" t="n"/>
      <c r="V94" s="31" t="n"/>
      <c r="W94" s="31" t="n"/>
      <c r="X94" s="31" t="n"/>
      <c r="Y94" s="31" t="n"/>
    </row>
    <row r="95" ht="14.25" customHeight="1">
      <c r="A95" s="32" t="n"/>
      <c r="P95" s="31" t="n"/>
      <c r="Q95" s="31" t="n"/>
      <c r="R95" s="31" t="n"/>
      <c r="S95" s="31" t="n"/>
      <c r="T95" s="31" t="n"/>
      <c r="U95" s="31" t="n"/>
      <c r="V95" s="31" t="n"/>
      <c r="W95" s="31" t="n"/>
      <c r="X95" s="31" t="n"/>
      <c r="Y95" s="31" t="n"/>
    </row>
    <row r="96" ht="14.25" customHeight="1">
      <c r="A96" s="32" t="n"/>
      <c r="P96" s="31" t="n"/>
      <c r="Q96" s="31" t="n"/>
      <c r="R96" s="31" t="n"/>
      <c r="S96" s="31" t="n"/>
      <c r="T96" s="31" t="n"/>
      <c r="U96" s="31" t="n"/>
      <c r="V96" s="31" t="n"/>
      <c r="W96" s="31" t="n"/>
      <c r="X96" s="31" t="n"/>
      <c r="Y96" s="31" t="n"/>
    </row>
    <row r="97" ht="14.25" customHeight="1">
      <c r="A97" s="32" t="n"/>
      <c r="P97" s="31" t="n"/>
      <c r="Q97" s="31" t="n"/>
      <c r="R97" s="31" t="n"/>
      <c r="S97" s="31" t="n"/>
      <c r="T97" s="31" t="n"/>
      <c r="U97" s="31" t="n"/>
      <c r="V97" s="31" t="n"/>
      <c r="W97" s="31" t="n"/>
      <c r="X97" s="31" t="n"/>
      <c r="Y97" s="31" t="n"/>
    </row>
    <row r="98" ht="14.25" customHeight="1">
      <c r="A98" s="32" t="n"/>
      <c r="P98" s="31" t="n"/>
      <c r="Q98" s="31" t="n"/>
      <c r="R98" s="31" t="n"/>
      <c r="S98" s="31" t="n"/>
      <c r="T98" s="31" t="n"/>
      <c r="U98" s="31" t="n"/>
      <c r="V98" s="31" t="n"/>
      <c r="W98" s="31" t="n"/>
      <c r="X98" s="31" t="n"/>
      <c r="Y98" s="31" t="n"/>
    </row>
    <row r="99" ht="14.25" customHeight="1">
      <c r="A99" s="32" t="n"/>
      <c r="P99" s="31" t="n"/>
      <c r="Q99" s="31" t="n"/>
      <c r="R99" s="31" t="n"/>
      <c r="S99" s="31" t="n"/>
      <c r="T99" s="31" t="n"/>
      <c r="U99" s="31" t="n"/>
      <c r="V99" s="31" t="n"/>
      <c r="W99" s="31" t="n"/>
      <c r="X99" s="31" t="n"/>
      <c r="Y99" s="31" t="n"/>
    </row>
    <row r="100" ht="14.25" customHeight="1">
      <c r="A100" s="32" t="n"/>
      <c r="P100" s="31" t="n"/>
      <c r="Q100" s="31" t="n"/>
      <c r="R100" s="31" t="n"/>
      <c r="S100" s="31" t="n"/>
      <c r="T100" s="31" t="n"/>
      <c r="U100" s="31" t="n"/>
      <c r="V100" s="31" t="n"/>
      <c r="W100" s="31" t="n"/>
      <c r="X100" s="31" t="n"/>
      <c r="Y100" s="31" t="n"/>
    </row>
    <row r="101" ht="14.25" customHeight="1">
      <c r="A101" s="32" t="n"/>
      <c r="P101" s="31" t="n"/>
      <c r="Q101" s="31" t="n"/>
      <c r="R101" s="31" t="n"/>
      <c r="S101" s="31" t="n"/>
      <c r="T101" s="31" t="n"/>
      <c r="U101" s="31" t="n"/>
      <c r="V101" s="31" t="n"/>
      <c r="W101" s="31" t="n"/>
      <c r="X101" s="31" t="n"/>
      <c r="Y101" s="31" t="n"/>
    </row>
    <row r="102" ht="14.25" customHeight="1">
      <c r="A102" s="32" t="n"/>
      <c r="P102" s="31" t="n"/>
      <c r="Q102" s="31" t="n"/>
      <c r="R102" s="31" t="n"/>
      <c r="S102" s="31" t="n"/>
      <c r="T102" s="31" t="n"/>
      <c r="U102" s="31" t="n"/>
      <c r="V102" s="31" t="n"/>
      <c r="W102" s="31" t="n"/>
      <c r="X102" s="31" t="n"/>
      <c r="Y102" s="31" t="n"/>
    </row>
    <row r="103" ht="14.25" customHeight="1">
      <c r="A103" s="32" t="n"/>
      <c r="P103" s="31" t="n"/>
      <c r="Q103" s="31" t="n"/>
      <c r="R103" s="31" t="n"/>
      <c r="S103" s="31" t="n"/>
      <c r="T103" s="31" t="n"/>
      <c r="U103" s="31" t="n"/>
      <c r="V103" s="31" t="n"/>
      <c r="W103" s="31" t="n"/>
      <c r="X103" s="31" t="n"/>
      <c r="Y103" s="31" t="n"/>
    </row>
    <row r="104" ht="14.25" customHeight="1">
      <c r="A104" s="32" t="n"/>
      <c r="P104" s="31" t="n"/>
      <c r="Q104" s="31" t="n"/>
      <c r="R104" s="31" t="n"/>
      <c r="S104" s="31" t="n"/>
      <c r="T104" s="31" t="n"/>
      <c r="U104" s="31" t="n"/>
      <c r="V104" s="31" t="n"/>
      <c r="W104" s="31" t="n"/>
      <c r="X104" s="31" t="n"/>
      <c r="Y104" s="31" t="n"/>
    </row>
    <row r="105" ht="14.25" customHeight="1">
      <c r="A105" s="32" t="n"/>
      <c r="P105" s="31" t="n"/>
      <c r="Q105" s="31" t="n"/>
      <c r="R105" s="31" t="n"/>
      <c r="S105" s="31" t="n"/>
      <c r="T105" s="31" t="n"/>
      <c r="U105" s="31" t="n"/>
      <c r="V105" s="31" t="n"/>
      <c r="W105" s="31" t="n"/>
      <c r="X105" s="31" t="n"/>
      <c r="Y105" s="31" t="n"/>
    </row>
    <row r="106" ht="14.25" customHeight="1">
      <c r="A106" s="32" t="n"/>
      <c r="P106" s="31" t="n"/>
      <c r="Q106" s="31" t="n"/>
      <c r="R106" s="31" t="n"/>
      <c r="S106" s="31" t="n"/>
      <c r="T106" s="31" t="n"/>
      <c r="U106" s="31" t="n"/>
      <c r="V106" s="31" t="n"/>
      <c r="W106" s="31" t="n"/>
      <c r="X106" s="31" t="n"/>
      <c r="Y106" s="31" t="n"/>
    </row>
    <row r="107" ht="14.25" customHeight="1">
      <c r="A107" s="32" t="n"/>
      <c r="P107" s="31" t="n"/>
      <c r="Q107" s="31" t="n"/>
      <c r="R107" s="31" t="n"/>
      <c r="S107" s="31" t="n"/>
      <c r="T107" s="31" t="n"/>
      <c r="U107" s="31" t="n"/>
      <c r="V107" s="31" t="n"/>
      <c r="W107" s="31" t="n"/>
      <c r="X107" s="31" t="n"/>
      <c r="Y107" s="31" t="n"/>
    </row>
    <row r="108" ht="14.25" customHeight="1">
      <c r="A108" s="32" t="n"/>
      <c r="P108" s="31" t="n"/>
      <c r="Q108" s="31" t="n"/>
      <c r="R108" s="31" t="n"/>
      <c r="S108" s="31" t="n"/>
      <c r="T108" s="31" t="n"/>
      <c r="U108" s="31" t="n"/>
      <c r="V108" s="31" t="n"/>
      <c r="W108" s="31" t="n"/>
      <c r="X108" s="31" t="n"/>
      <c r="Y108" s="31" t="n"/>
    </row>
    <row r="109" ht="14.25" customHeight="1">
      <c r="A109" s="32" t="n"/>
      <c r="P109" s="31" t="n"/>
      <c r="Q109" s="31" t="n"/>
      <c r="R109" s="31" t="n"/>
      <c r="S109" s="31" t="n"/>
      <c r="T109" s="31" t="n"/>
      <c r="U109" s="31" t="n"/>
      <c r="V109" s="31" t="n"/>
      <c r="W109" s="31" t="n"/>
      <c r="X109" s="31" t="n"/>
      <c r="Y109" s="31" t="n"/>
    </row>
    <row r="110" ht="14.25" customHeight="1">
      <c r="A110" s="32" t="n"/>
      <c r="P110" s="31" t="n"/>
      <c r="Q110" s="31" t="n"/>
      <c r="R110" s="31" t="n"/>
      <c r="S110" s="31" t="n"/>
      <c r="T110" s="31" t="n"/>
      <c r="U110" s="31" t="n"/>
      <c r="V110" s="31" t="n"/>
      <c r="W110" s="31" t="n"/>
      <c r="X110" s="31" t="n"/>
      <c r="Y110" s="31" t="n"/>
    </row>
    <row r="111" ht="14.25" customHeight="1">
      <c r="A111" s="32" t="n"/>
      <c r="P111" s="31" t="n"/>
      <c r="Q111" s="31" t="n"/>
      <c r="R111" s="31" t="n"/>
      <c r="S111" s="31" t="n"/>
      <c r="T111" s="31" t="n"/>
      <c r="U111" s="31" t="n"/>
      <c r="V111" s="31" t="n"/>
      <c r="W111" s="31" t="n"/>
      <c r="X111" s="31" t="n"/>
      <c r="Y111" s="31" t="n"/>
    </row>
    <row r="112" ht="14.25" customHeight="1">
      <c r="A112" s="32" t="n"/>
      <c r="P112" s="31" t="n"/>
      <c r="Q112" s="31" t="n"/>
      <c r="R112" s="31" t="n"/>
      <c r="S112" s="31" t="n"/>
      <c r="T112" s="31" t="n"/>
      <c r="U112" s="31" t="n"/>
      <c r="V112" s="31" t="n"/>
      <c r="W112" s="31" t="n"/>
      <c r="X112" s="31" t="n"/>
      <c r="Y112" s="31" t="n"/>
    </row>
    <row r="113" ht="14.25" customHeight="1">
      <c r="A113" s="32" t="n"/>
      <c r="P113" s="31" t="n"/>
      <c r="Q113" s="31" t="n"/>
      <c r="R113" s="31" t="n"/>
      <c r="S113" s="31" t="n"/>
      <c r="T113" s="31" t="n"/>
      <c r="U113" s="31" t="n"/>
      <c r="V113" s="31" t="n"/>
      <c r="W113" s="31" t="n"/>
      <c r="X113" s="31" t="n"/>
      <c r="Y113" s="31" t="n"/>
    </row>
    <row r="114" ht="14.25" customHeight="1">
      <c r="A114" s="32" t="n"/>
      <c r="P114" s="31" t="n"/>
      <c r="Q114" s="31" t="n"/>
      <c r="R114" s="31" t="n"/>
      <c r="S114" s="31" t="n"/>
      <c r="T114" s="31" t="n"/>
      <c r="U114" s="31" t="n"/>
      <c r="V114" s="31" t="n"/>
      <c r="W114" s="31" t="n"/>
      <c r="X114" s="31" t="n"/>
      <c r="Y114" s="31" t="n"/>
    </row>
    <row r="115" ht="14.25" customHeight="1">
      <c r="A115" s="32" t="n"/>
      <c r="P115" s="31" t="n"/>
      <c r="Q115" s="31" t="n"/>
      <c r="R115" s="31" t="n"/>
      <c r="S115" s="31" t="n"/>
      <c r="T115" s="31" t="n"/>
      <c r="U115" s="31" t="n"/>
      <c r="V115" s="31" t="n"/>
      <c r="W115" s="31" t="n"/>
      <c r="X115" s="31" t="n"/>
      <c r="Y115" s="31" t="n"/>
    </row>
    <row r="116" ht="14.25" customHeight="1">
      <c r="A116" s="32" t="n"/>
      <c r="P116" s="31" t="n"/>
      <c r="Q116" s="31" t="n"/>
      <c r="R116" s="31" t="n"/>
      <c r="S116" s="31" t="n"/>
      <c r="T116" s="31" t="n"/>
      <c r="U116" s="31" t="n"/>
      <c r="V116" s="31" t="n"/>
      <c r="W116" s="31" t="n"/>
      <c r="X116" s="31" t="n"/>
      <c r="Y116" s="31" t="n"/>
    </row>
    <row r="117" ht="14.25" customHeight="1">
      <c r="A117" s="32" t="n"/>
      <c r="P117" s="31" t="n"/>
      <c r="Q117" s="31" t="n"/>
      <c r="R117" s="31" t="n"/>
      <c r="S117" s="31" t="n"/>
      <c r="T117" s="31" t="n"/>
      <c r="U117" s="31" t="n"/>
      <c r="V117" s="31" t="n"/>
      <c r="W117" s="31" t="n"/>
      <c r="X117" s="31" t="n"/>
      <c r="Y117" s="31" t="n"/>
    </row>
    <row r="118" ht="14.25" customHeight="1">
      <c r="A118" s="32" t="n"/>
      <c r="P118" s="31" t="n"/>
      <c r="Q118" s="31" t="n"/>
      <c r="R118" s="31" t="n"/>
      <c r="S118" s="31" t="n"/>
      <c r="T118" s="31" t="n"/>
      <c r="U118" s="31" t="n"/>
      <c r="V118" s="31" t="n"/>
      <c r="W118" s="31" t="n"/>
      <c r="X118" s="31" t="n"/>
      <c r="Y118" s="31" t="n"/>
    </row>
    <row r="119" ht="14.25" customHeight="1">
      <c r="A119" s="32" t="n"/>
      <c r="P119" s="31" t="n"/>
      <c r="Q119" s="31" t="n"/>
      <c r="R119" s="31" t="n"/>
      <c r="S119" s="31" t="n"/>
      <c r="T119" s="31" t="n"/>
      <c r="U119" s="31" t="n"/>
      <c r="V119" s="31" t="n"/>
      <c r="W119" s="31" t="n"/>
      <c r="X119" s="31" t="n"/>
      <c r="Y119" s="31" t="n"/>
    </row>
    <row r="120" ht="14.25" customHeight="1">
      <c r="A120" s="32" t="n"/>
      <c r="P120" s="31" t="n"/>
      <c r="Q120" s="31" t="n"/>
      <c r="R120" s="31" t="n"/>
      <c r="S120" s="31" t="n"/>
      <c r="T120" s="31" t="n"/>
      <c r="U120" s="31" t="n"/>
      <c r="V120" s="31" t="n"/>
      <c r="W120" s="31" t="n"/>
      <c r="X120" s="31" t="n"/>
      <c r="Y120" s="31" t="n"/>
    </row>
    <row r="121" ht="14.25" customHeight="1">
      <c r="A121" s="32" t="n"/>
      <c r="P121" s="31" t="n"/>
      <c r="Q121" s="31" t="n"/>
      <c r="R121" s="31" t="n"/>
      <c r="S121" s="31" t="n"/>
      <c r="T121" s="31" t="n"/>
      <c r="U121" s="31" t="n"/>
      <c r="V121" s="31" t="n"/>
      <c r="W121" s="31" t="n"/>
      <c r="X121" s="31" t="n"/>
      <c r="Y121" s="31" t="n"/>
    </row>
    <row r="122" ht="14.25" customHeight="1">
      <c r="A122" s="32" t="n"/>
      <c r="P122" s="31" t="n"/>
      <c r="Q122" s="31" t="n"/>
      <c r="R122" s="31" t="n"/>
      <c r="S122" s="31" t="n"/>
      <c r="T122" s="31" t="n"/>
      <c r="U122" s="31" t="n"/>
      <c r="V122" s="31" t="n"/>
      <c r="W122" s="31" t="n"/>
      <c r="X122" s="31" t="n"/>
      <c r="Y122" s="31" t="n"/>
    </row>
    <row r="123" ht="14.25" customHeight="1">
      <c r="A123" s="32" t="n"/>
      <c r="P123" s="31" t="n"/>
      <c r="Q123" s="31" t="n"/>
      <c r="R123" s="31" t="n"/>
      <c r="S123" s="31" t="n"/>
      <c r="T123" s="31" t="n"/>
      <c r="U123" s="31" t="n"/>
      <c r="V123" s="31" t="n"/>
      <c r="W123" s="31" t="n"/>
      <c r="X123" s="31" t="n"/>
      <c r="Y123" s="31" t="n"/>
    </row>
    <row r="124" ht="14.25" customHeight="1">
      <c r="A124" s="32" t="n"/>
      <c r="P124" s="31" t="n"/>
      <c r="Q124" s="31" t="n"/>
      <c r="R124" s="31" t="n"/>
      <c r="S124" s="31" t="n"/>
      <c r="T124" s="31" t="n"/>
      <c r="U124" s="31" t="n"/>
      <c r="V124" s="31" t="n"/>
      <c r="W124" s="31" t="n"/>
      <c r="X124" s="31" t="n"/>
      <c r="Y124" s="31" t="n"/>
    </row>
    <row r="125" ht="14.25" customHeight="1">
      <c r="A125" s="32" t="n"/>
      <c r="P125" s="31" t="n"/>
      <c r="Q125" s="31" t="n"/>
      <c r="R125" s="31" t="n"/>
      <c r="S125" s="31" t="n"/>
      <c r="T125" s="31" t="n"/>
      <c r="U125" s="31" t="n"/>
      <c r="V125" s="31" t="n"/>
      <c r="W125" s="31" t="n"/>
      <c r="X125" s="31" t="n"/>
      <c r="Y125" s="31" t="n"/>
    </row>
    <row r="126" ht="14.25" customHeight="1">
      <c r="A126" s="32" t="n"/>
      <c r="P126" s="31" t="n"/>
      <c r="Q126" s="31" t="n"/>
      <c r="R126" s="31" t="n"/>
      <c r="S126" s="31" t="n"/>
      <c r="T126" s="31" t="n"/>
      <c r="U126" s="31" t="n"/>
      <c r="V126" s="31" t="n"/>
      <c r="W126" s="31" t="n"/>
      <c r="X126" s="31" t="n"/>
      <c r="Y126" s="31" t="n"/>
    </row>
    <row r="127" ht="14.25" customHeight="1">
      <c r="A127" s="32" t="n"/>
      <c r="P127" s="31" t="n"/>
      <c r="Q127" s="31" t="n"/>
      <c r="R127" s="31" t="n"/>
      <c r="S127" s="31" t="n"/>
      <c r="T127" s="31" t="n"/>
      <c r="U127" s="31" t="n"/>
      <c r="V127" s="31" t="n"/>
      <c r="W127" s="31" t="n"/>
      <c r="X127" s="31" t="n"/>
      <c r="Y127" s="31" t="n"/>
    </row>
    <row r="128" ht="14.25" customHeight="1">
      <c r="A128" s="32" t="n"/>
      <c r="P128" s="31" t="n"/>
      <c r="Q128" s="31" t="n"/>
      <c r="R128" s="31" t="n"/>
      <c r="S128" s="31" t="n"/>
      <c r="T128" s="31" t="n"/>
      <c r="U128" s="31" t="n"/>
      <c r="V128" s="31" t="n"/>
      <c r="W128" s="31" t="n"/>
      <c r="X128" s="31" t="n"/>
      <c r="Y128" s="31" t="n"/>
    </row>
    <row r="129" ht="14.25" customHeight="1">
      <c r="A129" s="32" t="n"/>
      <c r="P129" s="31" t="n"/>
      <c r="Q129" s="31" t="n"/>
      <c r="R129" s="31" t="n"/>
      <c r="S129" s="31" t="n"/>
      <c r="T129" s="31" t="n"/>
      <c r="U129" s="31" t="n"/>
      <c r="V129" s="31" t="n"/>
      <c r="W129" s="31" t="n"/>
      <c r="X129" s="31" t="n"/>
      <c r="Y129" s="31" t="n"/>
    </row>
    <row r="130" ht="14.25" customHeight="1">
      <c r="A130" s="32" t="n"/>
      <c r="P130" s="31" t="n"/>
      <c r="Q130" s="31" t="n"/>
      <c r="R130" s="31" t="n"/>
      <c r="S130" s="31" t="n"/>
      <c r="T130" s="31" t="n"/>
      <c r="U130" s="31" t="n"/>
      <c r="V130" s="31" t="n"/>
      <c r="W130" s="31" t="n"/>
      <c r="X130" s="31" t="n"/>
      <c r="Y130" s="31" t="n"/>
    </row>
    <row r="131" ht="14.25" customHeight="1">
      <c r="A131" s="32" t="n"/>
      <c r="P131" s="31" t="n"/>
      <c r="Q131" s="31" t="n"/>
      <c r="R131" s="31" t="n"/>
      <c r="S131" s="31" t="n"/>
      <c r="T131" s="31" t="n"/>
      <c r="U131" s="31" t="n"/>
      <c r="V131" s="31" t="n"/>
      <c r="W131" s="31" t="n"/>
      <c r="X131" s="31" t="n"/>
      <c r="Y131" s="31" t="n"/>
    </row>
    <row r="132" ht="14.25" customHeight="1">
      <c r="A132" s="32" t="n"/>
      <c r="P132" s="31" t="n"/>
      <c r="Q132" s="31" t="n"/>
      <c r="R132" s="31" t="n"/>
      <c r="S132" s="31" t="n"/>
      <c r="T132" s="31" t="n"/>
      <c r="U132" s="31" t="n"/>
      <c r="V132" s="31" t="n"/>
      <c r="W132" s="31" t="n"/>
      <c r="X132" s="31" t="n"/>
      <c r="Y132" s="31" t="n"/>
    </row>
    <row r="133" ht="14.25" customHeight="1">
      <c r="A133" s="32" t="n"/>
      <c r="P133" s="31" t="n"/>
      <c r="Q133" s="31" t="n"/>
      <c r="R133" s="31" t="n"/>
      <c r="S133" s="31" t="n"/>
      <c r="T133" s="31" t="n"/>
      <c r="U133" s="31" t="n"/>
      <c r="V133" s="31" t="n"/>
      <c r="W133" s="31" t="n"/>
      <c r="X133" s="31" t="n"/>
      <c r="Y133" s="31" t="n"/>
    </row>
    <row r="134" ht="14.25" customHeight="1">
      <c r="A134" s="32" t="n"/>
      <c r="P134" s="31" t="n"/>
      <c r="Q134" s="31" t="n"/>
      <c r="R134" s="31" t="n"/>
      <c r="S134" s="31" t="n"/>
      <c r="T134" s="31" t="n"/>
      <c r="U134" s="31" t="n"/>
      <c r="V134" s="31" t="n"/>
      <c r="W134" s="31" t="n"/>
      <c r="X134" s="31" t="n"/>
      <c r="Y134" s="31" t="n"/>
    </row>
    <row r="135" ht="14.25" customHeight="1">
      <c r="A135" s="32" t="n"/>
      <c r="P135" s="31" t="n"/>
      <c r="Q135" s="31" t="n"/>
      <c r="R135" s="31" t="n"/>
      <c r="S135" s="31" t="n"/>
      <c r="T135" s="31" t="n"/>
      <c r="U135" s="31" t="n"/>
      <c r="V135" s="31" t="n"/>
      <c r="W135" s="31" t="n"/>
      <c r="X135" s="31" t="n"/>
      <c r="Y135" s="31" t="n"/>
    </row>
    <row r="136" ht="14.25" customHeight="1">
      <c r="A136" s="32" t="n"/>
      <c r="P136" s="31" t="n"/>
      <c r="Q136" s="31" t="n"/>
      <c r="R136" s="31" t="n"/>
      <c r="S136" s="31" t="n"/>
      <c r="T136" s="31" t="n"/>
      <c r="U136" s="31" t="n"/>
      <c r="V136" s="31" t="n"/>
      <c r="W136" s="31" t="n"/>
      <c r="X136" s="31" t="n"/>
      <c r="Y136" s="31" t="n"/>
    </row>
    <row r="137" ht="14.25" customHeight="1">
      <c r="A137" s="32" t="n"/>
      <c r="P137" s="31" t="n"/>
      <c r="Q137" s="31" t="n"/>
      <c r="R137" s="31" t="n"/>
      <c r="S137" s="31" t="n"/>
      <c r="T137" s="31" t="n"/>
      <c r="U137" s="31" t="n"/>
      <c r="V137" s="31" t="n"/>
      <c r="W137" s="31" t="n"/>
      <c r="X137" s="31" t="n"/>
      <c r="Y137" s="31" t="n"/>
    </row>
    <row r="138" ht="14.25" customHeight="1">
      <c r="A138" s="32" t="n"/>
      <c r="P138" s="31" t="n"/>
      <c r="Q138" s="31" t="n"/>
      <c r="R138" s="31" t="n"/>
      <c r="S138" s="31" t="n"/>
      <c r="T138" s="31" t="n"/>
      <c r="U138" s="31" t="n"/>
      <c r="V138" s="31" t="n"/>
      <c r="W138" s="31" t="n"/>
      <c r="X138" s="31" t="n"/>
      <c r="Y138" s="31" t="n"/>
    </row>
    <row r="139" ht="14.25" customHeight="1">
      <c r="A139" s="32" t="n"/>
      <c r="P139" s="31" t="n"/>
      <c r="Q139" s="31" t="n"/>
      <c r="R139" s="31" t="n"/>
      <c r="S139" s="31" t="n"/>
      <c r="T139" s="31" t="n"/>
      <c r="U139" s="31" t="n"/>
      <c r="V139" s="31" t="n"/>
      <c r="W139" s="31" t="n"/>
      <c r="X139" s="31" t="n"/>
      <c r="Y139" s="31" t="n"/>
    </row>
    <row r="140" ht="14.25" customHeight="1">
      <c r="A140" s="32" t="n"/>
      <c r="P140" s="31" t="n"/>
      <c r="Q140" s="31" t="n"/>
      <c r="R140" s="31" t="n"/>
      <c r="S140" s="31" t="n"/>
      <c r="T140" s="31" t="n"/>
      <c r="U140" s="31" t="n"/>
      <c r="V140" s="31" t="n"/>
      <c r="W140" s="31" t="n"/>
      <c r="X140" s="31" t="n"/>
      <c r="Y140" s="31" t="n"/>
    </row>
    <row r="141" ht="14.25" customHeight="1">
      <c r="A141" s="32" t="n"/>
      <c r="P141" s="31" t="n"/>
      <c r="Q141" s="31" t="n"/>
      <c r="R141" s="31" t="n"/>
      <c r="S141" s="31" t="n"/>
      <c r="T141" s="31" t="n"/>
      <c r="U141" s="31" t="n"/>
      <c r="V141" s="31" t="n"/>
      <c r="W141" s="31" t="n"/>
      <c r="X141" s="31" t="n"/>
      <c r="Y141" s="31" t="n"/>
    </row>
    <row r="142" ht="14.25" customHeight="1">
      <c r="A142" s="32" t="n"/>
      <c r="P142" s="31" t="n"/>
      <c r="Q142" s="31" t="n"/>
      <c r="R142" s="31" t="n"/>
      <c r="S142" s="31" t="n"/>
      <c r="T142" s="31" t="n"/>
      <c r="U142" s="31" t="n"/>
      <c r="V142" s="31" t="n"/>
      <c r="W142" s="31" t="n"/>
      <c r="X142" s="31" t="n"/>
      <c r="Y142" s="31" t="n"/>
    </row>
    <row r="143" ht="14.25" customHeight="1">
      <c r="A143" s="32" t="n"/>
      <c r="P143" s="31" t="n"/>
      <c r="Q143" s="31" t="n"/>
      <c r="R143" s="31" t="n"/>
      <c r="S143" s="31" t="n"/>
      <c r="T143" s="31" t="n"/>
      <c r="U143" s="31" t="n"/>
      <c r="V143" s="31" t="n"/>
      <c r="W143" s="31" t="n"/>
      <c r="X143" s="31" t="n"/>
      <c r="Y143" s="31" t="n"/>
    </row>
    <row r="144" ht="14.25" customHeight="1">
      <c r="A144" s="32" t="n"/>
      <c r="P144" s="31" t="n"/>
      <c r="Q144" s="31" t="n"/>
      <c r="R144" s="31" t="n"/>
      <c r="S144" s="31" t="n"/>
      <c r="T144" s="31" t="n"/>
      <c r="U144" s="31" t="n"/>
      <c r="V144" s="31" t="n"/>
      <c r="W144" s="31" t="n"/>
      <c r="X144" s="31" t="n"/>
      <c r="Y144" s="31" t="n"/>
    </row>
    <row r="145" ht="14.25" customHeight="1">
      <c r="A145" s="32" t="n"/>
      <c r="P145" s="31" t="n"/>
      <c r="Q145" s="31" t="n"/>
      <c r="R145" s="31" t="n"/>
      <c r="S145" s="31" t="n"/>
      <c r="T145" s="31" t="n"/>
      <c r="U145" s="31" t="n"/>
      <c r="V145" s="31" t="n"/>
      <c r="W145" s="31" t="n"/>
      <c r="X145" s="31" t="n"/>
      <c r="Y145" s="31" t="n"/>
    </row>
    <row r="146" ht="14.25" customHeight="1">
      <c r="A146" s="32" t="n"/>
      <c r="P146" s="31" t="n"/>
      <c r="Q146" s="31" t="n"/>
      <c r="R146" s="31" t="n"/>
      <c r="S146" s="31" t="n"/>
      <c r="T146" s="31" t="n"/>
      <c r="U146" s="31" t="n"/>
      <c r="V146" s="31" t="n"/>
      <c r="W146" s="31" t="n"/>
      <c r="X146" s="31" t="n"/>
      <c r="Y146" s="31" t="n"/>
    </row>
    <row r="147" ht="14.25" customHeight="1">
      <c r="A147" s="32" t="n"/>
      <c r="P147" s="31" t="n"/>
      <c r="Q147" s="31" t="n"/>
      <c r="R147" s="31" t="n"/>
      <c r="S147" s="31" t="n"/>
      <c r="T147" s="31" t="n"/>
      <c r="U147" s="31" t="n"/>
      <c r="V147" s="31" t="n"/>
      <c r="W147" s="31" t="n"/>
      <c r="X147" s="31" t="n"/>
      <c r="Y147" s="31" t="n"/>
    </row>
    <row r="148" ht="14.25" customHeight="1">
      <c r="A148" s="32" t="n"/>
      <c r="P148" s="31" t="n"/>
      <c r="Q148" s="31" t="n"/>
      <c r="R148" s="31" t="n"/>
      <c r="S148" s="31" t="n"/>
      <c r="T148" s="31" t="n"/>
      <c r="U148" s="31" t="n"/>
      <c r="V148" s="31" t="n"/>
      <c r="W148" s="31" t="n"/>
      <c r="X148" s="31" t="n"/>
      <c r="Y148" s="31" t="n"/>
    </row>
    <row r="149" ht="14.25" customHeight="1">
      <c r="A149" s="32" t="n"/>
      <c r="P149" s="31" t="n"/>
      <c r="Q149" s="31" t="n"/>
      <c r="R149" s="31" t="n"/>
      <c r="S149" s="31" t="n"/>
      <c r="T149" s="31" t="n"/>
      <c r="U149" s="31" t="n"/>
      <c r="V149" s="31" t="n"/>
      <c r="W149" s="31" t="n"/>
      <c r="X149" s="31" t="n"/>
      <c r="Y149" s="31" t="n"/>
    </row>
    <row r="150" ht="14.25" customHeight="1">
      <c r="A150" s="32" t="n"/>
      <c r="P150" s="31" t="n"/>
      <c r="Q150" s="31" t="n"/>
      <c r="R150" s="31" t="n"/>
      <c r="S150" s="31" t="n"/>
      <c r="T150" s="31" t="n"/>
      <c r="U150" s="31" t="n"/>
      <c r="V150" s="31" t="n"/>
      <c r="W150" s="31" t="n"/>
      <c r="X150" s="31" t="n"/>
      <c r="Y150" s="31" t="n"/>
    </row>
    <row r="151" ht="14.25" customHeight="1">
      <c r="A151" s="32" t="n"/>
      <c r="P151" s="31" t="n"/>
      <c r="Q151" s="31" t="n"/>
      <c r="R151" s="31" t="n"/>
      <c r="S151" s="31" t="n"/>
      <c r="T151" s="31" t="n"/>
      <c r="U151" s="31" t="n"/>
      <c r="V151" s="31" t="n"/>
      <c r="W151" s="31" t="n"/>
      <c r="X151" s="31" t="n"/>
      <c r="Y151" s="31" t="n"/>
    </row>
    <row r="152" ht="14.25" customHeight="1">
      <c r="A152" s="32" t="n"/>
      <c r="P152" s="31" t="n"/>
      <c r="Q152" s="31" t="n"/>
      <c r="R152" s="31" t="n"/>
      <c r="S152" s="31" t="n"/>
      <c r="T152" s="31" t="n"/>
      <c r="U152" s="31" t="n"/>
      <c r="V152" s="31" t="n"/>
      <c r="W152" s="31" t="n"/>
      <c r="X152" s="31" t="n"/>
      <c r="Y152" s="31" t="n"/>
    </row>
    <row r="153" ht="14.25" customHeight="1">
      <c r="A153" s="32" t="n"/>
      <c r="P153" s="31" t="n"/>
      <c r="Q153" s="31" t="n"/>
      <c r="R153" s="31" t="n"/>
      <c r="S153" s="31" t="n"/>
      <c r="T153" s="31" t="n"/>
      <c r="U153" s="31" t="n"/>
      <c r="V153" s="31" t="n"/>
      <c r="W153" s="31" t="n"/>
      <c r="X153" s="31" t="n"/>
      <c r="Y153" s="31" t="n"/>
    </row>
    <row r="154" ht="14.25" customHeight="1">
      <c r="A154" s="32" t="n"/>
      <c r="P154" s="31" t="n"/>
      <c r="Q154" s="31" t="n"/>
      <c r="R154" s="31" t="n"/>
      <c r="S154" s="31" t="n"/>
      <c r="T154" s="31" t="n"/>
      <c r="U154" s="31" t="n"/>
      <c r="V154" s="31" t="n"/>
      <c r="W154" s="31" t="n"/>
      <c r="X154" s="31" t="n"/>
      <c r="Y154" s="31" t="n"/>
    </row>
    <row r="155" ht="14.25" customHeight="1">
      <c r="A155" s="32" t="n"/>
      <c r="P155" s="31" t="n"/>
      <c r="Q155" s="31" t="n"/>
      <c r="R155" s="31" t="n"/>
      <c r="S155" s="31" t="n"/>
      <c r="T155" s="31" t="n"/>
      <c r="U155" s="31" t="n"/>
      <c r="V155" s="31" t="n"/>
      <c r="W155" s="31" t="n"/>
      <c r="X155" s="31" t="n"/>
      <c r="Y155" s="31" t="n"/>
    </row>
    <row r="156" ht="14.25" customHeight="1">
      <c r="A156" s="32" t="n"/>
      <c r="P156" s="31" t="n"/>
      <c r="Q156" s="31" t="n"/>
      <c r="R156" s="31" t="n"/>
      <c r="S156" s="31" t="n"/>
      <c r="T156" s="31" t="n"/>
      <c r="U156" s="31" t="n"/>
      <c r="V156" s="31" t="n"/>
      <c r="W156" s="31" t="n"/>
      <c r="X156" s="31" t="n"/>
      <c r="Y156" s="31" t="n"/>
    </row>
    <row r="157" ht="14.25" customHeight="1">
      <c r="A157" s="32" t="n"/>
      <c r="P157" s="31" t="n"/>
      <c r="Q157" s="31" t="n"/>
      <c r="R157" s="31" t="n"/>
      <c r="S157" s="31" t="n"/>
      <c r="T157" s="31" t="n"/>
      <c r="U157" s="31" t="n"/>
      <c r="V157" s="31" t="n"/>
      <c r="W157" s="31" t="n"/>
      <c r="X157" s="31" t="n"/>
      <c r="Y157" s="31" t="n"/>
    </row>
    <row r="158" ht="14.25" customHeight="1">
      <c r="A158" s="32" t="n"/>
      <c r="P158" s="31" t="n"/>
      <c r="Q158" s="31" t="n"/>
      <c r="R158" s="31" t="n"/>
      <c r="S158" s="31" t="n"/>
      <c r="T158" s="31" t="n"/>
      <c r="U158" s="31" t="n"/>
      <c r="V158" s="31" t="n"/>
      <c r="W158" s="31" t="n"/>
      <c r="X158" s="31" t="n"/>
      <c r="Y158" s="31" t="n"/>
    </row>
    <row r="159" ht="14.25" customHeight="1">
      <c r="A159" s="32" t="n"/>
      <c r="P159" s="31" t="n"/>
      <c r="Q159" s="31" t="n"/>
      <c r="R159" s="31" t="n"/>
      <c r="S159" s="31" t="n"/>
      <c r="T159" s="31" t="n"/>
      <c r="U159" s="31" t="n"/>
      <c r="V159" s="31" t="n"/>
      <c r="W159" s="31" t="n"/>
      <c r="X159" s="31" t="n"/>
      <c r="Y159" s="31" t="n"/>
    </row>
    <row r="160" ht="14.25" customHeight="1">
      <c r="A160" s="32" t="n"/>
      <c r="P160" s="31" t="n"/>
      <c r="Q160" s="31" t="n"/>
      <c r="R160" s="31" t="n"/>
      <c r="S160" s="31" t="n"/>
      <c r="T160" s="31" t="n"/>
      <c r="U160" s="31" t="n"/>
      <c r="V160" s="31" t="n"/>
      <c r="W160" s="31" t="n"/>
      <c r="X160" s="31" t="n"/>
      <c r="Y160" s="31" t="n"/>
    </row>
    <row r="161" ht="14.25" customHeight="1">
      <c r="A161" s="32" t="n"/>
      <c r="P161" s="31" t="n"/>
      <c r="Q161" s="31" t="n"/>
      <c r="R161" s="31" t="n"/>
      <c r="S161" s="31" t="n"/>
      <c r="T161" s="31" t="n"/>
      <c r="U161" s="31" t="n"/>
      <c r="V161" s="31" t="n"/>
      <c r="W161" s="31" t="n"/>
      <c r="X161" s="31" t="n"/>
      <c r="Y161" s="31" t="n"/>
    </row>
    <row r="162" ht="14.25" customHeight="1">
      <c r="A162" s="32" t="n"/>
      <c r="P162" s="31" t="n"/>
      <c r="Q162" s="31" t="n"/>
      <c r="R162" s="31" t="n"/>
      <c r="S162" s="31" t="n"/>
      <c r="T162" s="31" t="n"/>
      <c r="U162" s="31" t="n"/>
      <c r="V162" s="31" t="n"/>
      <c r="W162" s="31" t="n"/>
      <c r="X162" s="31" t="n"/>
      <c r="Y162" s="31" t="n"/>
    </row>
    <row r="163" ht="14.25" customHeight="1">
      <c r="A163" s="32" t="n"/>
      <c r="P163" s="31" t="n"/>
      <c r="Q163" s="31" t="n"/>
      <c r="R163" s="31" t="n"/>
      <c r="S163" s="31" t="n"/>
      <c r="T163" s="31" t="n"/>
      <c r="U163" s="31" t="n"/>
      <c r="V163" s="31" t="n"/>
      <c r="W163" s="31" t="n"/>
      <c r="X163" s="31" t="n"/>
      <c r="Y163" s="31" t="n"/>
    </row>
    <row r="164" ht="14.25" customHeight="1">
      <c r="A164" s="32" t="n"/>
      <c r="P164" s="31" t="n"/>
      <c r="Q164" s="31" t="n"/>
      <c r="R164" s="31" t="n"/>
      <c r="S164" s="31" t="n"/>
      <c r="T164" s="31" t="n"/>
      <c r="U164" s="31" t="n"/>
      <c r="V164" s="31" t="n"/>
      <c r="W164" s="31" t="n"/>
      <c r="X164" s="31" t="n"/>
      <c r="Y164" s="31" t="n"/>
    </row>
    <row r="165" ht="14.25" customHeight="1">
      <c r="A165" s="32" t="n"/>
      <c r="P165" s="31" t="n"/>
      <c r="Q165" s="31" t="n"/>
      <c r="R165" s="31" t="n"/>
      <c r="S165" s="31" t="n"/>
      <c r="T165" s="31" t="n"/>
      <c r="U165" s="31" t="n"/>
      <c r="V165" s="31" t="n"/>
      <c r="W165" s="31" t="n"/>
      <c r="X165" s="31" t="n"/>
      <c r="Y165" s="31" t="n"/>
    </row>
    <row r="166" ht="14.25" customHeight="1">
      <c r="A166" s="32" t="n"/>
      <c r="P166" s="31" t="n"/>
      <c r="Q166" s="31" t="n"/>
      <c r="R166" s="31" t="n"/>
      <c r="S166" s="31" t="n"/>
      <c r="T166" s="31" t="n"/>
      <c r="U166" s="31" t="n"/>
      <c r="V166" s="31" t="n"/>
      <c r="W166" s="31" t="n"/>
      <c r="X166" s="31" t="n"/>
      <c r="Y166" s="31" t="n"/>
    </row>
    <row r="167" ht="14.25" customHeight="1">
      <c r="A167" s="32" t="n"/>
      <c r="P167" s="31" t="n"/>
      <c r="Q167" s="31" t="n"/>
      <c r="R167" s="31" t="n"/>
      <c r="S167" s="31" t="n"/>
      <c r="T167" s="31" t="n"/>
      <c r="U167" s="31" t="n"/>
      <c r="V167" s="31" t="n"/>
      <c r="W167" s="31" t="n"/>
      <c r="X167" s="31" t="n"/>
      <c r="Y167" s="31" t="n"/>
    </row>
    <row r="168" ht="14.25" customHeight="1">
      <c r="A168" s="32" t="n"/>
      <c r="P168" s="31" t="n"/>
      <c r="Q168" s="31" t="n"/>
      <c r="R168" s="31" t="n"/>
      <c r="S168" s="31" t="n"/>
      <c r="T168" s="31" t="n"/>
      <c r="U168" s="31" t="n"/>
      <c r="V168" s="31" t="n"/>
      <c r="W168" s="31" t="n"/>
      <c r="X168" s="31" t="n"/>
      <c r="Y168" s="31" t="n"/>
    </row>
    <row r="169" ht="14.25" customHeight="1">
      <c r="A169" s="32" t="n"/>
      <c r="P169" s="31" t="n"/>
      <c r="Q169" s="31" t="n"/>
      <c r="R169" s="31" t="n"/>
      <c r="S169" s="31" t="n"/>
      <c r="T169" s="31" t="n"/>
      <c r="U169" s="31" t="n"/>
      <c r="V169" s="31" t="n"/>
      <c r="W169" s="31" t="n"/>
      <c r="X169" s="31" t="n"/>
      <c r="Y169" s="31" t="n"/>
    </row>
    <row r="170" ht="14.25" customHeight="1">
      <c r="A170" s="32" t="n"/>
      <c r="P170" s="31" t="n"/>
      <c r="Q170" s="31" t="n"/>
      <c r="R170" s="31" t="n"/>
      <c r="S170" s="31" t="n"/>
      <c r="T170" s="31" t="n"/>
      <c r="U170" s="31" t="n"/>
      <c r="V170" s="31" t="n"/>
      <c r="W170" s="31" t="n"/>
      <c r="X170" s="31" t="n"/>
      <c r="Y170" s="31" t="n"/>
    </row>
    <row r="171" ht="14.25" customHeight="1">
      <c r="A171" s="32" t="n"/>
      <c r="P171" s="31" t="n"/>
      <c r="Q171" s="31" t="n"/>
      <c r="R171" s="31" t="n"/>
      <c r="S171" s="31" t="n"/>
      <c r="T171" s="31" t="n"/>
      <c r="U171" s="31" t="n"/>
      <c r="V171" s="31" t="n"/>
      <c r="W171" s="31" t="n"/>
      <c r="X171" s="31" t="n"/>
      <c r="Y171" s="31" t="n"/>
    </row>
    <row r="172" ht="14.25" customHeight="1">
      <c r="A172" s="32" t="n"/>
      <c r="P172" s="31" t="n"/>
      <c r="Q172" s="31" t="n"/>
      <c r="R172" s="31" t="n"/>
      <c r="S172" s="31" t="n"/>
      <c r="T172" s="31" t="n"/>
      <c r="U172" s="31" t="n"/>
      <c r="V172" s="31" t="n"/>
      <c r="W172" s="31" t="n"/>
      <c r="X172" s="31" t="n"/>
      <c r="Y172" s="31" t="n"/>
    </row>
    <row r="173" ht="14.25" customHeight="1">
      <c r="A173" s="32" t="n"/>
      <c r="P173" s="31" t="n"/>
      <c r="Q173" s="31" t="n"/>
      <c r="R173" s="31" t="n"/>
      <c r="S173" s="31" t="n"/>
      <c r="T173" s="31" t="n"/>
      <c r="U173" s="31" t="n"/>
      <c r="V173" s="31" t="n"/>
      <c r="W173" s="31" t="n"/>
      <c r="X173" s="31" t="n"/>
      <c r="Y173" s="31" t="n"/>
    </row>
    <row r="174" ht="14.25" customHeight="1">
      <c r="A174" s="32" t="n"/>
      <c r="P174" s="31" t="n"/>
      <c r="Q174" s="31" t="n"/>
      <c r="R174" s="31" t="n"/>
      <c r="S174" s="31" t="n"/>
      <c r="T174" s="31" t="n"/>
      <c r="U174" s="31" t="n"/>
      <c r="V174" s="31" t="n"/>
      <c r="W174" s="31" t="n"/>
      <c r="X174" s="31" t="n"/>
      <c r="Y174" s="31" t="n"/>
    </row>
    <row r="175" ht="14.25" customHeight="1">
      <c r="A175" s="32" t="n"/>
      <c r="P175" s="31" t="n"/>
      <c r="Q175" s="31" t="n"/>
      <c r="R175" s="31" t="n"/>
      <c r="S175" s="31" t="n"/>
      <c r="T175" s="31" t="n"/>
      <c r="U175" s="31" t="n"/>
      <c r="V175" s="31" t="n"/>
      <c r="W175" s="31" t="n"/>
      <c r="X175" s="31" t="n"/>
      <c r="Y175" s="31" t="n"/>
    </row>
    <row r="176" ht="14.25" customHeight="1">
      <c r="A176" s="32" t="n"/>
      <c r="P176" s="31" t="n"/>
      <c r="Q176" s="31" t="n"/>
      <c r="R176" s="31" t="n"/>
      <c r="S176" s="31" t="n"/>
      <c r="T176" s="31" t="n"/>
      <c r="U176" s="31" t="n"/>
      <c r="V176" s="31" t="n"/>
      <c r="W176" s="31" t="n"/>
      <c r="X176" s="31" t="n"/>
      <c r="Y176" s="31" t="n"/>
    </row>
    <row r="177" ht="14.25" customHeight="1">
      <c r="A177" s="32" t="n"/>
      <c r="P177" s="31" t="n"/>
      <c r="Q177" s="31" t="n"/>
      <c r="R177" s="31" t="n"/>
      <c r="S177" s="31" t="n"/>
      <c r="T177" s="31" t="n"/>
      <c r="U177" s="31" t="n"/>
      <c r="V177" s="31" t="n"/>
      <c r="W177" s="31" t="n"/>
      <c r="X177" s="31" t="n"/>
      <c r="Y177" s="31" t="n"/>
    </row>
    <row r="178" ht="14.25" customHeight="1">
      <c r="A178" s="32" t="n"/>
      <c r="P178" s="31" t="n"/>
      <c r="Q178" s="31" t="n"/>
      <c r="R178" s="31" t="n"/>
      <c r="S178" s="31" t="n"/>
      <c r="T178" s="31" t="n"/>
      <c r="U178" s="31" t="n"/>
      <c r="V178" s="31" t="n"/>
      <c r="W178" s="31" t="n"/>
      <c r="X178" s="31" t="n"/>
      <c r="Y178" s="31" t="n"/>
    </row>
    <row r="179" ht="14.25" customHeight="1">
      <c r="A179" s="32" t="n"/>
      <c r="P179" s="31" t="n"/>
      <c r="Q179" s="31" t="n"/>
      <c r="R179" s="31" t="n"/>
      <c r="S179" s="31" t="n"/>
      <c r="T179" s="31" t="n"/>
      <c r="U179" s="31" t="n"/>
      <c r="V179" s="31" t="n"/>
      <c r="W179" s="31" t="n"/>
      <c r="X179" s="31" t="n"/>
      <c r="Y179" s="31" t="n"/>
    </row>
    <row r="180" ht="14.25" customHeight="1">
      <c r="A180" s="32" t="n"/>
      <c r="P180" s="31" t="n"/>
      <c r="Q180" s="31" t="n"/>
      <c r="R180" s="31" t="n"/>
      <c r="S180" s="31" t="n"/>
      <c r="T180" s="31" t="n"/>
      <c r="U180" s="31" t="n"/>
      <c r="V180" s="31" t="n"/>
      <c r="W180" s="31" t="n"/>
      <c r="X180" s="31" t="n"/>
      <c r="Y180" s="31" t="n"/>
    </row>
    <row r="181" ht="14.25" customHeight="1">
      <c r="A181" s="32" t="n"/>
      <c r="P181" s="31" t="n"/>
      <c r="Q181" s="31" t="n"/>
      <c r="R181" s="31" t="n"/>
      <c r="S181" s="31" t="n"/>
      <c r="T181" s="31" t="n"/>
      <c r="U181" s="31" t="n"/>
      <c r="V181" s="31" t="n"/>
      <c r="W181" s="31" t="n"/>
      <c r="X181" s="31" t="n"/>
      <c r="Y181" s="31" t="n"/>
    </row>
    <row r="182" ht="14.25" customHeight="1">
      <c r="A182" s="32" t="n"/>
      <c r="P182" s="31" t="n"/>
      <c r="Q182" s="31" t="n"/>
      <c r="R182" s="31" t="n"/>
      <c r="S182" s="31" t="n"/>
      <c r="T182" s="31" t="n"/>
      <c r="U182" s="31" t="n"/>
      <c r="V182" s="31" t="n"/>
      <c r="W182" s="31" t="n"/>
      <c r="X182" s="31" t="n"/>
      <c r="Y182" s="31" t="n"/>
    </row>
    <row r="183" ht="14.25" customHeight="1">
      <c r="A183" s="32" t="n"/>
      <c r="P183" s="31" t="n"/>
      <c r="Q183" s="31" t="n"/>
      <c r="R183" s="31" t="n"/>
      <c r="S183" s="31" t="n"/>
      <c r="T183" s="31" t="n"/>
      <c r="U183" s="31" t="n"/>
      <c r="V183" s="31" t="n"/>
      <c r="W183" s="31" t="n"/>
      <c r="X183" s="31" t="n"/>
      <c r="Y183" s="31" t="n"/>
    </row>
    <row r="184" ht="14.25" customHeight="1">
      <c r="A184" s="32" t="n"/>
      <c r="P184" s="31" t="n"/>
      <c r="Q184" s="31" t="n"/>
      <c r="R184" s="31" t="n"/>
      <c r="S184" s="31" t="n"/>
      <c r="T184" s="31" t="n"/>
      <c r="U184" s="31" t="n"/>
      <c r="V184" s="31" t="n"/>
      <c r="W184" s="31" t="n"/>
      <c r="X184" s="31" t="n"/>
      <c r="Y184" s="31" t="n"/>
    </row>
    <row r="185" ht="14.25" customHeight="1">
      <c r="A185" s="32" t="n"/>
      <c r="P185" s="31" t="n"/>
      <c r="Q185" s="31" t="n"/>
      <c r="R185" s="31" t="n"/>
      <c r="S185" s="31" t="n"/>
      <c r="T185" s="31" t="n"/>
      <c r="U185" s="31" t="n"/>
      <c r="V185" s="31" t="n"/>
      <c r="W185" s="31" t="n"/>
      <c r="X185" s="31" t="n"/>
      <c r="Y185" s="31" t="n"/>
    </row>
    <row r="186" ht="14.25" customHeight="1">
      <c r="A186" s="32" t="n"/>
      <c r="P186" s="31" t="n"/>
      <c r="Q186" s="31" t="n"/>
      <c r="R186" s="31" t="n"/>
      <c r="S186" s="31" t="n"/>
      <c r="T186" s="31" t="n"/>
      <c r="U186" s="31" t="n"/>
      <c r="V186" s="31" t="n"/>
      <c r="W186" s="31" t="n"/>
      <c r="X186" s="31" t="n"/>
      <c r="Y186" s="31" t="n"/>
    </row>
    <row r="187" ht="14.25" customHeight="1">
      <c r="A187" s="32" t="n"/>
      <c r="P187" s="31" t="n"/>
      <c r="Q187" s="31" t="n"/>
      <c r="R187" s="31" t="n"/>
      <c r="S187" s="31" t="n"/>
      <c r="T187" s="31" t="n"/>
      <c r="U187" s="31" t="n"/>
      <c r="V187" s="31" t="n"/>
      <c r="W187" s="31" t="n"/>
      <c r="X187" s="31" t="n"/>
      <c r="Y187" s="31" t="n"/>
    </row>
    <row r="188" ht="14.25" customHeight="1">
      <c r="A188" s="32" t="n"/>
      <c r="P188" s="31" t="n"/>
      <c r="Q188" s="31" t="n"/>
      <c r="R188" s="31" t="n"/>
      <c r="S188" s="31" t="n"/>
      <c r="T188" s="31" t="n"/>
      <c r="U188" s="31" t="n"/>
      <c r="V188" s="31" t="n"/>
      <c r="W188" s="31" t="n"/>
      <c r="X188" s="31" t="n"/>
      <c r="Y188" s="31" t="n"/>
    </row>
    <row r="189" ht="14.25" customHeight="1">
      <c r="A189" s="32" t="n"/>
      <c r="P189" s="31" t="n"/>
      <c r="Q189" s="31" t="n"/>
      <c r="R189" s="31" t="n"/>
      <c r="S189" s="31" t="n"/>
      <c r="T189" s="31" t="n"/>
      <c r="U189" s="31" t="n"/>
      <c r="V189" s="31" t="n"/>
      <c r="W189" s="31" t="n"/>
      <c r="X189" s="31" t="n"/>
      <c r="Y189" s="31" t="n"/>
    </row>
    <row r="190" ht="14.25" customHeight="1">
      <c r="A190" s="32" t="n"/>
      <c r="P190" s="31" t="n"/>
      <c r="Q190" s="31" t="n"/>
      <c r="R190" s="31" t="n"/>
      <c r="S190" s="31" t="n"/>
      <c r="T190" s="31" t="n"/>
      <c r="U190" s="31" t="n"/>
      <c r="V190" s="31" t="n"/>
      <c r="W190" s="31" t="n"/>
      <c r="X190" s="31" t="n"/>
      <c r="Y190" s="31" t="n"/>
    </row>
    <row r="191" ht="14.25" customHeight="1">
      <c r="A191" s="32" t="n"/>
      <c r="P191" s="31" t="n"/>
      <c r="Q191" s="31" t="n"/>
      <c r="R191" s="31" t="n"/>
      <c r="S191" s="31" t="n"/>
      <c r="T191" s="31" t="n"/>
      <c r="U191" s="31" t="n"/>
      <c r="V191" s="31" t="n"/>
      <c r="W191" s="31" t="n"/>
      <c r="X191" s="31" t="n"/>
      <c r="Y191" s="31" t="n"/>
    </row>
    <row r="192" ht="14.25" customHeight="1">
      <c r="A192" s="32" t="n"/>
      <c r="P192" s="31" t="n"/>
      <c r="Q192" s="31" t="n"/>
      <c r="R192" s="31" t="n"/>
      <c r="S192" s="31" t="n"/>
      <c r="T192" s="31" t="n"/>
      <c r="U192" s="31" t="n"/>
      <c r="V192" s="31" t="n"/>
      <c r="W192" s="31" t="n"/>
      <c r="X192" s="31" t="n"/>
      <c r="Y192" s="31" t="n"/>
    </row>
    <row r="193" ht="14.25" customHeight="1">
      <c r="A193" s="32" t="n"/>
      <c r="P193" s="31" t="n"/>
      <c r="Q193" s="31" t="n"/>
      <c r="R193" s="31" t="n"/>
      <c r="S193" s="31" t="n"/>
      <c r="T193" s="31" t="n"/>
      <c r="U193" s="31" t="n"/>
      <c r="V193" s="31" t="n"/>
      <c r="W193" s="31" t="n"/>
      <c r="X193" s="31" t="n"/>
      <c r="Y193" s="31" t="n"/>
    </row>
    <row r="194" ht="14.25" customHeight="1">
      <c r="A194" s="32" t="n"/>
      <c r="P194" s="31" t="n"/>
      <c r="Q194" s="31" t="n"/>
      <c r="R194" s="31" t="n"/>
      <c r="S194" s="31" t="n"/>
      <c r="T194" s="31" t="n"/>
      <c r="U194" s="31" t="n"/>
      <c r="V194" s="31" t="n"/>
      <c r="W194" s="31" t="n"/>
      <c r="X194" s="31" t="n"/>
      <c r="Y194" s="31" t="n"/>
    </row>
    <row r="195" ht="14.25" customHeight="1">
      <c r="A195" s="32" t="n"/>
      <c r="P195" s="31" t="n"/>
      <c r="Q195" s="31" t="n"/>
      <c r="R195" s="31" t="n"/>
      <c r="S195" s="31" t="n"/>
      <c r="T195" s="31" t="n"/>
      <c r="U195" s="31" t="n"/>
      <c r="V195" s="31" t="n"/>
      <c r="W195" s="31" t="n"/>
      <c r="X195" s="31" t="n"/>
      <c r="Y195" s="31" t="n"/>
    </row>
    <row r="196" ht="14.25" customHeight="1">
      <c r="A196" s="32" t="n"/>
      <c r="P196" s="31" t="n"/>
      <c r="Q196" s="31" t="n"/>
      <c r="R196" s="31" t="n"/>
      <c r="S196" s="31" t="n"/>
      <c r="T196" s="31" t="n"/>
      <c r="U196" s="31" t="n"/>
      <c r="V196" s="31" t="n"/>
      <c r="W196" s="31" t="n"/>
      <c r="X196" s="31" t="n"/>
      <c r="Y196" s="31" t="n"/>
    </row>
    <row r="197" ht="14.25" customHeight="1">
      <c r="A197" s="32" t="n"/>
      <c r="P197" s="31" t="n"/>
      <c r="Q197" s="31" t="n"/>
      <c r="R197" s="31" t="n"/>
      <c r="S197" s="31" t="n"/>
      <c r="T197" s="31" t="n"/>
      <c r="U197" s="31" t="n"/>
      <c r="V197" s="31" t="n"/>
      <c r="W197" s="31" t="n"/>
      <c r="X197" s="31" t="n"/>
      <c r="Y197" s="31" t="n"/>
    </row>
    <row r="198" ht="14.25" customHeight="1">
      <c r="A198" s="32" t="n"/>
      <c r="P198" s="31" t="n"/>
      <c r="Q198" s="31" t="n"/>
      <c r="R198" s="31" t="n"/>
      <c r="S198" s="31" t="n"/>
      <c r="T198" s="31" t="n"/>
      <c r="U198" s="31" t="n"/>
      <c r="V198" s="31" t="n"/>
      <c r="W198" s="31" t="n"/>
      <c r="X198" s="31" t="n"/>
      <c r="Y198" s="31" t="n"/>
    </row>
    <row r="199" ht="14.25" customHeight="1">
      <c r="A199" s="32" t="n"/>
      <c r="P199" s="31" t="n"/>
      <c r="Q199" s="31" t="n"/>
      <c r="R199" s="31" t="n"/>
      <c r="S199" s="31" t="n"/>
      <c r="T199" s="31" t="n"/>
      <c r="U199" s="31" t="n"/>
      <c r="V199" s="31" t="n"/>
      <c r="W199" s="31" t="n"/>
      <c r="X199" s="31" t="n"/>
      <c r="Y199" s="31" t="n"/>
    </row>
    <row r="200" ht="14.25" customHeight="1">
      <c r="A200" s="32" t="n"/>
      <c r="P200" s="31" t="n"/>
      <c r="Q200" s="31" t="n"/>
      <c r="R200" s="31" t="n"/>
      <c r="S200" s="31" t="n"/>
      <c r="T200" s="31" t="n"/>
      <c r="U200" s="31" t="n"/>
      <c r="V200" s="31" t="n"/>
      <c r="W200" s="31" t="n"/>
      <c r="X200" s="31" t="n"/>
      <c r="Y200" s="31" t="n"/>
    </row>
    <row r="201" ht="14.25" customHeight="1">
      <c r="A201" s="32" t="n"/>
      <c r="P201" s="31" t="n"/>
      <c r="Q201" s="31" t="n"/>
      <c r="R201" s="31" t="n"/>
      <c r="S201" s="31" t="n"/>
      <c r="T201" s="31" t="n"/>
      <c r="U201" s="31" t="n"/>
      <c r="V201" s="31" t="n"/>
      <c r="W201" s="31" t="n"/>
      <c r="X201" s="31" t="n"/>
      <c r="Y201" s="31" t="n"/>
    </row>
    <row r="202" ht="14.25" customHeight="1">
      <c r="A202" s="32" t="n"/>
      <c r="P202" s="31" t="n"/>
      <c r="Q202" s="31" t="n"/>
      <c r="R202" s="31" t="n"/>
      <c r="S202" s="31" t="n"/>
      <c r="T202" s="31" t="n"/>
      <c r="U202" s="31" t="n"/>
      <c r="V202" s="31" t="n"/>
      <c r="W202" s="31" t="n"/>
      <c r="X202" s="31" t="n"/>
      <c r="Y202" s="31" t="n"/>
    </row>
    <row r="203" ht="14.25" customHeight="1">
      <c r="A203" s="32" t="n"/>
      <c r="P203" s="31" t="n"/>
      <c r="Q203" s="31" t="n"/>
      <c r="R203" s="31" t="n"/>
      <c r="S203" s="31" t="n"/>
      <c r="T203" s="31" t="n"/>
      <c r="U203" s="31" t="n"/>
      <c r="V203" s="31" t="n"/>
      <c r="W203" s="31" t="n"/>
      <c r="X203" s="31" t="n"/>
      <c r="Y203" s="31" t="n"/>
    </row>
    <row r="204" ht="14.25" customHeight="1">
      <c r="A204" s="32" t="n"/>
      <c r="P204" s="31" t="n"/>
      <c r="Q204" s="31" t="n"/>
      <c r="R204" s="31" t="n"/>
      <c r="S204" s="31" t="n"/>
      <c r="T204" s="31" t="n"/>
      <c r="U204" s="31" t="n"/>
      <c r="V204" s="31" t="n"/>
      <c r="W204" s="31" t="n"/>
      <c r="X204" s="31" t="n"/>
      <c r="Y204" s="31" t="n"/>
    </row>
    <row r="205" ht="14.25" customHeight="1">
      <c r="A205" s="32" t="n"/>
      <c r="P205" s="31" t="n"/>
      <c r="Q205" s="31" t="n"/>
      <c r="R205" s="31" t="n"/>
      <c r="S205" s="31" t="n"/>
      <c r="T205" s="31" t="n"/>
      <c r="U205" s="31" t="n"/>
      <c r="V205" s="31" t="n"/>
      <c r="W205" s="31" t="n"/>
      <c r="X205" s="31" t="n"/>
      <c r="Y205" s="31" t="n"/>
    </row>
    <row r="206" ht="14.25" customHeight="1">
      <c r="A206" s="32" t="n"/>
      <c r="P206" s="31" t="n"/>
      <c r="Q206" s="31" t="n"/>
      <c r="R206" s="31" t="n"/>
      <c r="S206" s="31" t="n"/>
      <c r="T206" s="31" t="n"/>
      <c r="U206" s="31" t="n"/>
      <c r="V206" s="31" t="n"/>
      <c r="W206" s="31" t="n"/>
      <c r="X206" s="31" t="n"/>
      <c r="Y206" s="31" t="n"/>
    </row>
    <row r="207" ht="14.25" customHeight="1">
      <c r="A207" s="32" t="n"/>
      <c r="P207" s="31" t="n"/>
      <c r="Q207" s="31" t="n"/>
      <c r="R207" s="31" t="n"/>
      <c r="S207" s="31" t="n"/>
      <c r="T207" s="31" t="n"/>
      <c r="U207" s="31" t="n"/>
      <c r="V207" s="31" t="n"/>
      <c r="W207" s="31" t="n"/>
      <c r="X207" s="31" t="n"/>
      <c r="Y207" s="31" t="n"/>
    </row>
    <row r="208" ht="14.25" customHeight="1">
      <c r="A208" s="32" t="n"/>
      <c r="P208" s="31" t="n"/>
      <c r="Q208" s="31" t="n"/>
      <c r="R208" s="31" t="n"/>
      <c r="S208" s="31" t="n"/>
      <c r="T208" s="31" t="n"/>
      <c r="U208" s="31" t="n"/>
      <c r="V208" s="31" t="n"/>
      <c r="W208" s="31" t="n"/>
      <c r="X208" s="31" t="n"/>
      <c r="Y208" s="31" t="n"/>
    </row>
    <row r="209" ht="14.25" customHeight="1">
      <c r="A209" s="32" t="n"/>
      <c r="P209" s="31" t="n"/>
      <c r="Q209" s="31" t="n"/>
      <c r="R209" s="31" t="n"/>
      <c r="S209" s="31" t="n"/>
      <c r="T209" s="31" t="n"/>
      <c r="U209" s="31" t="n"/>
      <c r="V209" s="31" t="n"/>
      <c r="W209" s="31" t="n"/>
      <c r="X209" s="31" t="n"/>
      <c r="Y209" s="31" t="n"/>
    </row>
    <row r="210" ht="14.25" customHeight="1">
      <c r="A210" s="32" t="n"/>
      <c r="P210" s="31" t="n"/>
      <c r="Q210" s="31" t="n"/>
      <c r="R210" s="31" t="n"/>
      <c r="S210" s="31" t="n"/>
      <c r="T210" s="31" t="n"/>
      <c r="U210" s="31" t="n"/>
      <c r="V210" s="31" t="n"/>
      <c r="W210" s="31" t="n"/>
      <c r="X210" s="31" t="n"/>
      <c r="Y210" s="31" t="n"/>
    </row>
    <row r="211" ht="14.25" customHeight="1">
      <c r="A211" s="32" t="n"/>
      <c r="P211" s="31" t="n"/>
      <c r="Q211" s="31" t="n"/>
      <c r="R211" s="31" t="n"/>
      <c r="S211" s="31" t="n"/>
      <c r="T211" s="31" t="n"/>
      <c r="U211" s="31" t="n"/>
      <c r="V211" s="31" t="n"/>
      <c r="W211" s="31" t="n"/>
      <c r="X211" s="31" t="n"/>
      <c r="Y211" s="31" t="n"/>
    </row>
    <row r="212" ht="14.25" customHeight="1">
      <c r="A212" s="32" t="n"/>
      <c r="P212" s="31" t="n"/>
      <c r="Q212" s="31" t="n"/>
      <c r="R212" s="31" t="n"/>
      <c r="S212" s="31" t="n"/>
      <c r="T212" s="31" t="n"/>
      <c r="U212" s="31" t="n"/>
      <c r="V212" s="31" t="n"/>
      <c r="W212" s="31" t="n"/>
      <c r="X212" s="31" t="n"/>
      <c r="Y212" s="31" t="n"/>
    </row>
    <row r="213" ht="14.25" customHeight="1">
      <c r="A213" s="32" t="n"/>
      <c r="P213" s="31" t="n"/>
      <c r="Q213" s="31" t="n"/>
      <c r="R213" s="31" t="n"/>
      <c r="S213" s="31" t="n"/>
      <c r="T213" s="31" t="n"/>
      <c r="U213" s="31" t="n"/>
      <c r="V213" s="31" t="n"/>
      <c r="W213" s="31" t="n"/>
      <c r="X213" s="31" t="n"/>
      <c r="Y213" s="31" t="n"/>
    </row>
    <row r="214" ht="14.25" customHeight="1">
      <c r="A214" s="32" t="n"/>
      <c r="P214" s="31" t="n"/>
      <c r="Q214" s="31" t="n"/>
      <c r="R214" s="31" t="n"/>
      <c r="S214" s="31" t="n"/>
      <c r="T214" s="31" t="n"/>
      <c r="U214" s="31" t="n"/>
      <c r="V214" s="31" t="n"/>
      <c r="W214" s="31" t="n"/>
      <c r="X214" s="31" t="n"/>
      <c r="Y214" s="31" t="n"/>
    </row>
    <row r="215" ht="14.25" customHeight="1">
      <c r="A215" s="32" t="n"/>
      <c r="P215" s="31" t="n"/>
      <c r="Q215" s="31" t="n"/>
      <c r="R215" s="31" t="n"/>
      <c r="S215" s="31" t="n"/>
      <c r="T215" s="31" t="n"/>
      <c r="U215" s="31" t="n"/>
      <c r="V215" s="31" t="n"/>
      <c r="W215" s="31" t="n"/>
      <c r="X215" s="31" t="n"/>
      <c r="Y215" s="31" t="n"/>
    </row>
    <row r="216" ht="14.25" customHeight="1">
      <c r="A216" s="32" t="n"/>
      <c r="P216" s="31" t="n"/>
      <c r="Q216" s="31" t="n"/>
      <c r="R216" s="31" t="n"/>
      <c r="S216" s="31" t="n"/>
      <c r="T216" s="31" t="n"/>
      <c r="U216" s="31" t="n"/>
      <c r="V216" s="31" t="n"/>
      <c r="W216" s="31" t="n"/>
      <c r="X216" s="31" t="n"/>
      <c r="Y216" s="31" t="n"/>
    </row>
    <row r="217" ht="14.25" customHeight="1">
      <c r="A217" s="32" t="n"/>
      <c r="P217" s="31" t="n"/>
      <c r="Q217" s="31" t="n"/>
      <c r="R217" s="31" t="n"/>
      <c r="S217" s="31" t="n"/>
      <c r="T217" s="31" t="n"/>
      <c r="U217" s="31" t="n"/>
      <c r="V217" s="31" t="n"/>
      <c r="W217" s="31" t="n"/>
      <c r="X217" s="31" t="n"/>
      <c r="Y217" s="31" t="n"/>
    </row>
    <row r="218" ht="14.25" customHeight="1">
      <c r="A218" s="32" t="n"/>
      <c r="P218" s="31" t="n"/>
      <c r="Q218" s="31" t="n"/>
      <c r="R218" s="31" t="n"/>
      <c r="S218" s="31" t="n"/>
      <c r="T218" s="31" t="n"/>
      <c r="U218" s="31" t="n"/>
      <c r="V218" s="31" t="n"/>
      <c r="W218" s="31" t="n"/>
      <c r="X218" s="31" t="n"/>
      <c r="Y218" s="31" t="n"/>
    </row>
    <row r="219" ht="14.25" customHeight="1">
      <c r="A219" s="32" t="n"/>
      <c r="P219" s="31" t="n"/>
      <c r="Q219" s="31" t="n"/>
      <c r="R219" s="31" t="n"/>
      <c r="S219" s="31" t="n"/>
      <c r="T219" s="31" t="n"/>
      <c r="U219" s="31" t="n"/>
      <c r="V219" s="31" t="n"/>
      <c r="W219" s="31" t="n"/>
      <c r="X219" s="31" t="n"/>
      <c r="Y219" s="31" t="n"/>
    </row>
    <row r="220" ht="14.25" customHeight="1">
      <c r="A220" s="32" t="n"/>
      <c r="P220" s="31" t="n"/>
      <c r="Q220" s="31" t="n"/>
      <c r="R220" s="31" t="n"/>
      <c r="S220" s="31" t="n"/>
      <c r="T220" s="31" t="n"/>
      <c r="U220" s="31" t="n"/>
      <c r="V220" s="31" t="n"/>
      <c r="W220" s="31" t="n"/>
      <c r="X220" s="31" t="n"/>
      <c r="Y220" s="31" t="n"/>
    </row>
    <row r="221" ht="14.25" customHeight="1">
      <c r="A221" s="32" t="n"/>
      <c r="P221" s="31" t="n"/>
      <c r="Q221" s="31" t="n"/>
      <c r="R221" s="31" t="n"/>
      <c r="S221" s="31" t="n"/>
      <c r="T221" s="31" t="n"/>
      <c r="U221" s="31" t="n"/>
      <c r="V221" s="31" t="n"/>
      <c r="W221" s="31" t="n"/>
      <c r="X221" s="31" t="n"/>
      <c r="Y221" s="31" t="n"/>
    </row>
    <row r="222" ht="14.25" customHeight="1">
      <c r="A222" s="32" t="n"/>
      <c r="P222" s="31" t="n"/>
      <c r="Q222" s="31" t="n"/>
      <c r="R222" s="31" t="n"/>
      <c r="S222" s="31" t="n"/>
      <c r="T222" s="31" t="n"/>
      <c r="U222" s="31" t="n"/>
      <c r="V222" s="31" t="n"/>
      <c r="W222" s="31" t="n"/>
      <c r="X222" s="31" t="n"/>
      <c r="Y222" s="31" t="n"/>
    </row>
    <row r="223" ht="14.25" customHeight="1">
      <c r="A223" s="32" t="n"/>
      <c r="P223" s="31" t="n"/>
      <c r="Q223" s="31" t="n"/>
      <c r="R223" s="31" t="n"/>
      <c r="S223" s="31" t="n"/>
      <c r="T223" s="31" t="n"/>
      <c r="U223" s="31" t="n"/>
      <c r="V223" s="31" t="n"/>
      <c r="W223" s="31" t="n"/>
      <c r="X223" s="31" t="n"/>
      <c r="Y223" s="31" t="n"/>
    </row>
    <row r="224" ht="14.25" customHeight="1">
      <c r="A224" s="32" t="n"/>
      <c r="P224" s="31" t="n"/>
      <c r="Q224" s="31" t="n"/>
      <c r="R224" s="31" t="n"/>
      <c r="S224" s="31" t="n"/>
      <c r="T224" s="31" t="n"/>
      <c r="U224" s="31" t="n"/>
      <c r="V224" s="31" t="n"/>
      <c r="W224" s="31" t="n"/>
      <c r="X224" s="31" t="n"/>
      <c r="Y224" s="31" t="n"/>
    </row>
    <row r="225" ht="14.25" customHeight="1">
      <c r="A225" s="32" t="n"/>
      <c r="P225" s="31" t="n"/>
      <c r="Q225" s="31" t="n"/>
      <c r="R225" s="31" t="n"/>
      <c r="S225" s="31" t="n"/>
      <c r="T225" s="31" t="n"/>
      <c r="U225" s="31" t="n"/>
      <c r="V225" s="31" t="n"/>
      <c r="W225" s="31" t="n"/>
      <c r="X225" s="31" t="n"/>
      <c r="Y225" s="31" t="n"/>
    </row>
    <row r="226" ht="14.25" customHeight="1">
      <c r="A226" s="32" t="n"/>
      <c r="P226" s="31" t="n"/>
      <c r="Q226" s="31" t="n"/>
      <c r="R226" s="31" t="n"/>
      <c r="S226" s="31" t="n"/>
      <c r="T226" s="31" t="n"/>
      <c r="U226" s="31" t="n"/>
      <c r="V226" s="31" t="n"/>
      <c r="W226" s="31" t="n"/>
      <c r="X226" s="31" t="n"/>
      <c r="Y226" s="31" t="n"/>
    </row>
    <row r="227" ht="14.25" customHeight="1">
      <c r="A227" s="32" t="n"/>
      <c r="P227" s="31" t="n"/>
      <c r="Q227" s="31" t="n"/>
      <c r="R227" s="31" t="n"/>
      <c r="S227" s="31" t="n"/>
      <c r="T227" s="31" t="n"/>
      <c r="U227" s="31" t="n"/>
      <c r="V227" s="31" t="n"/>
      <c r="W227" s="31" t="n"/>
      <c r="X227" s="31" t="n"/>
      <c r="Y227" s="31" t="n"/>
    </row>
    <row r="228" ht="14.25" customHeight="1">
      <c r="A228" s="32" t="n"/>
      <c r="P228" s="31" t="n"/>
      <c r="Q228" s="31" t="n"/>
      <c r="R228" s="31" t="n"/>
      <c r="S228" s="31" t="n"/>
      <c r="T228" s="31" t="n"/>
      <c r="U228" s="31" t="n"/>
      <c r="V228" s="31" t="n"/>
      <c r="W228" s="31" t="n"/>
      <c r="X228" s="31" t="n"/>
      <c r="Y228" s="31" t="n"/>
    </row>
    <row r="229" ht="14.25" customHeight="1">
      <c r="A229" s="32" t="n"/>
      <c r="P229" s="31" t="n"/>
      <c r="Q229" s="31" t="n"/>
      <c r="R229" s="31" t="n"/>
      <c r="S229" s="31" t="n"/>
      <c r="T229" s="31" t="n"/>
      <c r="U229" s="31" t="n"/>
      <c r="V229" s="31" t="n"/>
      <c r="W229" s="31" t="n"/>
      <c r="X229" s="31" t="n"/>
      <c r="Y229" s="31" t="n"/>
    </row>
    <row r="230" ht="14.25" customHeight="1">
      <c r="A230" s="32" t="n"/>
      <c r="P230" s="31" t="n"/>
      <c r="Q230" s="31" t="n"/>
      <c r="R230" s="31" t="n"/>
      <c r="S230" s="31" t="n"/>
      <c r="T230" s="31" t="n"/>
      <c r="U230" s="31" t="n"/>
      <c r="V230" s="31" t="n"/>
      <c r="W230" s="31" t="n"/>
      <c r="X230" s="31" t="n"/>
      <c r="Y230" s="31" t="n"/>
    </row>
    <row r="231" ht="14.25" customHeight="1">
      <c r="A231" s="32" t="n"/>
      <c r="P231" s="31" t="n"/>
      <c r="Q231" s="31" t="n"/>
      <c r="R231" s="31" t="n"/>
      <c r="S231" s="31" t="n"/>
      <c r="T231" s="31" t="n"/>
      <c r="U231" s="31" t="n"/>
      <c r="V231" s="31" t="n"/>
      <c r="W231" s="31" t="n"/>
      <c r="X231" s="31" t="n"/>
      <c r="Y231" s="31" t="n"/>
    </row>
    <row r="232" ht="14.25" customHeight="1">
      <c r="A232" s="32" t="n"/>
      <c r="P232" s="31" t="n"/>
      <c r="Q232" s="31" t="n"/>
      <c r="R232" s="31" t="n"/>
      <c r="S232" s="31" t="n"/>
      <c r="T232" s="31" t="n"/>
      <c r="U232" s="31" t="n"/>
      <c r="V232" s="31" t="n"/>
      <c r="W232" s="31" t="n"/>
      <c r="X232" s="31" t="n"/>
      <c r="Y232" s="31" t="n"/>
    </row>
    <row r="233" ht="14.25" customHeight="1">
      <c r="A233" s="32" t="n"/>
      <c r="P233" s="31" t="n"/>
      <c r="Q233" s="31" t="n"/>
      <c r="R233" s="31" t="n"/>
      <c r="S233" s="31" t="n"/>
      <c r="T233" s="31" t="n"/>
      <c r="U233" s="31" t="n"/>
      <c r="V233" s="31" t="n"/>
      <c r="W233" s="31" t="n"/>
      <c r="X233" s="31" t="n"/>
      <c r="Y233" s="31" t="n"/>
    </row>
    <row r="234" ht="14.25" customHeight="1">
      <c r="A234" s="32" t="n"/>
      <c r="P234" s="31" t="n"/>
      <c r="Q234" s="31" t="n"/>
      <c r="R234" s="31" t="n"/>
      <c r="S234" s="31" t="n"/>
      <c r="T234" s="31" t="n"/>
      <c r="U234" s="31" t="n"/>
      <c r="V234" s="31" t="n"/>
      <c r="W234" s="31" t="n"/>
      <c r="X234" s="31" t="n"/>
      <c r="Y234" s="31" t="n"/>
    </row>
    <row r="235" ht="14.25" customHeight="1">
      <c r="A235" s="32" t="n"/>
      <c r="P235" s="31" t="n"/>
      <c r="Q235" s="31" t="n"/>
      <c r="R235" s="31" t="n"/>
      <c r="S235" s="31" t="n"/>
      <c r="T235" s="31" t="n"/>
      <c r="U235" s="31" t="n"/>
      <c r="V235" s="31" t="n"/>
      <c r="W235" s="31" t="n"/>
      <c r="X235" s="31" t="n"/>
      <c r="Y235" s="31" t="n"/>
    </row>
    <row r="236" ht="14.25" customHeight="1">
      <c r="A236" s="32" t="n"/>
      <c r="P236" s="31" t="n"/>
      <c r="Q236" s="31" t="n"/>
      <c r="R236" s="31" t="n"/>
      <c r="S236" s="31" t="n"/>
      <c r="T236" s="31" t="n"/>
      <c r="U236" s="31" t="n"/>
      <c r="V236" s="31" t="n"/>
      <c r="W236" s="31" t="n"/>
      <c r="X236" s="31" t="n"/>
      <c r="Y236" s="31" t="n"/>
    </row>
    <row r="237" ht="14.25" customHeight="1">
      <c r="A237" s="32" t="n"/>
      <c r="P237" s="31" t="n"/>
      <c r="Q237" s="31" t="n"/>
      <c r="R237" s="31" t="n"/>
      <c r="S237" s="31" t="n"/>
      <c r="T237" s="31" t="n"/>
      <c r="U237" s="31" t="n"/>
      <c r="V237" s="31" t="n"/>
      <c r="W237" s="31" t="n"/>
      <c r="X237" s="31" t="n"/>
      <c r="Y237" s="31" t="n"/>
    </row>
    <row r="238" ht="14.25" customHeight="1">
      <c r="A238" s="32" t="n"/>
      <c r="P238" s="31" t="n"/>
      <c r="Q238" s="31" t="n"/>
      <c r="R238" s="31" t="n"/>
      <c r="S238" s="31" t="n"/>
      <c r="T238" s="31" t="n"/>
      <c r="U238" s="31" t="n"/>
      <c r="V238" s="31" t="n"/>
      <c r="W238" s="31" t="n"/>
      <c r="X238" s="31" t="n"/>
      <c r="Y238" s="31" t="n"/>
    </row>
    <row r="239" ht="14.25" customHeight="1">
      <c r="A239" s="32" t="n"/>
      <c r="P239" s="31" t="n"/>
      <c r="Q239" s="31" t="n"/>
      <c r="R239" s="31" t="n"/>
      <c r="S239" s="31" t="n"/>
      <c r="T239" s="31" t="n"/>
      <c r="U239" s="31" t="n"/>
      <c r="V239" s="31" t="n"/>
      <c r="W239" s="31" t="n"/>
      <c r="X239" s="31" t="n"/>
      <c r="Y239" s="31" t="n"/>
    </row>
    <row r="240" ht="14.25" customHeight="1">
      <c r="A240" s="32" t="n"/>
      <c r="P240" s="31" t="n"/>
      <c r="Q240" s="31" t="n"/>
      <c r="R240" s="31" t="n"/>
      <c r="S240" s="31" t="n"/>
      <c r="T240" s="31" t="n"/>
      <c r="U240" s="31" t="n"/>
      <c r="V240" s="31" t="n"/>
      <c r="W240" s="31" t="n"/>
      <c r="X240" s="31" t="n"/>
      <c r="Y240" s="31" t="n"/>
    </row>
    <row r="241" ht="14.25" customHeight="1">
      <c r="A241" s="32" t="n"/>
      <c r="P241" s="31" t="n"/>
      <c r="Q241" s="31" t="n"/>
      <c r="R241" s="31" t="n"/>
      <c r="S241" s="31" t="n"/>
      <c r="T241" s="31" t="n"/>
      <c r="U241" s="31" t="n"/>
      <c r="V241" s="31" t="n"/>
      <c r="W241" s="31" t="n"/>
      <c r="X241" s="31" t="n"/>
      <c r="Y241" s="31" t="n"/>
    </row>
    <row r="242" ht="14.25" customHeight="1">
      <c r="A242" s="32" t="n"/>
      <c r="P242" s="31" t="n"/>
      <c r="Q242" s="31" t="n"/>
      <c r="R242" s="31" t="n"/>
      <c r="S242" s="31" t="n"/>
      <c r="T242" s="31" t="n"/>
      <c r="U242" s="31" t="n"/>
      <c r="V242" s="31" t="n"/>
      <c r="W242" s="31" t="n"/>
      <c r="X242" s="31" t="n"/>
      <c r="Y242" s="31" t="n"/>
    </row>
    <row r="243" ht="14.25" customHeight="1">
      <c r="A243" s="32" t="n"/>
      <c r="P243" s="31" t="n"/>
      <c r="Q243" s="31" t="n"/>
      <c r="R243" s="31" t="n"/>
      <c r="S243" s="31" t="n"/>
      <c r="T243" s="31" t="n"/>
      <c r="U243" s="31" t="n"/>
      <c r="V243" s="31" t="n"/>
      <c r="W243" s="31" t="n"/>
      <c r="X243" s="31" t="n"/>
      <c r="Y243" s="31" t="n"/>
    </row>
    <row r="244" ht="14.25" customHeight="1">
      <c r="A244" s="32" t="n"/>
      <c r="P244" s="31" t="n"/>
      <c r="Q244" s="31" t="n"/>
      <c r="R244" s="31" t="n"/>
      <c r="S244" s="31" t="n"/>
      <c r="T244" s="31" t="n"/>
      <c r="U244" s="31" t="n"/>
      <c r="V244" s="31" t="n"/>
      <c r="W244" s="31" t="n"/>
      <c r="X244" s="31" t="n"/>
      <c r="Y244" s="31" t="n"/>
    </row>
    <row r="245" ht="14.25" customHeight="1">
      <c r="A245" s="32" t="n"/>
      <c r="P245" s="31" t="n"/>
      <c r="Q245" s="31" t="n"/>
      <c r="R245" s="31" t="n"/>
      <c r="S245" s="31" t="n"/>
      <c r="T245" s="31" t="n"/>
      <c r="U245" s="31" t="n"/>
      <c r="V245" s="31" t="n"/>
      <c r="W245" s="31" t="n"/>
      <c r="X245" s="31" t="n"/>
      <c r="Y245" s="31" t="n"/>
    </row>
    <row r="246" ht="14.25" customHeight="1">
      <c r="A246" s="32" t="n"/>
      <c r="P246" s="31" t="n"/>
      <c r="Q246" s="31" t="n"/>
      <c r="R246" s="31" t="n"/>
      <c r="S246" s="31" t="n"/>
      <c r="T246" s="31" t="n"/>
      <c r="U246" s="31" t="n"/>
      <c r="V246" s="31" t="n"/>
      <c r="W246" s="31" t="n"/>
      <c r="X246" s="31" t="n"/>
      <c r="Y246" s="31" t="n"/>
    </row>
    <row r="247" ht="14.25" customHeight="1">
      <c r="A247" s="32" t="n"/>
      <c r="P247" s="31" t="n"/>
      <c r="Q247" s="31" t="n"/>
      <c r="R247" s="31" t="n"/>
      <c r="S247" s="31" t="n"/>
      <c r="T247" s="31" t="n"/>
      <c r="U247" s="31" t="n"/>
      <c r="V247" s="31" t="n"/>
      <c r="W247" s="31" t="n"/>
      <c r="X247" s="31" t="n"/>
      <c r="Y247" s="31" t="n"/>
    </row>
    <row r="248" ht="14.25" customHeight="1">
      <c r="A248" s="32" t="n"/>
      <c r="P248" s="31" t="n"/>
      <c r="Q248" s="31" t="n"/>
      <c r="R248" s="31" t="n"/>
      <c r="S248" s="31" t="n"/>
      <c r="T248" s="31" t="n"/>
      <c r="U248" s="31" t="n"/>
      <c r="V248" s="31" t="n"/>
      <c r="W248" s="31" t="n"/>
      <c r="X248" s="31" t="n"/>
      <c r="Y248" s="31" t="n"/>
    </row>
    <row r="249" ht="14.25" customHeight="1">
      <c r="A249" s="32" t="n"/>
      <c r="P249" s="31" t="n"/>
      <c r="Q249" s="31" t="n"/>
      <c r="R249" s="31" t="n"/>
      <c r="S249" s="31" t="n"/>
      <c r="T249" s="31" t="n"/>
      <c r="U249" s="31" t="n"/>
      <c r="V249" s="31" t="n"/>
      <c r="W249" s="31" t="n"/>
      <c r="X249" s="31" t="n"/>
      <c r="Y249" s="31" t="n"/>
    </row>
    <row r="250" ht="14.25" customHeight="1">
      <c r="A250" s="32" t="n"/>
      <c r="P250" s="31" t="n"/>
      <c r="Q250" s="31" t="n"/>
      <c r="R250" s="31" t="n"/>
      <c r="S250" s="31" t="n"/>
      <c r="T250" s="31" t="n"/>
      <c r="U250" s="31" t="n"/>
      <c r="V250" s="31" t="n"/>
      <c r="W250" s="31" t="n"/>
      <c r="X250" s="31" t="n"/>
      <c r="Y250" s="31" t="n"/>
    </row>
    <row r="251" ht="14.25" customHeight="1">
      <c r="A251" s="32" t="n"/>
      <c r="P251" s="31" t="n"/>
      <c r="Q251" s="31" t="n"/>
      <c r="R251" s="31" t="n"/>
      <c r="S251" s="31" t="n"/>
      <c r="T251" s="31" t="n"/>
      <c r="U251" s="31" t="n"/>
      <c r="V251" s="31" t="n"/>
      <c r="W251" s="31" t="n"/>
      <c r="X251" s="31" t="n"/>
      <c r="Y251" s="31" t="n"/>
    </row>
    <row r="252" ht="14.25" customHeight="1">
      <c r="A252" s="32" t="n"/>
      <c r="P252" s="31" t="n"/>
      <c r="Q252" s="31" t="n"/>
      <c r="R252" s="31" t="n"/>
      <c r="S252" s="31" t="n"/>
      <c r="T252" s="31" t="n"/>
      <c r="U252" s="31" t="n"/>
      <c r="V252" s="31" t="n"/>
      <c r="W252" s="31" t="n"/>
      <c r="X252" s="31" t="n"/>
      <c r="Y252" s="31" t="n"/>
    </row>
    <row r="253" ht="14.25" customHeight="1">
      <c r="A253" s="32" t="n"/>
      <c r="P253" s="31" t="n"/>
      <c r="Q253" s="31" t="n"/>
      <c r="R253" s="31" t="n"/>
      <c r="S253" s="31" t="n"/>
      <c r="T253" s="31" t="n"/>
      <c r="U253" s="31" t="n"/>
      <c r="V253" s="31" t="n"/>
      <c r="W253" s="31" t="n"/>
      <c r="X253" s="31" t="n"/>
      <c r="Y253" s="31" t="n"/>
    </row>
    <row r="254" ht="14.25" customHeight="1">
      <c r="A254" s="32" t="n"/>
      <c r="P254" s="31" t="n"/>
      <c r="Q254" s="31" t="n"/>
      <c r="R254" s="31" t="n"/>
      <c r="S254" s="31" t="n"/>
      <c r="T254" s="31" t="n"/>
      <c r="U254" s="31" t="n"/>
      <c r="V254" s="31" t="n"/>
      <c r="W254" s="31" t="n"/>
      <c r="X254" s="31" t="n"/>
      <c r="Y254" s="31" t="n"/>
    </row>
    <row r="255" ht="14.25" customHeight="1">
      <c r="A255" s="32" t="n"/>
      <c r="P255" s="31" t="n"/>
      <c r="Q255" s="31" t="n"/>
      <c r="R255" s="31" t="n"/>
      <c r="S255" s="31" t="n"/>
      <c r="T255" s="31" t="n"/>
      <c r="U255" s="31" t="n"/>
      <c r="V255" s="31" t="n"/>
      <c r="W255" s="31" t="n"/>
      <c r="X255" s="31" t="n"/>
      <c r="Y255" s="31" t="n"/>
    </row>
    <row r="256" ht="14.25" customHeight="1">
      <c r="A256" s="32" t="n"/>
      <c r="P256" s="31" t="n"/>
      <c r="Q256" s="31" t="n"/>
      <c r="R256" s="31" t="n"/>
      <c r="S256" s="31" t="n"/>
      <c r="T256" s="31" t="n"/>
      <c r="U256" s="31" t="n"/>
      <c r="V256" s="31" t="n"/>
      <c r="W256" s="31" t="n"/>
      <c r="X256" s="31" t="n"/>
      <c r="Y256" s="31" t="n"/>
    </row>
    <row r="257" ht="14.25" customHeight="1">
      <c r="A257" s="32" t="n"/>
      <c r="P257" s="31" t="n"/>
      <c r="Q257" s="31" t="n"/>
      <c r="R257" s="31" t="n"/>
      <c r="S257" s="31" t="n"/>
      <c r="T257" s="31" t="n"/>
      <c r="U257" s="31" t="n"/>
      <c r="V257" s="31" t="n"/>
      <c r="W257" s="31" t="n"/>
      <c r="X257" s="31" t="n"/>
      <c r="Y257" s="31" t="n"/>
    </row>
    <row r="258" ht="14.25" customHeight="1">
      <c r="A258" s="32" t="n"/>
      <c r="P258" s="31" t="n"/>
      <c r="Q258" s="31" t="n"/>
      <c r="R258" s="31" t="n"/>
      <c r="S258" s="31" t="n"/>
      <c r="T258" s="31" t="n"/>
      <c r="U258" s="31" t="n"/>
      <c r="V258" s="31" t="n"/>
      <c r="W258" s="31" t="n"/>
      <c r="X258" s="31" t="n"/>
      <c r="Y258" s="31" t="n"/>
    </row>
    <row r="259" ht="14.25" customHeight="1">
      <c r="A259" s="32" t="n"/>
      <c r="P259" s="31" t="n"/>
      <c r="Q259" s="31" t="n"/>
      <c r="R259" s="31" t="n"/>
      <c r="S259" s="31" t="n"/>
      <c r="T259" s="31" t="n"/>
      <c r="U259" s="31" t="n"/>
      <c r="V259" s="31" t="n"/>
      <c r="W259" s="31" t="n"/>
      <c r="X259" s="31" t="n"/>
      <c r="Y259" s="31" t="n"/>
    </row>
    <row r="260" ht="14.25" customHeight="1">
      <c r="A260" s="32" t="n"/>
      <c r="P260" s="31" t="n"/>
      <c r="Q260" s="31" t="n"/>
      <c r="R260" s="31" t="n"/>
      <c r="S260" s="31" t="n"/>
      <c r="T260" s="31" t="n"/>
      <c r="U260" s="31" t="n"/>
      <c r="V260" s="31" t="n"/>
      <c r="W260" s="31" t="n"/>
      <c r="X260" s="31" t="n"/>
      <c r="Y260" s="31" t="n"/>
    </row>
    <row r="261" ht="14.25" customHeight="1">
      <c r="A261" s="32" t="n"/>
      <c r="P261" s="31" t="n"/>
      <c r="Q261" s="31" t="n"/>
      <c r="R261" s="31" t="n"/>
      <c r="S261" s="31" t="n"/>
      <c r="T261" s="31" t="n"/>
      <c r="U261" s="31" t="n"/>
      <c r="V261" s="31" t="n"/>
      <c r="W261" s="31" t="n"/>
      <c r="X261" s="31" t="n"/>
      <c r="Y261" s="31" t="n"/>
    </row>
    <row r="262" ht="14.25" customHeight="1">
      <c r="A262" s="32" t="n"/>
      <c r="P262" s="31" t="n"/>
      <c r="Q262" s="31" t="n"/>
      <c r="R262" s="31" t="n"/>
      <c r="S262" s="31" t="n"/>
      <c r="T262" s="31" t="n"/>
      <c r="U262" s="31" t="n"/>
      <c r="V262" s="31" t="n"/>
      <c r="W262" s="31" t="n"/>
      <c r="X262" s="31" t="n"/>
      <c r="Y262" s="31" t="n"/>
    </row>
    <row r="263" ht="14.25" customHeight="1">
      <c r="A263" s="32" t="n"/>
      <c r="P263" s="31" t="n"/>
      <c r="Q263" s="31" t="n"/>
      <c r="R263" s="31" t="n"/>
      <c r="S263" s="31" t="n"/>
      <c r="T263" s="31" t="n"/>
      <c r="U263" s="31" t="n"/>
      <c r="V263" s="31" t="n"/>
      <c r="W263" s="31" t="n"/>
      <c r="X263" s="31" t="n"/>
      <c r="Y263" s="31" t="n"/>
    </row>
    <row r="264" ht="14.25" customHeight="1">
      <c r="A264" s="32" t="n"/>
      <c r="P264" s="31" t="n"/>
      <c r="Q264" s="31" t="n"/>
      <c r="R264" s="31" t="n"/>
      <c r="S264" s="31" t="n"/>
      <c r="T264" s="31" t="n"/>
      <c r="U264" s="31" t="n"/>
      <c r="V264" s="31" t="n"/>
      <c r="W264" s="31" t="n"/>
      <c r="X264" s="31" t="n"/>
      <c r="Y264" s="31" t="n"/>
    </row>
    <row r="265" ht="14.25" customHeight="1">
      <c r="A265" s="32" t="n"/>
      <c r="P265" s="31" t="n"/>
      <c r="Q265" s="31" t="n"/>
      <c r="R265" s="31" t="n"/>
      <c r="S265" s="31" t="n"/>
      <c r="T265" s="31" t="n"/>
      <c r="U265" s="31" t="n"/>
      <c r="V265" s="31" t="n"/>
      <c r="W265" s="31" t="n"/>
      <c r="X265" s="31" t="n"/>
      <c r="Y265" s="31" t="n"/>
    </row>
    <row r="266" ht="14.25" customHeight="1">
      <c r="A266" s="32" t="n"/>
      <c r="P266" s="31" t="n"/>
      <c r="Q266" s="31" t="n"/>
      <c r="R266" s="31" t="n"/>
      <c r="S266" s="31" t="n"/>
      <c r="T266" s="31" t="n"/>
      <c r="U266" s="31" t="n"/>
      <c r="V266" s="31" t="n"/>
      <c r="W266" s="31" t="n"/>
      <c r="X266" s="31" t="n"/>
      <c r="Y266" s="31" t="n"/>
    </row>
    <row r="267" ht="14.25" customHeight="1">
      <c r="A267" s="32" t="n"/>
      <c r="P267" s="31" t="n"/>
      <c r="Q267" s="31" t="n"/>
      <c r="R267" s="31" t="n"/>
      <c r="S267" s="31" t="n"/>
      <c r="T267" s="31" t="n"/>
      <c r="U267" s="31" t="n"/>
      <c r="V267" s="31" t="n"/>
      <c r="W267" s="31" t="n"/>
      <c r="X267" s="31" t="n"/>
      <c r="Y267" s="31" t="n"/>
    </row>
    <row r="268" ht="14.25" customHeight="1">
      <c r="A268" s="32" t="n"/>
      <c r="P268" s="31" t="n"/>
      <c r="Q268" s="31" t="n"/>
      <c r="R268" s="31" t="n"/>
      <c r="S268" s="31" t="n"/>
      <c r="T268" s="31" t="n"/>
      <c r="U268" s="31" t="n"/>
      <c r="V268" s="31" t="n"/>
      <c r="W268" s="31" t="n"/>
      <c r="X268" s="31" t="n"/>
      <c r="Y268" s="31" t="n"/>
    </row>
    <row r="269" ht="14.25" customHeight="1">
      <c r="A269" s="32" t="n"/>
      <c r="P269" s="31" t="n"/>
      <c r="Q269" s="31" t="n"/>
      <c r="R269" s="31" t="n"/>
      <c r="S269" s="31" t="n"/>
      <c r="T269" s="31" t="n"/>
      <c r="U269" s="31" t="n"/>
      <c r="V269" s="31" t="n"/>
      <c r="W269" s="31" t="n"/>
      <c r="X269" s="31" t="n"/>
      <c r="Y269" s="31" t="n"/>
    </row>
    <row r="270" ht="14.25" customHeight="1">
      <c r="A270" s="32" t="n"/>
      <c r="P270" s="31" t="n"/>
      <c r="Q270" s="31" t="n"/>
      <c r="R270" s="31" t="n"/>
      <c r="S270" s="31" t="n"/>
      <c r="T270" s="31" t="n"/>
      <c r="U270" s="31" t="n"/>
      <c r="V270" s="31" t="n"/>
      <c r="W270" s="31" t="n"/>
      <c r="X270" s="31" t="n"/>
      <c r="Y270" s="31" t="n"/>
    </row>
    <row r="271" ht="14.25" customHeight="1">
      <c r="A271" s="32" t="n"/>
      <c r="P271" s="31" t="n"/>
      <c r="Q271" s="31" t="n"/>
      <c r="R271" s="31" t="n"/>
      <c r="S271" s="31" t="n"/>
      <c r="T271" s="31" t="n"/>
      <c r="U271" s="31" t="n"/>
      <c r="V271" s="31" t="n"/>
      <c r="W271" s="31" t="n"/>
      <c r="X271" s="31" t="n"/>
      <c r="Y271" s="31" t="n"/>
    </row>
    <row r="272" ht="14.25" customHeight="1">
      <c r="A272" s="32" t="n"/>
      <c r="P272" s="31" t="n"/>
      <c r="Q272" s="31" t="n"/>
      <c r="R272" s="31" t="n"/>
      <c r="S272" s="31" t="n"/>
      <c r="T272" s="31" t="n"/>
      <c r="U272" s="31" t="n"/>
      <c r="V272" s="31" t="n"/>
      <c r="W272" s="31" t="n"/>
      <c r="X272" s="31" t="n"/>
      <c r="Y272" s="31" t="n"/>
    </row>
    <row r="273" ht="14.25" customHeight="1">
      <c r="A273" s="32" t="n"/>
      <c r="P273" s="31" t="n"/>
      <c r="Q273" s="31" t="n"/>
      <c r="R273" s="31" t="n"/>
      <c r="S273" s="31" t="n"/>
      <c r="T273" s="31" t="n"/>
      <c r="U273" s="31" t="n"/>
      <c r="V273" s="31" t="n"/>
      <c r="W273" s="31" t="n"/>
      <c r="X273" s="31" t="n"/>
      <c r="Y273" s="31" t="n"/>
    </row>
    <row r="274" ht="14.25" customHeight="1">
      <c r="A274" s="32" t="n"/>
      <c r="P274" s="31" t="n"/>
      <c r="Q274" s="31" t="n"/>
      <c r="R274" s="31" t="n"/>
      <c r="S274" s="31" t="n"/>
      <c r="T274" s="31" t="n"/>
      <c r="U274" s="31" t="n"/>
      <c r="V274" s="31" t="n"/>
      <c r="W274" s="31" t="n"/>
      <c r="X274" s="31" t="n"/>
      <c r="Y274" s="31" t="n"/>
    </row>
    <row r="275" ht="14.25" customHeight="1">
      <c r="A275" s="32" t="n"/>
      <c r="P275" s="31" t="n"/>
      <c r="Q275" s="31" t="n"/>
      <c r="R275" s="31" t="n"/>
      <c r="S275" s="31" t="n"/>
      <c r="T275" s="31" t="n"/>
      <c r="U275" s="31" t="n"/>
      <c r="V275" s="31" t="n"/>
      <c r="W275" s="31" t="n"/>
      <c r="X275" s="31" t="n"/>
      <c r="Y275" s="31" t="n"/>
    </row>
    <row r="276" ht="14.25" customHeight="1">
      <c r="A276" s="32" t="n"/>
      <c r="P276" s="31" t="n"/>
      <c r="Q276" s="31" t="n"/>
      <c r="R276" s="31" t="n"/>
      <c r="S276" s="31" t="n"/>
      <c r="T276" s="31" t="n"/>
      <c r="U276" s="31" t="n"/>
      <c r="V276" s="31" t="n"/>
      <c r="W276" s="31" t="n"/>
      <c r="X276" s="31" t="n"/>
      <c r="Y276" s="31" t="n"/>
    </row>
    <row r="277" ht="14.25" customHeight="1">
      <c r="A277" s="32" t="n"/>
      <c r="P277" s="31" t="n"/>
      <c r="Q277" s="31" t="n"/>
      <c r="R277" s="31" t="n"/>
      <c r="S277" s="31" t="n"/>
      <c r="T277" s="31" t="n"/>
      <c r="U277" s="31" t="n"/>
      <c r="V277" s="31" t="n"/>
      <c r="W277" s="31" t="n"/>
      <c r="X277" s="31" t="n"/>
      <c r="Y277" s="31" t="n"/>
    </row>
    <row r="278" ht="14.25" customHeight="1">
      <c r="A278" s="32" t="n"/>
      <c r="P278" s="31" t="n"/>
      <c r="Q278" s="31" t="n"/>
      <c r="R278" s="31" t="n"/>
      <c r="S278" s="31" t="n"/>
      <c r="T278" s="31" t="n"/>
      <c r="U278" s="31" t="n"/>
      <c r="V278" s="31" t="n"/>
      <c r="W278" s="31" t="n"/>
      <c r="X278" s="31" t="n"/>
      <c r="Y278" s="31" t="n"/>
    </row>
    <row r="279" ht="14.25" customHeight="1">
      <c r="A279" s="32" t="n"/>
      <c r="P279" s="31" t="n"/>
      <c r="Q279" s="31" t="n"/>
      <c r="R279" s="31" t="n"/>
      <c r="S279" s="31" t="n"/>
      <c r="T279" s="31" t="n"/>
      <c r="U279" s="31" t="n"/>
      <c r="V279" s="31" t="n"/>
      <c r="W279" s="31" t="n"/>
      <c r="X279" s="31" t="n"/>
      <c r="Y279" s="31" t="n"/>
    </row>
    <row r="280" ht="14.25" customHeight="1">
      <c r="A280" s="32" t="n"/>
      <c r="P280" s="31" t="n"/>
      <c r="Q280" s="31" t="n"/>
      <c r="R280" s="31" t="n"/>
      <c r="S280" s="31" t="n"/>
      <c r="T280" s="31" t="n"/>
      <c r="U280" s="31" t="n"/>
      <c r="V280" s="31" t="n"/>
      <c r="W280" s="31" t="n"/>
      <c r="X280" s="31" t="n"/>
      <c r="Y280" s="31" t="n"/>
    </row>
    <row r="281" ht="14.25" customHeight="1">
      <c r="A281" s="32" t="n"/>
      <c r="P281" s="31" t="n"/>
      <c r="Q281" s="31" t="n"/>
      <c r="R281" s="31" t="n"/>
      <c r="S281" s="31" t="n"/>
      <c r="T281" s="31" t="n"/>
      <c r="U281" s="31" t="n"/>
      <c r="V281" s="31" t="n"/>
      <c r="W281" s="31" t="n"/>
      <c r="X281" s="31" t="n"/>
      <c r="Y281" s="31" t="n"/>
    </row>
    <row r="282" ht="14.25" customHeight="1">
      <c r="A282" s="32" t="n"/>
      <c r="P282" s="31" t="n"/>
      <c r="Q282" s="31" t="n"/>
      <c r="R282" s="31" t="n"/>
      <c r="S282" s="31" t="n"/>
      <c r="T282" s="31" t="n"/>
      <c r="U282" s="31" t="n"/>
      <c r="V282" s="31" t="n"/>
      <c r="W282" s="31" t="n"/>
      <c r="X282" s="31" t="n"/>
      <c r="Y282" s="31" t="n"/>
    </row>
    <row r="283" ht="14.25" customHeight="1">
      <c r="A283" s="32" t="n"/>
      <c r="P283" s="31" t="n"/>
      <c r="Q283" s="31" t="n"/>
      <c r="R283" s="31" t="n"/>
      <c r="S283" s="31" t="n"/>
      <c r="T283" s="31" t="n"/>
      <c r="U283" s="31" t="n"/>
      <c r="V283" s="31" t="n"/>
      <c r="W283" s="31" t="n"/>
      <c r="X283" s="31" t="n"/>
      <c r="Y283" s="31" t="n"/>
    </row>
    <row r="284" ht="14.25" customHeight="1">
      <c r="A284" s="32" t="n"/>
      <c r="P284" s="31" t="n"/>
      <c r="Q284" s="31" t="n"/>
      <c r="R284" s="31" t="n"/>
      <c r="S284" s="31" t="n"/>
      <c r="T284" s="31" t="n"/>
      <c r="U284" s="31" t="n"/>
      <c r="V284" s="31" t="n"/>
      <c r="W284" s="31" t="n"/>
      <c r="X284" s="31" t="n"/>
      <c r="Y284" s="31" t="n"/>
    </row>
    <row r="285" ht="14.25" customHeight="1">
      <c r="A285" s="32" t="n"/>
      <c r="P285" s="31" t="n"/>
      <c r="Q285" s="31" t="n"/>
      <c r="R285" s="31" t="n"/>
      <c r="S285" s="31" t="n"/>
      <c r="T285" s="31" t="n"/>
      <c r="U285" s="31" t="n"/>
      <c r="V285" s="31" t="n"/>
      <c r="W285" s="31" t="n"/>
      <c r="X285" s="31" t="n"/>
      <c r="Y285" s="31" t="n"/>
    </row>
    <row r="286" ht="14.25" customHeight="1">
      <c r="A286" s="32" t="n"/>
      <c r="P286" s="31" t="n"/>
      <c r="Q286" s="31" t="n"/>
      <c r="R286" s="31" t="n"/>
      <c r="S286" s="31" t="n"/>
      <c r="T286" s="31" t="n"/>
      <c r="U286" s="31" t="n"/>
      <c r="V286" s="31" t="n"/>
      <c r="W286" s="31" t="n"/>
      <c r="X286" s="31" t="n"/>
      <c r="Y286" s="31" t="n"/>
    </row>
    <row r="287" ht="14.25" customHeight="1">
      <c r="A287" s="32" t="n"/>
      <c r="P287" s="31" t="n"/>
      <c r="Q287" s="31" t="n"/>
      <c r="R287" s="31" t="n"/>
      <c r="S287" s="31" t="n"/>
      <c r="T287" s="31" t="n"/>
      <c r="U287" s="31" t="n"/>
      <c r="V287" s="31" t="n"/>
      <c r="W287" s="31" t="n"/>
      <c r="X287" s="31" t="n"/>
      <c r="Y287" s="31" t="n"/>
    </row>
    <row r="288" ht="14.25" customHeight="1">
      <c r="A288" s="32" t="n"/>
      <c r="P288" s="31" t="n"/>
      <c r="Q288" s="31" t="n"/>
      <c r="R288" s="31" t="n"/>
      <c r="S288" s="31" t="n"/>
      <c r="T288" s="31" t="n"/>
      <c r="U288" s="31" t="n"/>
      <c r="V288" s="31" t="n"/>
      <c r="W288" s="31" t="n"/>
      <c r="X288" s="31" t="n"/>
      <c r="Y288" s="31" t="n"/>
    </row>
    <row r="289" ht="14.25" customHeight="1">
      <c r="A289" s="32" t="n"/>
      <c r="P289" s="31" t="n"/>
      <c r="Q289" s="31" t="n"/>
      <c r="R289" s="31" t="n"/>
      <c r="S289" s="31" t="n"/>
      <c r="T289" s="31" t="n"/>
      <c r="U289" s="31" t="n"/>
      <c r="V289" s="31" t="n"/>
      <c r="W289" s="31" t="n"/>
      <c r="X289" s="31" t="n"/>
      <c r="Y289" s="31" t="n"/>
    </row>
    <row r="290" ht="14.25" customHeight="1">
      <c r="A290" s="32" t="n"/>
      <c r="P290" s="31" t="n"/>
      <c r="Q290" s="31" t="n"/>
      <c r="R290" s="31" t="n"/>
      <c r="S290" s="31" t="n"/>
      <c r="T290" s="31" t="n"/>
      <c r="U290" s="31" t="n"/>
      <c r="V290" s="31" t="n"/>
      <c r="W290" s="31" t="n"/>
      <c r="X290" s="31" t="n"/>
      <c r="Y290" s="31" t="n"/>
    </row>
    <row r="291" ht="14.25" customHeight="1">
      <c r="A291" s="32" t="n"/>
      <c r="P291" s="31" t="n"/>
      <c r="Q291" s="31" t="n"/>
      <c r="R291" s="31" t="n"/>
      <c r="S291" s="31" t="n"/>
      <c r="T291" s="31" t="n"/>
      <c r="U291" s="31" t="n"/>
      <c r="V291" s="31" t="n"/>
      <c r="W291" s="31" t="n"/>
      <c r="X291" s="31" t="n"/>
      <c r="Y291" s="31" t="n"/>
    </row>
    <row r="292" ht="14.25" customHeight="1">
      <c r="A292" s="32" t="n"/>
      <c r="P292" s="31" t="n"/>
      <c r="Q292" s="31" t="n"/>
      <c r="R292" s="31" t="n"/>
      <c r="S292" s="31" t="n"/>
      <c r="T292" s="31" t="n"/>
      <c r="U292" s="31" t="n"/>
      <c r="V292" s="31" t="n"/>
      <c r="W292" s="31" t="n"/>
      <c r="X292" s="31" t="n"/>
      <c r="Y292" s="31" t="n"/>
    </row>
    <row r="293" ht="14.25" customHeight="1">
      <c r="A293" s="32" t="n"/>
      <c r="P293" s="31" t="n"/>
      <c r="Q293" s="31" t="n"/>
      <c r="R293" s="31" t="n"/>
      <c r="S293" s="31" t="n"/>
      <c r="T293" s="31" t="n"/>
      <c r="U293" s="31" t="n"/>
      <c r="V293" s="31" t="n"/>
      <c r="W293" s="31" t="n"/>
      <c r="X293" s="31" t="n"/>
      <c r="Y293" s="31" t="n"/>
    </row>
    <row r="294" ht="14.25" customHeight="1">
      <c r="A294" s="32" t="n"/>
      <c r="P294" s="31" t="n"/>
      <c r="Q294" s="31" t="n"/>
      <c r="R294" s="31" t="n"/>
      <c r="S294" s="31" t="n"/>
      <c r="T294" s="31" t="n"/>
      <c r="U294" s="31" t="n"/>
      <c r="V294" s="31" t="n"/>
      <c r="W294" s="31" t="n"/>
      <c r="X294" s="31" t="n"/>
      <c r="Y294" s="31" t="n"/>
    </row>
    <row r="295" ht="14.25" customHeight="1">
      <c r="A295" s="32" t="n"/>
      <c r="P295" s="31" t="n"/>
      <c r="Q295" s="31" t="n"/>
      <c r="R295" s="31" t="n"/>
      <c r="S295" s="31" t="n"/>
      <c r="T295" s="31" t="n"/>
      <c r="U295" s="31" t="n"/>
      <c r="V295" s="31" t="n"/>
      <c r="W295" s="31" t="n"/>
      <c r="X295" s="31" t="n"/>
      <c r="Y295" s="31" t="n"/>
    </row>
    <row r="296" ht="14.25" customHeight="1">
      <c r="A296" s="32" t="n"/>
      <c r="P296" s="31" t="n"/>
      <c r="Q296" s="31" t="n"/>
      <c r="R296" s="31" t="n"/>
      <c r="S296" s="31" t="n"/>
      <c r="T296" s="31" t="n"/>
      <c r="U296" s="31" t="n"/>
      <c r="V296" s="31" t="n"/>
      <c r="W296" s="31" t="n"/>
      <c r="X296" s="31" t="n"/>
      <c r="Y296" s="31" t="n"/>
    </row>
    <row r="297" ht="14.25" customHeight="1">
      <c r="A297" s="32" t="n"/>
      <c r="P297" s="31" t="n"/>
      <c r="Q297" s="31" t="n"/>
      <c r="R297" s="31" t="n"/>
      <c r="S297" s="31" t="n"/>
      <c r="T297" s="31" t="n"/>
      <c r="U297" s="31" t="n"/>
      <c r="V297" s="31" t="n"/>
      <c r="W297" s="31" t="n"/>
      <c r="X297" s="31" t="n"/>
      <c r="Y297" s="31" t="n"/>
    </row>
    <row r="298" ht="14.25" customHeight="1">
      <c r="A298" s="32" t="n"/>
      <c r="P298" s="31" t="n"/>
      <c r="Q298" s="31" t="n"/>
      <c r="R298" s="31" t="n"/>
      <c r="S298" s="31" t="n"/>
      <c r="T298" s="31" t="n"/>
      <c r="U298" s="31" t="n"/>
      <c r="V298" s="31" t="n"/>
      <c r="W298" s="31" t="n"/>
      <c r="X298" s="31" t="n"/>
      <c r="Y298" s="31" t="n"/>
    </row>
    <row r="299" ht="14.25" customHeight="1">
      <c r="A299" s="32" t="n"/>
      <c r="P299" s="31" t="n"/>
      <c r="Q299" s="31" t="n"/>
      <c r="R299" s="31" t="n"/>
      <c r="S299" s="31" t="n"/>
      <c r="T299" s="31" t="n"/>
      <c r="U299" s="31" t="n"/>
      <c r="V299" s="31" t="n"/>
      <c r="W299" s="31" t="n"/>
      <c r="X299" s="31" t="n"/>
      <c r="Y299" s="31" t="n"/>
    </row>
    <row r="300" ht="14.25" customHeight="1">
      <c r="A300" s="32" t="n"/>
      <c r="P300" s="31" t="n"/>
      <c r="Q300" s="31" t="n"/>
      <c r="R300" s="31" t="n"/>
      <c r="S300" s="31" t="n"/>
      <c r="T300" s="31" t="n"/>
      <c r="U300" s="31" t="n"/>
      <c r="V300" s="31" t="n"/>
      <c r="W300" s="31" t="n"/>
      <c r="X300" s="31" t="n"/>
      <c r="Y300" s="31" t="n"/>
    </row>
    <row r="301" ht="14.25" customHeight="1">
      <c r="A301" s="32" t="n"/>
      <c r="P301" s="31" t="n"/>
      <c r="Q301" s="31" t="n"/>
      <c r="R301" s="31" t="n"/>
      <c r="S301" s="31" t="n"/>
      <c r="T301" s="31" t="n"/>
      <c r="U301" s="31" t="n"/>
      <c r="V301" s="31" t="n"/>
      <c r="W301" s="31" t="n"/>
      <c r="X301" s="31" t="n"/>
      <c r="Y301" s="31" t="n"/>
    </row>
    <row r="302" ht="14.25" customHeight="1">
      <c r="A302" s="32" t="n"/>
      <c r="P302" s="31" t="n"/>
      <c r="Q302" s="31" t="n"/>
      <c r="R302" s="31" t="n"/>
      <c r="S302" s="31" t="n"/>
      <c r="T302" s="31" t="n"/>
      <c r="U302" s="31" t="n"/>
      <c r="V302" s="31" t="n"/>
      <c r="W302" s="31" t="n"/>
      <c r="X302" s="31" t="n"/>
      <c r="Y302" s="31" t="n"/>
    </row>
    <row r="303" ht="14.25" customHeight="1">
      <c r="A303" s="32" t="n"/>
      <c r="P303" s="31" t="n"/>
      <c r="Q303" s="31" t="n"/>
      <c r="R303" s="31" t="n"/>
      <c r="S303" s="31" t="n"/>
      <c r="T303" s="31" t="n"/>
      <c r="U303" s="31" t="n"/>
      <c r="V303" s="31" t="n"/>
      <c r="W303" s="31" t="n"/>
      <c r="X303" s="31" t="n"/>
      <c r="Y303" s="31" t="n"/>
    </row>
    <row r="304" ht="14.25" customHeight="1">
      <c r="A304" s="32" t="n"/>
      <c r="P304" s="31" t="n"/>
      <c r="Q304" s="31" t="n"/>
      <c r="R304" s="31" t="n"/>
      <c r="S304" s="31" t="n"/>
      <c r="T304" s="31" t="n"/>
      <c r="U304" s="31" t="n"/>
      <c r="V304" s="31" t="n"/>
      <c r="W304" s="31" t="n"/>
      <c r="X304" s="31" t="n"/>
      <c r="Y304" s="31" t="n"/>
    </row>
    <row r="305" ht="14.25" customHeight="1">
      <c r="A305" s="32" t="n"/>
      <c r="P305" s="31" t="n"/>
      <c r="Q305" s="31" t="n"/>
      <c r="R305" s="31" t="n"/>
      <c r="S305" s="31" t="n"/>
      <c r="T305" s="31" t="n"/>
      <c r="U305" s="31" t="n"/>
      <c r="V305" s="31" t="n"/>
      <c r="W305" s="31" t="n"/>
      <c r="X305" s="31" t="n"/>
      <c r="Y305" s="31" t="n"/>
    </row>
    <row r="306" ht="14.25" customHeight="1">
      <c r="A306" s="32" t="n"/>
      <c r="P306" s="31" t="n"/>
      <c r="Q306" s="31" t="n"/>
      <c r="R306" s="31" t="n"/>
      <c r="S306" s="31" t="n"/>
      <c r="T306" s="31" t="n"/>
      <c r="U306" s="31" t="n"/>
      <c r="V306" s="31" t="n"/>
      <c r="W306" s="31" t="n"/>
      <c r="X306" s="31" t="n"/>
      <c r="Y306" s="31" t="n"/>
    </row>
    <row r="307" ht="14.25" customHeight="1">
      <c r="A307" s="32" t="n"/>
      <c r="P307" s="31" t="n"/>
      <c r="Q307" s="31" t="n"/>
      <c r="R307" s="31" t="n"/>
      <c r="S307" s="31" t="n"/>
      <c r="T307" s="31" t="n"/>
      <c r="U307" s="31" t="n"/>
      <c r="V307" s="31" t="n"/>
      <c r="W307" s="31" t="n"/>
      <c r="X307" s="31" t="n"/>
      <c r="Y307" s="31" t="n"/>
    </row>
    <row r="308" ht="14.25" customHeight="1">
      <c r="A308" s="32" t="n"/>
      <c r="P308" s="31" t="n"/>
      <c r="Q308" s="31" t="n"/>
      <c r="R308" s="31" t="n"/>
      <c r="S308" s="31" t="n"/>
      <c r="T308" s="31" t="n"/>
      <c r="U308" s="31" t="n"/>
      <c r="V308" s="31" t="n"/>
      <c r="W308" s="31" t="n"/>
      <c r="X308" s="31" t="n"/>
      <c r="Y308" s="31" t="n"/>
    </row>
    <row r="309" ht="14.25" customHeight="1">
      <c r="A309" s="32" t="n"/>
      <c r="P309" s="31" t="n"/>
      <c r="Q309" s="31" t="n"/>
      <c r="R309" s="31" t="n"/>
      <c r="S309" s="31" t="n"/>
      <c r="T309" s="31" t="n"/>
      <c r="U309" s="31" t="n"/>
      <c r="V309" s="31" t="n"/>
      <c r="W309" s="31" t="n"/>
      <c r="X309" s="31" t="n"/>
      <c r="Y309" s="31" t="n"/>
    </row>
    <row r="310" ht="14.25" customHeight="1">
      <c r="A310" s="32" t="n"/>
      <c r="P310" s="31" t="n"/>
      <c r="Q310" s="31" t="n"/>
      <c r="R310" s="31" t="n"/>
      <c r="S310" s="31" t="n"/>
      <c r="T310" s="31" t="n"/>
      <c r="U310" s="31" t="n"/>
      <c r="V310" s="31" t="n"/>
      <c r="W310" s="31" t="n"/>
      <c r="X310" s="31" t="n"/>
      <c r="Y310" s="31" t="n"/>
    </row>
    <row r="311" ht="14.25" customHeight="1">
      <c r="A311" s="32" t="n"/>
      <c r="P311" s="31" t="n"/>
      <c r="Q311" s="31" t="n"/>
      <c r="R311" s="31" t="n"/>
      <c r="S311" s="31" t="n"/>
      <c r="T311" s="31" t="n"/>
      <c r="U311" s="31" t="n"/>
      <c r="V311" s="31" t="n"/>
      <c r="W311" s="31" t="n"/>
      <c r="X311" s="31" t="n"/>
      <c r="Y311" s="31" t="n"/>
    </row>
    <row r="312" ht="14.25" customHeight="1">
      <c r="A312" s="32" t="n"/>
      <c r="P312" s="31" t="n"/>
      <c r="Q312" s="31" t="n"/>
      <c r="R312" s="31" t="n"/>
      <c r="S312" s="31" t="n"/>
      <c r="T312" s="31" t="n"/>
      <c r="U312" s="31" t="n"/>
      <c r="V312" s="31" t="n"/>
      <c r="W312" s="31" t="n"/>
      <c r="X312" s="31" t="n"/>
      <c r="Y312" s="31" t="n"/>
    </row>
    <row r="313" ht="14.25" customHeight="1">
      <c r="A313" s="32" t="n"/>
      <c r="P313" s="31" t="n"/>
      <c r="Q313" s="31" t="n"/>
      <c r="R313" s="31" t="n"/>
      <c r="S313" s="31" t="n"/>
      <c r="T313" s="31" t="n"/>
      <c r="U313" s="31" t="n"/>
      <c r="V313" s="31" t="n"/>
      <c r="W313" s="31" t="n"/>
      <c r="X313" s="31" t="n"/>
      <c r="Y313" s="31" t="n"/>
    </row>
    <row r="314" ht="14.25" customHeight="1">
      <c r="A314" s="32" t="n"/>
      <c r="P314" s="31" t="n"/>
      <c r="Q314" s="31" t="n"/>
      <c r="R314" s="31" t="n"/>
      <c r="S314" s="31" t="n"/>
      <c r="T314" s="31" t="n"/>
      <c r="U314" s="31" t="n"/>
      <c r="V314" s="31" t="n"/>
      <c r="W314" s="31" t="n"/>
      <c r="X314" s="31" t="n"/>
      <c r="Y314" s="31" t="n"/>
    </row>
    <row r="315" ht="14.25" customHeight="1">
      <c r="A315" s="32" t="n"/>
      <c r="P315" s="31" t="n"/>
      <c r="Q315" s="31" t="n"/>
      <c r="R315" s="31" t="n"/>
      <c r="S315" s="31" t="n"/>
      <c r="T315" s="31" t="n"/>
      <c r="U315" s="31" t="n"/>
      <c r="V315" s="31" t="n"/>
      <c r="W315" s="31" t="n"/>
      <c r="X315" s="31" t="n"/>
      <c r="Y315" s="31" t="n"/>
    </row>
    <row r="316" ht="14.25" customHeight="1">
      <c r="A316" s="32" t="n"/>
      <c r="P316" s="31" t="n"/>
      <c r="Q316" s="31" t="n"/>
      <c r="R316" s="31" t="n"/>
      <c r="S316" s="31" t="n"/>
      <c r="T316" s="31" t="n"/>
      <c r="U316" s="31" t="n"/>
      <c r="V316" s="31" t="n"/>
      <c r="W316" s="31" t="n"/>
      <c r="X316" s="31" t="n"/>
      <c r="Y316" s="31" t="n"/>
    </row>
    <row r="317" ht="14.25" customHeight="1">
      <c r="A317" s="32" t="n"/>
      <c r="P317" s="31" t="n"/>
      <c r="Q317" s="31" t="n"/>
      <c r="R317" s="31" t="n"/>
      <c r="S317" s="31" t="n"/>
      <c r="T317" s="31" t="n"/>
      <c r="U317" s="31" t="n"/>
      <c r="V317" s="31" t="n"/>
      <c r="W317" s="31" t="n"/>
      <c r="X317" s="31" t="n"/>
      <c r="Y317" s="31" t="n"/>
    </row>
    <row r="318" ht="14.25" customHeight="1">
      <c r="A318" s="32" t="n"/>
      <c r="P318" s="31" t="n"/>
      <c r="Q318" s="31" t="n"/>
      <c r="R318" s="31" t="n"/>
      <c r="S318" s="31" t="n"/>
      <c r="T318" s="31" t="n"/>
      <c r="U318" s="31" t="n"/>
      <c r="V318" s="31" t="n"/>
      <c r="W318" s="31" t="n"/>
      <c r="X318" s="31" t="n"/>
      <c r="Y318" s="31" t="n"/>
    </row>
    <row r="319" ht="14.25" customHeight="1">
      <c r="A319" s="32" t="n"/>
      <c r="P319" s="31" t="n"/>
      <c r="Q319" s="31" t="n"/>
      <c r="R319" s="31" t="n"/>
      <c r="S319" s="31" t="n"/>
      <c r="T319" s="31" t="n"/>
      <c r="U319" s="31" t="n"/>
      <c r="V319" s="31" t="n"/>
      <c r="W319" s="31" t="n"/>
      <c r="X319" s="31" t="n"/>
      <c r="Y319" s="31" t="n"/>
    </row>
    <row r="320" ht="14.25" customHeight="1">
      <c r="A320" s="32" t="n"/>
      <c r="P320" s="31" t="n"/>
      <c r="Q320" s="31" t="n"/>
      <c r="R320" s="31" t="n"/>
      <c r="S320" s="31" t="n"/>
      <c r="T320" s="31" t="n"/>
      <c r="U320" s="31" t="n"/>
      <c r="V320" s="31" t="n"/>
      <c r="W320" s="31" t="n"/>
      <c r="X320" s="31" t="n"/>
      <c r="Y320" s="31" t="n"/>
    </row>
    <row r="321" ht="14.25" customHeight="1">
      <c r="A321" s="32" t="n"/>
      <c r="P321" s="31" t="n"/>
      <c r="Q321" s="31" t="n"/>
      <c r="R321" s="31" t="n"/>
      <c r="S321" s="31" t="n"/>
      <c r="T321" s="31" t="n"/>
      <c r="U321" s="31" t="n"/>
      <c r="V321" s="31" t="n"/>
      <c r="W321" s="31" t="n"/>
      <c r="X321" s="31" t="n"/>
      <c r="Y321" s="31" t="n"/>
    </row>
    <row r="322" ht="14.25" customHeight="1">
      <c r="A322" s="32" t="n"/>
      <c r="P322" s="31" t="n"/>
      <c r="Q322" s="31" t="n"/>
      <c r="R322" s="31" t="n"/>
      <c r="S322" s="31" t="n"/>
      <c r="T322" s="31" t="n"/>
      <c r="U322" s="31" t="n"/>
      <c r="V322" s="31" t="n"/>
      <c r="W322" s="31" t="n"/>
      <c r="X322" s="31" t="n"/>
      <c r="Y322" s="31" t="n"/>
    </row>
    <row r="323" ht="14.25" customHeight="1">
      <c r="A323" s="32" t="n"/>
      <c r="P323" s="31" t="n"/>
      <c r="Q323" s="31" t="n"/>
      <c r="R323" s="31" t="n"/>
      <c r="S323" s="31" t="n"/>
      <c r="T323" s="31" t="n"/>
      <c r="U323" s="31" t="n"/>
      <c r="V323" s="31" t="n"/>
      <c r="W323" s="31" t="n"/>
      <c r="X323" s="31" t="n"/>
      <c r="Y323" s="31" t="n"/>
    </row>
    <row r="324" ht="14.25" customHeight="1">
      <c r="A324" s="32" t="n"/>
      <c r="P324" s="31" t="n"/>
      <c r="Q324" s="31" t="n"/>
      <c r="R324" s="31" t="n"/>
      <c r="S324" s="31" t="n"/>
      <c r="T324" s="31" t="n"/>
      <c r="U324" s="31" t="n"/>
      <c r="V324" s="31" t="n"/>
      <c r="W324" s="31" t="n"/>
      <c r="X324" s="31" t="n"/>
      <c r="Y324" s="31" t="n"/>
    </row>
    <row r="325" ht="14.25" customHeight="1">
      <c r="A325" s="32" t="n"/>
      <c r="P325" s="31" t="n"/>
      <c r="Q325" s="31" t="n"/>
      <c r="R325" s="31" t="n"/>
      <c r="S325" s="31" t="n"/>
      <c r="T325" s="31" t="n"/>
      <c r="U325" s="31" t="n"/>
      <c r="V325" s="31" t="n"/>
      <c r="W325" s="31" t="n"/>
      <c r="X325" s="31" t="n"/>
      <c r="Y325" s="31" t="n"/>
    </row>
    <row r="326" ht="14.25" customHeight="1">
      <c r="A326" s="32" t="n"/>
      <c r="P326" s="31" t="n"/>
      <c r="Q326" s="31" t="n"/>
      <c r="R326" s="31" t="n"/>
      <c r="S326" s="31" t="n"/>
      <c r="T326" s="31" t="n"/>
      <c r="U326" s="31" t="n"/>
      <c r="V326" s="31" t="n"/>
      <c r="W326" s="31" t="n"/>
      <c r="X326" s="31" t="n"/>
      <c r="Y326" s="31" t="n"/>
    </row>
    <row r="327" ht="14.25" customHeight="1">
      <c r="A327" s="32" t="n"/>
      <c r="P327" s="31" t="n"/>
      <c r="Q327" s="31" t="n"/>
      <c r="R327" s="31" t="n"/>
      <c r="S327" s="31" t="n"/>
      <c r="T327" s="31" t="n"/>
      <c r="U327" s="31" t="n"/>
      <c r="V327" s="31" t="n"/>
      <c r="W327" s="31" t="n"/>
      <c r="X327" s="31" t="n"/>
      <c r="Y327" s="31" t="n"/>
    </row>
    <row r="328" ht="14.25" customHeight="1">
      <c r="A328" s="32" t="n"/>
      <c r="P328" s="31" t="n"/>
      <c r="Q328" s="31" t="n"/>
      <c r="R328" s="31" t="n"/>
      <c r="S328" s="31" t="n"/>
      <c r="T328" s="31" t="n"/>
      <c r="U328" s="31" t="n"/>
      <c r="V328" s="31" t="n"/>
      <c r="W328" s="31" t="n"/>
      <c r="X328" s="31" t="n"/>
      <c r="Y328" s="31" t="n"/>
    </row>
    <row r="329" ht="14.25" customHeight="1">
      <c r="A329" s="32" t="n"/>
      <c r="P329" s="31" t="n"/>
      <c r="Q329" s="31" t="n"/>
      <c r="R329" s="31" t="n"/>
      <c r="S329" s="31" t="n"/>
      <c r="T329" s="31" t="n"/>
      <c r="U329" s="31" t="n"/>
      <c r="V329" s="31" t="n"/>
      <c r="W329" s="31" t="n"/>
      <c r="X329" s="31" t="n"/>
      <c r="Y329" s="31" t="n"/>
    </row>
    <row r="330" ht="14.25" customHeight="1">
      <c r="A330" s="32" t="n"/>
      <c r="P330" s="31" t="n"/>
      <c r="Q330" s="31" t="n"/>
      <c r="R330" s="31" t="n"/>
      <c r="S330" s="31" t="n"/>
      <c r="T330" s="31" t="n"/>
      <c r="U330" s="31" t="n"/>
      <c r="V330" s="31" t="n"/>
      <c r="W330" s="31" t="n"/>
      <c r="X330" s="31" t="n"/>
      <c r="Y330" s="31" t="n"/>
    </row>
    <row r="331" ht="14.25" customHeight="1">
      <c r="A331" s="32" t="n"/>
      <c r="P331" s="31" t="n"/>
      <c r="Q331" s="31" t="n"/>
      <c r="R331" s="31" t="n"/>
      <c r="S331" s="31" t="n"/>
      <c r="T331" s="31" t="n"/>
      <c r="U331" s="31" t="n"/>
      <c r="V331" s="31" t="n"/>
      <c r="W331" s="31" t="n"/>
      <c r="X331" s="31" t="n"/>
      <c r="Y331" s="31" t="n"/>
    </row>
    <row r="332" ht="14.25" customHeight="1">
      <c r="A332" s="32" t="n"/>
      <c r="P332" s="31" t="n"/>
      <c r="Q332" s="31" t="n"/>
      <c r="R332" s="31" t="n"/>
      <c r="S332" s="31" t="n"/>
      <c r="T332" s="31" t="n"/>
      <c r="U332" s="31" t="n"/>
      <c r="V332" s="31" t="n"/>
      <c r="W332" s="31" t="n"/>
      <c r="X332" s="31" t="n"/>
      <c r="Y332" s="31" t="n"/>
    </row>
    <row r="333" ht="14.25" customHeight="1">
      <c r="A333" s="32" t="n"/>
      <c r="P333" s="31" t="n"/>
      <c r="Q333" s="31" t="n"/>
      <c r="R333" s="31" t="n"/>
      <c r="S333" s="31" t="n"/>
      <c r="T333" s="31" t="n"/>
      <c r="U333" s="31" t="n"/>
      <c r="V333" s="31" t="n"/>
      <c r="W333" s="31" t="n"/>
      <c r="X333" s="31" t="n"/>
      <c r="Y333" s="31" t="n"/>
    </row>
    <row r="334" ht="14.25" customHeight="1">
      <c r="A334" s="32" t="n"/>
      <c r="P334" s="31" t="n"/>
      <c r="Q334" s="31" t="n"/>
      <c r="R334" s="31" t="n"/>
      <c r="S334" s="31" t="n"/>
      <c r="T334" s="31" t="n"/>
      <c r="U334" s="31" t="n"/>
      <c r="V334" s="31" t="n"/>
      <c r="W334" s="31" t="n"/>
      <c r="X334" s="31" t="n"/>
      <c r="Y334" s="31" t="n"/>
    </row>
    <row r="335" ht="14.25" customHeight="1">
      <c r="A335" s="32" t="n"/>
      <c r="P335" s="31" t="n"/>
      <c r="Q335" s="31" t="n"/>
      <c r="R335" s="31" t="n"/>
      <c r="S335" s="31" t="n"/>
      <c r="T335" s="31" t="n"/>
      <c r="U335" s="31" t="n"/>
      <c r="V335" s="31" t="n"/>
      <c r="W335" s="31" t="n"/>
      <c r="X335" s="31" t="n"/>
      <c r="Y335" s="31" t="n"/>
    </row>
    <row r="336" ht="14.25" customHeight="1">
      <c r="A336" s="32" t="n"/>
      <c r="P336" s="31" t="n"/>
      <c r="Q336" s="31" t="n"/>
      <c r="R336" s="31" t="n"/>
      <c r="S336" s="31" t="n"/>
      <c r="T336" s="31" t="n"/>
      <c r="U336" s="31" t="n"/>
      <c r="V336" s="31" t="n"/>
      <c r="W336" s="31" t="n"/>
      <c r="X336" s="31" t="n"/>
      <c r="Y336" s="31" t="n"/>
    </row>
    <row r="337" ht="14.25" customHeight="1">
      <c r="A337" s="32" t="n"/>
      <c r="P337" s="31" t="n"/>
      <c r="Q337" s="31" t="n"/>
      <c r="R337" s="31" t="n"/>
      <c r="S337" s="31" t="n"/>
      <c r="T337" s="31" t="n"/>
      <c r="U337" s="31" t="n"/>
      <c r="V337" s="31" t="n"/>
      <c r="W337" s="31" t="n"/>
      <c r="X337" s="31" t="n"/>
      <c r="Y337" s="31" t="n"/>
    </row>
    <row r="338" ht="14.25" customHeight="1">
      <c r="A338" s="32" t="n"/>
      <c r="P338" s="31" t="n"/>
      <c r="Q338" s="31" t="n"/>
      <c r="R338" s="31" t="n"/>
      <c r="S338" s="31" t="n"/>
      <c r="T338" s="31" t="n"/>
      <c r="U338" s="31" t="n"/>
      <c r="V338" s="31" t="n"/>
      <c r="W338" s="31" t="n"/>
      <c r="X338" s="31" t="n"/>
      <c r="Y338" s="31" t="n"/>
    </row>
    <row r="339" ht="14.25" customHeight="1">
      <c r="A339" s="32" t="n"/>
      <c r="P339" s="31" t="n"/>
      <c r="Q339" s="31" t="n"/>
      <c r="R339" s="31" t="n"/>
      <c r="S339" s="31" t="n"/>
      <c r="T339" s="31" t="n"/>
      <c r="U339" s="31" t="n"/>
      <c r="V339" s="31" t="n"/>
      <c r="W339" s="31" t="n"/>
      <c r="X339" s="31" t="n"/>
      <c r="Y339" s="31" t="n"/>
    </row>
    <row r="340" ht="14.25" customHeight="1">
      <c r="A340" s="32" t="n"/>
      <c r="P340" s="31" t="n"/>
      <c r="Q340" s="31" t="n"/>
      <c r="R340" s="31" t="n"/>
      <c r="S340" s="31" t="n"/>
      <c r="T340" s="31" t="n"/>
      <c r="U340" s="31" t="n"/>
      <c r="V340" s="31" t="n"/>
      <c r="W340" s="31" t="n"/>
      <c r="X340" s="31" t="n"/>
      <c r="Y340" s="31" t="n"/>
    </row>
    <row r="341" ht="14.25" customHeight="1">
      <c r="A341" s="32" t="n"/>
      <c r="P341" s="31" t="n"/>
      <c r="Q341" s="31" t="n"/>
      <c r="R341" s="31" t="n"/>
      <c r="S341" s="31" t="n"/>
      <c r="T341" s="31" t="n"/>
      <c r="U341" s="31" t="n"/>
      <c r="V341" s="31" t="n"/>
      <c r="W341" s="31" t="n"/>
      <c r="X341" s="31" t="n"/>
      <c r="Y341" s="31" t="n"/>
    </row>
    <row r="342" ht="14.25" customHeight="1">
      <c r="A342" s="32" t="n"/>
      <c r="P342" s="31" t="n"/>
      <c r="Q342" s="31" t="n"/>
      <c r="R342" s="31" t="n"/>
      <c r="S342" s="31" t="n"/>
      <c r="T342" s="31" t="n"/>
      <c r="U342" s="31" t="n"/>
      <c r="V342" s="31" t="n"/>
      <c r="W342" s="31" t="n"/>
      <c r="X342" s="31" t="n"/>
      <c r="Y342" s="31" t="n"/>
    </row>
    <row r="343" ht="14.25" customHeight="1">
      <c r="A343" s="32" t="n"/>
      <c r="P343" s="31" t="n"/>
      <c r="Q343" s="31" t="n"/>
      <c r="R343" s="31" t="n"/>
      <c r="S343" s="31" t="n"/>
      <c r="T343" s="31" t="n"/>
      <c r="U343" s="31" t="n"/>
      <c r="V343" s="31" t="n"/>
      <c r="W343" s="31" t="n"/>
      <c r="X343" s="31" t="n"/>
      <c r="Y343" s="31" t="n"/>
    </row>
    <row r="344" ht="14.25" customHeight="1">
      <c r="A344" s="32" t="n"/>
      <c r="P344" s="31" t="n"/>
      <c r="Q344" s="31" t="n"/>
      <c r="R344" s="31" t="n"/>
      <c r="S344" s="31" t="n"/>
      <c r="T344" s="31" t="n"/>
      <c r="U344" s="31" t="n"/>
      <c r="V344" s="31" t="n"/>
      <c r="W344" s="31" t="n"/>
      <c r="X344" s="31" t="n"/>
      <c r="Y344" s="31" t="n"/>
    </row>
    <row r="345" ht="14.25" customHeight="1">
      <c r="A345" s="32" t="n"/>
      <c r="P345" s="31" t="n"/>
      <c r="Q345" s="31" t="n"/>
      <c r="R345" s="31" t="n"/>
      <c r="S345" s="31" t="n"/>
      <c r="T345" s="31" t="n"/>
      <c r="U345" s="31" t="n"/>
      <c r="V345" s="31" t="n"/>
      <c r="W345" s="31" t="n"/>
      <c r="X345" s="31" t="n"/>
      <c r="Y345" s="31" t="n"/>
    </row>
    <row r="346" ht="14.25" customHeight="1">
      <c r="A346" s="32" t="n"/>
      <c r="P346" s="31" t="n"/>
      <c r="Q346" s="31" t="n"/>
      <c r="R346" s="31" t="n"/>
      <c r="S346" s="31" t="n"/>
      <c r="T346" s="31" t="n"/>
      <c r="U346" s="31" t="n"/>
      <c r="V346" s="31" t="n"/>
      <c r="W346" s="31" t="n"/>
      <c r="X346" s="31" t="n"/>
      <c r="Y346" s="31" t="n"/>
    </row>
    <row r="347" ht="14.25" customHeight="1">
      <c r="A347" s="32" t="n"/>
      <c r="P347" s="31" t="n"/>
      <c r="Q347" s="31" t="n"/>
      <c r="R347" s="31" t="n"/>
      <c r="S347" s="31" t="n"/>
      <c r="T347" s="31" t="n"/>
      <c r="U347" s="31" t="n"/>
      <c r="V347" s="31" t="n"/>
      <c r="W347" s="31" t="n"/>
      <c r="X347" s="31" t="n"/>
      <c r="Y347" s="31" t="n"/>
    </row>
    <row r="348" ht="14.25" customHeight="1">
      <c r="A348" s="32" t="n"/>
      <c r="P348" s="31" t="n"/>
      <c r="Q348" s="31" t="n"/>
      <c r="R348" s="31" t="n"/>
      <c r="S348" s="31" t="n"/>
      <c r="T348" s="31" t="n"/>
      <c r="U348" s="31" t="n"/>
      <c r="V348" s="31" t="n"/>
      <c r="W348" s="31" t="n"/>
      <c r="X348" s="31" t="n"/>
      <c r="Y348" s="31" t="n"/>
    </row>
    <row r="349" ht="14.25" customHeight="1">
      <c r="A349" s="32" t="n"/>
      <c r="P349" s="31" t="n"/>
      <c r="Q349" s="31" t="n"/>
      <c r="R349" s="31" t="n"/>
      <c r="S349" s="31" t="n"/>
      <c r="T349" s="31" t="n"/>
      <c r="U349" s="31" t="n"/>
      <c r="V349" s="31" t="n"/>
      <c r="W349" s="31" t="n"/>
      <c r="X349" s="31" t="n"/>
      <c r="Y349" s="31" t="n"/>
    </row>
    <row r="350" ht="14.25" customHeight="1">
      <c r="A350" s="32" t="n"/>
      <c r="P350" s="31" t="n"/>
      <c r="Q350" s="31" t="n"/>
      <c r="R350" s="31" t="n"/>
      <c r="S350" s="31" t="n"/>
      <c r="T350" s="31" t="n"/>
      <c r="U350" s="31" t="n"/>
      <c r="V350" s="31" t="n"/>
      <c r="W350" s="31" t="n"/>
      <c r="X350" s="31" t="n"/>
      <c r="Y350" s="31" t="n"/>
    </row>
    <row r="351" ht="14.25" customHeight="1">
      <c r="A351" s="32" t="n"/>
      <c r="P351" s="31" t="n"/>
      <c r="Q351" s="31" t="n"/>
      <c r="R351" s="31" t="n"/>
      <c r="S351" s="31" t="n"/>
      <c r="T351" s="31" t="n"/>
      <c r="U351" s="31" t="n"/>
      <c r="V351" s="31" t="n"/>
      <c r="W351" s="31" t="n"/>
      <c r="X351" s="31" t="n"/>
      <c r="Y351" s="31" t="n"/>
    </row>
    <row r="352" ht="14.25" customHeight="1">
      <c r="A352" s="32" t="n"/>
      <c r="P352" s="31" t="n"/>
      <c r="Q352" s="31" t="n"/>
      <c r="R352" s="31" t="n"/>
      <c r="S352" s="31" t="n"/>
      <c r="T352" s="31" t="n"/>
      <c r="U352" s="31" t="n"/>
      <c r="V352" s="31" t="n"/>
      <c r="W352" s="31" t="n"/>
      <c r="X352" s="31" t="n"/>
      <c r="Y352" s="31" t="n"/>
    </row>
    <row r="353" ht="14.25" customHeight="1">
      <c r="A353" s="32" t="n"/>
      <c r="P353" s="31" t="n"/>
      <c r="Q353" s="31" t="n"/>
      <c r="R353" s="31" t="n"/>
      <c r="S353" s="31" t="n"/>
      <c r="T353" s="31" t="n"/>
      <c r="U353" s="31" t="n"/>
      <c r="V353" s="31" t="n"/>
      <c r="W353" s="31" t="n"/>
      <c r="X353" s="31" t="n"/>
      <c r="Y353" s="31" t="n"/>
    </row>
    <row r="354" ht="14.25" customHeight="1">
      <c r="A354" s="32" t="n"/>
      <c r="P354" s="31" t="n"/>
      <c r="Q354" s="31" t="n"/>
      <c r="R354" s="31" t="n"/>
      <c r="S354" s="31" t="n"/>
      <c r="T354" s="31" t="n"/>
      <c r="U354" s="31" t="n"/>
      <c r="V354" s="31" t="n"/>
      <c r="W354" s="31" t="n"/>
      <c r="X354" s="31" t="n"/>
      <c r="Y354" s="31" t="n"/>
    </row>
    <row r="355" ht="14.25" customHeight="1">
      <c r="A355" s="32" t="n"/>
      <c r="P355" s="31" t="n"/>
      <c r="Q355" s="31" t="n"/>
      <c r="R355" s="31" t="n"/>
      <c r="S355" s="31" t="n"/>
      <c r="T355" s="31" t="n"/>
      <c r="U355" s="31" t="n"/>
      <c r="V355" s="31" t="n"/>
      <c r="W355" s="31" t="n"/>
      <c r="X355" s="31" t="n"/>
      <c r="Y355" s="31" t="n"/>
    </row>
    <row r="356" ht="14.25" customHeight="1">
      <c r="A356" s="32" t="n"/>
      <c r="P356" s="31" t="n"/>
      <c r="Q356" s="31" t="n"/>
      <c r="R356" s="31" t="n"/>
      <c r="S356" s="31" t="n"/>
      <c r="T356" s="31" t="n"/>
      <c r="U356" s="31" t="n"/>
      <c r="V356" s="31" t="n"/>
      <c r="W356" s="31" t="n"/>
      <c r="X356" s="31" t="n"/>
      <c r="Y356" s="31" t="n"/>
    </row>
    <row r="357" ht="14.25" customHeight="1">
      <c r="A357" s="32" t="n"/>
      <c r="P357" s="31" t="n"/>
      <c r="Q357" s="31" t="n"/>
      <c r="R357" s="31" t="n"/>
      <c r="S357" s="31" t="n"/>
      <c r="T357" s="31" t="n"/>
      <c r="U357" s="31" t="n"/>
      <c r="V357" s="31" t="n"/>
      <c r="W357" s="31" t="n"/>
      <c r="X357" s="31" t="n"/>
      <c r="Y357" s="31" t="n"/>
    </row>
    <row r="358" ht="14.25" customHeight="1">
      <c r="A358" s="32" t="n"/>
      <c r="P358" s="31" t="n"/>
      <c r="Q358" s="31" t="n"/>
      <c r="R358" s="31" t="n"/>
      <c r="S358" s="31" t="n"/>
      <c r="T358" s="31" t="n"/>
      <c r="U358" s="31" t="n"/>
      <c r="V358" s="31" t="n"/>
      <c r="W358" s="31" t="n"/>
      <c r="X358" s="31" t="n"/>
      <c r="Y358" s="31" t="n"/>
    </row>
    <row r="359" ht="14.25" customHeight="1">
      <c r="A359" s="32" t="n"/>
      <c r="P359" s="31" t="n"/>
      <c r="Q359" s="31" t="n"/>
      <c r="R359" s="31" t="n"/>
      <c r="S359" s="31" t="n"/>
      <c r="T359" s="31" t="n"/>
      <c r="U359" s="31" t="n"/>
      <c r="V359" s="31" t="n"/>
      <c r="W359" s="31" t="n"/>
      <c r="X359" s="31" t="n"/>
      <c r="Y359" s="31" t="n"/>
    </row>
    <row r="360" ht="14.25" customHeight="1">
      <c r="A360" s="32" t="n"/>
      <c r="P360" s="31" t="n"/>
      <c r="Q360" s="31" t="n"/>
      <c r="R360" s="31" t="n"/>
      <c r="S360" s="31" t="n"/>
      <c r="T360" s="31" t="n"/>
      <c r="U360" s="31" t="n"/>
      <c r="V360" s="31" t="n"/>
      <c r="W360" s="31" t="n"/>
      <c r="X360" s="31" t="n"/>
      <c r="Y360" s="31" t="n"/>
    </row>
    <row r="361" ht="14.25" customHeight="1">
      <c r="A361" s="32" t="n"/>
      <c r="P361" s="31" t="n"/>
      <c r="Q361" s="31" t="n"/>
      <c r="R361" s="31" t="n"/>
      <c r="S361" s="31" t="n"/>
      <c r="T361" s="31" t="n"/>
      <c r="U361" s="31" t="n"/>
      <c r="V361" s="31" t="n"/>
      <c r="W361" s="31" t="n"/>
      <c r="X361" s="31" t="n"/>
      <c r="Y361" s="31" t="n"/>
    </row>
    <row r="362" ht="14.25" customHeight="1">
      <c r="A362" s="32" t="n"/>
      <c r="P362" s="31" t="n"/>
      <c r="Q362" s="31" t="n"/>
      <c r="R362" s="31" t="n"/>
      <c r="S362" s="31" t="n"/>
      <c r="T362" s="31" t="n"/>
      <c r="U362" s="31" t="n"/>
      <c r="V362" s="31" t="n"/>
      <c r="W362" s="31" t="n"/>
      <c r="X362" s="31" t="n"/>
      <c r="Y362" s="31" t="n"/>
    </row>
    <row r="363" ht="14.25" customHeight="1">
      <c r="A363" s="32" t="n"/>
      <c r="P363" s="31" t="n"/>
      <c r="Q363" s="31" t="n"/>
      <c r="R363" s="31" t="n"/>
      <c r="S363" s="31" t="n"/>
      <c r="T363" s="31" t="n"/>
      <c r="U363" s="31" t="n"/>
      <c r="V363" s="31" t="n"/>
      <c r="W363" s="31" t="n"/>
      <c r="X363" s="31" t="n"/>
      <c r="Y363" s="31" t="n"/>
    </row>
    <row r="364" ht="14.25" customHeight="1">
      <c r="A364" s="32" t="n"/>
      <c r="P364" s="31" t="n"/>
      <c r="Q364" s="31" t="n"/>
      <c r="R364" s="31" t="n"/>
      <c r="S364" s="31" t="n"/>
      <c r="T364" s="31" t="n"/>
      <c r="U364" s="31" t="n"/>
      <c r="V364" s="31" t="n"/>
      <c r="W364" s="31" t="n"/>
      <c r="X364" s="31" t="n"/>
      <c r="Y364" s="31" t="n"/>
    </row>
    <row r="365" ht="14.25" customHeight="1">
      <c r="A365" s="32" t="n"/>
      <c r="P365" s="31" t="n"/>
      <c r="Q365" s="31" t="n"/>
      <c r="R365" s="31" t="n"/>
      <c r="S365" s="31" t="n"/>
      <c r="T365" s="31" t="n"/>
      <c r="U365" s="31" t="n"/>
      <c r="V365" s="31" t="n"/>
      <c r="W365" s="31" t="n"/>
      <c r="X365" s="31" t="n"/>
      <c r="Y365" s="31" t="n"/>
    </row>
    <row r="366" ht="14.25" customHeight="1">
      <c r="A366" s="32" t="n"/>
      <c r="P366" s="31" t="n"/>
      <c r="Q366" s="31" t="n"/>
      <c r="R366" s="31" t="n"/>
      <c r="S366" s="31" t="n"/>
      <c r="T366" s="31" t="n"/>
      <c r="U366" s="31" t="n"/>
      <c r="V366" s="31" t="n"/>
      <c r="W366" s="31" t="n"/>
      <c r="X366" s="31" t="n"/>
      <c r="Y366" s="31" t="n"/>
    </row>
    <row r="367" ht="14.25" customHeight="1">
      <c r="A367" s="32" t="n"/>
      <c r="P367" s="31" t="n"/>
      <c r="Q367" s="31" t="n"/>
      <c r="R367" s="31" t="n"/>
      <c r="S367" s="31" t="n"/>
      <c r="T367" s="31" t="n"/>
      <c r="U367" s="31" t="n"/>
      <c r="V367" s="31" t="n"/>
      <c r="W367" s="31" t="n"/>
      <c r="X367" s="31" t="n"/>
      <c r="Y367" s="31" t="n"/>
    </row>
    <row r="368" ht="14.25" customHeight="1">
      <c r="A368" s="32" t="n"/>
      <c r="P368" s="31" t="n"/>
      <c r="Q368" s="31" t="n"/>
      <c r="R368" s="31" t="n"/>
      <c r="S368" s="31" t="n"/>
      <c r="T368" s="31" t="n"/>
      <c r="U368" s="31" t="n"/>
      <c r="V368" s="31" t="n"/>
      <c r="W368" s="31" t="n"/>
      <c r="X368" s="31" t="n"/>
      <c r="Y368" s="31" t="n"/>
    </row>
    <row r="369" ht="14.25" customHeight="1">
      <c r="A369" s="32" t="n"/>
      <c r="P369" s="31" t="n"/>
      <c r="Q369" s="31" t="n"/>
      <c r="R369" s="31" t="n"/>
      <c r="S369" s="31" t="n"/>
      <c r="T369" s="31" t="n"/>
      <c r="U369" s="31" t="n"/>
      <c r="V369" s="31" t="n"/>
      <c r="W369" s="31" t="n"/>
      <c r="X369" s="31" t="n"/>
      <c r="Y369" s="31" t="n"/>
    </row>
    <row r="370" ht="14.25" customHeight="1">
      <c r="A370" s="32" t="n"/>
      <c r="P370" s="31" t="n"/>
      <c r="Q370" s="31" t="n"/>
      <c r="R370" s="31" t="n"/>
      <c r="S370" s="31" t="n"/>
      <c r="T370" s="31" t="n"/>
      <c r="U370" s="31" t="n"/>
      <c r="V370" s="31" t="n"/>
      <c r="W370" s="31" t="n"/>
      <c r="X370" s="31" t="n"/>
      <c r="Y370" s="31" t="n"/>
    </row>
    <row r="371" ht="14.25" customHeight="1">
      <c r="A371" s="32" t="n"/>
      <c r="P371" s="31" t="n"/>
      <c r="Q371" s="31" t="n"/>
      <c r="R371" s="31" t="n"/>
      <c r="S371" s="31" t="n"/>
      <c r="T371" s="31" t="n"/>
      <c r="U371" s="31" t="n"/>
      <c r="V371" s="31" t="n"/>
      <c r="W371" s="31" t="n"/>
      <c r="X371" s="31" t="n"/>
      <c r="Y371" s="31" t="n"/>
    </row>
    <row r="372" ht="14.25" customHeight="1">
      <c r="A372" s="32" t="n"/>
      <c r="P372" s="31" t="n"/>
      <c r="Q372" s="31" t="n"/>
      <c r="R372" s="31" t="n"/>
      <c r="S372" s="31" t="n"/>
      <c r="T372" s="31" t="n"/>
      <c r="U372" s="31" t="n"/>
      <c r="V372" s="31" t="n"/>
      <c r="W372" s="31" t="n"/>
      <c r="X372" s="31" t="n"/>
      <c r="Y372" s="31" t="n"/>
    </row>
    <row r="373" ht="14.25" customHeight="1">
      <c r="A373" s="32" t="n"/>
      <c r="P373" s="31" t="n"/>
      <c r="Q373" s="31" t="n"/>
      <c r="R373" s="31" t="n"/>
      <c r="S373" s="31" t="n"/>
      <c r="T373" s="31" t="n"/>
      <c r="U373" s="31" t="n"/>
      <c r="V373" s="31" t="n"/>
      <c r="W373" s="31" t="n"/>
      <c r="X373" s="31" t="n"/>
      <c r="Y373" s="31" t="n"/>
    </row>
    <row r="374" ht="14.25" customHeight="1">
      <c r="A374" s="32" t="n"/>
      <c r="P374" s="31" t="n"/>
      <c r="Q374" s="31" t="n"/>
      <c r="R374" s="31" t="n"/>
      <c r="S374" s="31" t="n"/>
      <c r="T374" s="31" t="n"/>
      <c r="U374" s="31" t="n"/>
      <c r="V374" s="31" t="n"/>
      <c r="W374" s="31" t="n"/>
      <c r="X374" s="31" t="n"/>
      <c r="Y374" s="31" t="n"/>
    </row>
    <row r="375" ht="14.25" customHeight="1">
      <c r="A375" s="32" t="n"/>
      <c r="P375" s="31" t="n"/>
      <c r="Q375" s="31" t="n"/>
      <c r="R375" s="31" t="n"/>
      <c r="S375" s="31" t="n"/>
      <c r="T375" s="31" t="n"/>
      <c r="U375" s="31" t="n"/>
      <c r="V375" s="31" t="n"/>
      <c r="W375" s="31" t="n"/>
      <c r="X375" s="31" t="n"/>
      <c r="Y375" s="31" t="n"/>
    </row>
    <row r="376" ht="14.25" customHeight="1">
      <c r="A376" s="32" t="n"/>
      <c r="P376" s="31" t="n"/>
      <c r="Q376" s="31" t="n"/>
      <c r="R376" s="31" t="n"/>
      <c r="S376" s="31" t="n"/>
      <c r="T376" s="31" t="n"/>
      <c r="U376" s="31" t="n"/>
      <c r="V376" s="31" t="n"/>
      <c r="W376" s="31" t="n"/>
      <c r="X376" s="31" t="n"/>
      <c r="Y376" s="31" t="n"/>
    </row>
    <row r="377" ht="14.25" customHeight="1">
      <c r="A377" s="32" t="n"/>
      <c r="P377" s="31" t="n"/>
      <c r="Q377" s="31" t="n"/>
      <c r="R377" s="31" t="n"/>
      <c r="S377" s="31" t="n"/>
      <c r="T377" s="31" t="n"/>
      <c r="U377" s="31" t="n"/>
      <c r="V377" s="31" t="n"/>
      <c r="W377" s="31" t="n"/>
      <c r="X377" s="31" t="n"/>
      <c r="Y377" s="31" t="n"/>
    </row>
    <row r="378" ht="14.25" customHeight="1">
      <c r="A378" s="32" t="n"/>
      <c r="P378" s="31" t="n"/>
      <c r="Q378" s="31" t="n"/>
      <c r="R378" s="31" t="n"/>
      <c r="S378" s="31" t="n"/>
      <c r="T378" s="31" t="n"/>
      <c r="U378" s="31" t="n"/>
      <c r="V378" s="31" t="n"/>
      <c r="W378" s="31" t="n"/>
      <c r="X378" s="31" t="n"/>
      <c r="Y378" s="31" t="n"/>
    </row>
    <row r="379" ht="14.25" customHeight="1">
      <c r="A379" s="32" t="n"/>
      <c r="P379" s="31" t="n"/>
      <c r="Q379" s="31" t="n"/>
      <c r="R379" s="31" t="n"/>
      <c r="S379" s="31" t="n"/>
      <c r="T379" s="31" t="n"/>
      <c r="U379" s="31" t="n"/>
      <c r="V379" s="31" t="n"/>
      <c r="W379" s="31" t="n"/>
      <c r="X379" s="31" t="n"/>
      <c r="Y379" s="31" t="n"/>
    </row>
    <row r="380" ht="14.25" customHeight="1">
      <c r="A380" s="32" t="n"/>
      <c r="P380" s="31" t="n"/>
      <c r="Q380" s="31" t="n"/>
      <c r="R380" s="31" t="n"/>
      <c r="S380" s="31" t="n"/>
      <c r="T380" s="31" t="n"/>
      <c r="U380" s="31" t="n"/>
      <c r="V380" s="31" t="n"/>
      <c r="W380" s="31" t="n"/>
      <c r="X380" s="31" t="n"/>
      <c r="Y380" s="31" t="n"/>
    </row>
    <row r="381" ht="14.25" customHeight="1">
      <c r="A381" s="32" t="n"/>
      <c r="P381" s="31" t="n"/>
      <c r="Q381" s="31" t="n"/>
      <c r="R381" s="31" t="n"/>
      <c r="S381" s="31" t="n"/>
      <c r="T381" s="31" t="n"/>
      <c r="U381" s="31" t="n"/>
      <c r="V381" s="31" t="n"/>
      <c r="W381" s="31" t="n"/>
      <c r="X381" s="31" t="n"/>
      <c r="Y381" s="31" t="n"/>
    </row>
    <row r="382" ht="14.25" customHeight="1">
      <c r="A382" s="32" t="n"/>
      <c r="P382" s="31" t="n"/>
      <c r="Q382" s="31" t="n"/>
      <c r="R382" s="31" t="n"/>
      <c r="S382" s="31" t="n"/>
      <c r="T382" s="31" t="n"/>
      <c r="U382" s="31" t="n"/>
      <c r="V382" s="31" t="n"/>
      <c r="W382" s="31" t="n"/>
      <c r="X382" s="31" t="n"/>
      <c r="Y382" s="31" t="n"/>
    </row>
    <row r="383" ht="14.25" customHeight="1">
      <c r="A383" s="32" t="n"/>
      <c r="P383" s="31" t="n"/>
      <c r="Q383" s="31" t="n"/>
      <c r="R383" s="31" t="n"/>
      <c r="S383" s="31" t="n"/>
      <c r="T383" s="31" t="n"/>
      <c r="U383" s="31" t="n"/>
      <c r="V383" s="31" t="n"/>
      <c r="W383" s="31" t="n"/>
      <c r="X383" s="31" t="n"/>
      <c r="Y383" s="31" t="n"/>
    </row>
    <row r="384" ht="14.25" customHeight="1">
      <c r="A384" s="32" t="n"/>
      <c r="P384" s="31" t="n"/>
      <c r="Q384" s="31" t="n"/>
      <c r="R384" s="31" t="n"/>
      <c r="S384" s="31" t="n"/>
      <c r="T384" s="31" t="n"/>
      <c r="U384" s="31" t="n"/>
      <c r="V384" s="31" t="n"/>
      <c r="W384" s="31" t="n"/>
      <c r="X384" s="31" t="n"/>
      <c r="Y384" s="31" t="n"/>
    </row>
    <row r="385" ht="14.25" customHeight="1">
      <c r="A385" s="32" t="n"/>
      <c r="P385" s="31" t="n"/>
      <c r="Q385" s="31" t="n"/>
      <c r="R385" s="31" t="n"/>
      <c r="S385" s="31" t="n"/>
      <c r="T385" s="31" t="n"/>
      <c r="U385" s="31" t="n"/>
      <c r="V385" s="31" t="n"/>
      <c r="W385" s="31" t="n"/>
      <c r="X385" s="31" t="n"/>
      <c r="Y385" s="31" t="n"/>
    </row>
    <row r="386" ht="14.25" customHeight="1">
      <c r="A386" s="32" t="n"/>
      <c r="P386" s="31" t="n"/>
      <c r="Q386" s="31" t="n"/>
      <c r="R386" s="31" t="n"/>
      <c r="S386" s="31" t="n"/>
      <c r="T386" s="31" t="n"/>
      <c r="U386" s="31" t="n"/>
      <c r="V386" s="31" t="n"/>
      <c r="W386" s="31" t="n"/>
      <c r="X386" s="31" t="n"/>
      <c r="Y386" s="31" t="n"/>
    </row>
    <row r="387" ht="14.25" customHeight="1">
      <c r="A387" s="32" t="n"/>
      <c r="P387" s="31" t="n"/>
      <c r="Q387" s="31" t="n"/>
      <c r="R387" s="31" t="n"/>
      <c r="S387" s="31" t="n"/>
      <c r="T387" s="31" t="n"/>
      <c r="U387" s="31" t="n"/>
      <c r="V387" s="31" t="n"/>
      <c r="W387" s="31" t="n"/>
      <c r="X387" s="31" t="n"/>
      <c r="Y387" s="31" t="n"/>
    </row>
    <row r="388" ht="14.25" customHeight="1">
      <c r="A388" s="32" t="n"/>
      <c r="P388" s="31" t="n"/>
      <c r="Q388" s="31" t="n"/>
      <c r="R388" s="31" t="n"/>
      <c r="S388" s="31" t="n"/>
      <c r="T388" s="31" t="n"/>
      <c r="U388" s="31" t="n"/>
      <c r="V388" s="31" t="n"/>
      <c r="W388" s="31" t="n"/>
      <c r="X388" s="31" t="n"/>
      <c r="Y388" s="31" t="n"/>
    </row>
    <row r="389" ht="14.25" customHeight="1">
      <c r="A389" s="32" t="n"/>
      <c r="P389" s="31" t="n"/>
      <c r="Q389" s="31" t="n"/>
      <c r="R389" s="31" t="n"/>
      <c r="S389" s="31" t="n"/>
      <c r="T389" s="31" t="n"/>
      <c r="U389" s="31" t="n"/>
      <c r="V389" s="31" t="n"/>
      <c r="W389" s="31" t="n"/>
      <c r="X389" s="31" t="n"/>
      <c r="Y389" s="31" t="n"/>
    </row>
    <row r="390" ht="14.25" customHeight="1">
      <c r="A390" s="32" t="n"/>
      <c r="P390" s="31" t="n"/>
      <c r="Q390" s="31" t="n"/>
      <c r="R390" s="31" t="n"/>
      <c r="S390" s="31" t="n"/>
      <c r="T390" s="31" t="n"/>
      <c r="U390" s="31" t="n"/>
      <c r="V390" s="31" t="n"/>
      <c r="W390" s="31" t="n"/>
      <c r="X390" s="31" t="n"/>
      <c r="Y390" s="31" t="n"/>
    </row>
    <row r="391" ht="14.25" customHeight="1">
      <c r="A391" s="32" t="n"/>
      <c r="P391" s="31" t="n"/>
      <c r="Q391" s="31" t="n"/>
      <c r="R391" s="31" t="n"/>
      <c r="S391" s="31" t="n"/>
      <c r="T391" s="31" t="n"/>
      <c r="U391" s="31" t="n"/>
      <c r="V391" s="31" t="n"/>
      <c r="W391" s="31" t="n"/>
      <c r="X391" s="31" t="n"/>
      <c r="Y391" s="31" t="n"/>
    </row>
    <row r="392" ht="14.25" customHeight="1">
      <c r="A392" s="32" t="n"/>
      <c r="P392" s="31" t="n"/>
      <c r="Q392" s="31" t="n"/>
      <c r="R392" s="31" t="n"/>
      <c r="S392" s="31" t="n"/>
      <c r="T392" s="31" t="n"/>
      <c r="U392" s="31" t="n"/>
      <c r="V392" s="31" t="n"/>
      <c r="W392" s="31" t="n"/>
      <c r="X392" s="31" t="n"/>
      <c r="Y392" s="31" t="n"/>
    </row>
    <row r="393" ht="14.25" customHeight="1">
      <c r="A393" s="32" t="n"/>
      <c r="P393" s="31" t="n"/>
      <c r="Q393" s="31" t="n"/>
      <c r="R393" s="31" t="n"/>
      <c r="S393" s="31" t="n"/>
      <c r="T393" s="31" t="n"/>
      <c r="U393" s="31" t="n"/>
      <c r="V393" s="31" t="n"/>
      <c r="W393" s="31" t="n"/>
      <c r="X393" s="31" t="n"/>
      <c r="Y393" s="31" t="n"/>
    </row>
    <row r="394" ht="14.25" customHeight="1">
      <c r="A394" s="32" t="n"/>
      <c r="P394" s="31" t="n"/>
      <c r="Q394" s="31" t="n"/>
      <c r="R394" s="31" t="n"/>
      <c r="S394" s="31" t="n"/>
      <c r="T394" s="31" t="n"/>
      <c r="U394" s="31" t="n"/>
      <c r="V394" s="31" t="n"/>
      <c r="W394" s="31" t="n"/>
      <c r="X394" s="31" t="n"/>
      <c r="Y394" s="31" t="n"/>
    </row>
    <row r="395" ht="14.25" customHeight="1">
      <c r="A395" s="32" t="n"/>
      <c r="P395" s="31" t="n"/>
      <c r="Q395" s="31" t="n"/>
      <c r="R395" s="31" t="n"/>
      <c r="S395" s="31" t="n"/>
      <c r="T395" s="31" t="n"/>
      <c r="U395" s="31" t="n"/>
      <c r="V395" s="31" t="n"/>
      <c r="W395" s="31" t="n"/>
      <c r="X395" s="31" t="n"/>
      <c r="Y395" s="31" t="n"/>
    </row>
    <row r="396" ht="14.25" customHeight="1">
      <c r="A396" s="32" t="n"/>
      <c r="P396" s="31" t="n"/>
      <c r="Q396" s="31" t="n"/>
      <c r="R396" s="31" t="n"/>
      <c r="S396" s="31" t="n"/>
      <c r="T396" s="31" t="n"/>
      <c r="U396" s="31" t="n"/>
      <c r="V396" s="31" t="n"/>
      <c r="W396" s="31" t="n"/>
      <c r="X396" s="31" t="n"/>
      <c r="Y396" s="31" t="n"/>
    </row>
    <row r="397" ht="14.25" customHeight="1">
      <c r="A397" s="32" t="n"/>
      <c r="P397" s="31" t="n"/>
      <c r="Q397" s="31" t="n"/>
      <c r="R397" s="31" t="n"/>
      <c r="S397" s="31" t="n"/>
      <c r="T397" s="31" t="n"/>
      <c r="U397" s="31" t="n"/>
      <c r="V397" s="31" t="n"/>
      <c r="W397" s="31" t="n"/>
      <c r="X397" s="31" t="n"/>
      <c r="Y397" s="31" t="n"/>
    </row>
    <row r="398" ht="14.25" customHeight="1">
      <c r="A398" s="32" t="n"/>
      <c r="P398" s="31" t="n"/>
      <c r="Q398" s="31" t="n"/>
      <c r="R398" s="31" t="n"/>
      <c r="S398" s="31" t="n"/>
      <c r="T398" s="31" t="n"/>
      <c r="U398" s="31" t="n"/>
      <c r="V398" s="31" t="n"/>
      <c r="W398" s="31" t="n"/>
      <c r="X398" s="31" t="n"/>
      <c r="Y398" s="31" t="n"/>
    </row>
    <row r="399" ht="14.25" customHeight="1">
      <c r="A399" s="32" t="n"/>
      <c r="P399" s="31" t="n"/>
      <c r="Q399" s="31" t="n"/>
      <c r="R399" s="31" t="n"/>
      <c r="S399" s="31" t="n"/>
      <c r="T399" s="31" t="n"/>
      <c r="U399" s="31" t="n"/>
      <c r="V399" s="31" t="n"/>
      <c r="W399" s="31" t="n"/>
      <c r="X399" s="31" t="n"/>
      <c r="Y399" s="31" t="n"/>
    </row>
    <row r="400" ht="14.25" customHeight="1">
      <c r="A400" s="32" t="n"/>
      <c r="P400" s="31" t="n"/>
      <c r="Q400" s="31" t="n"/>
      <c r="R400" s="31" t="n"/>
      <c r="S400" s="31" t="n"/>
      <c r="T400" s="31" t="n"/>
      <c r="U400" s="31" t="n"/>
      <c r="V400" s="31" t="n"/>
      <c r="W400" s="31" t="n"/>
      <c r="X400" s="31" t="n"/>
      <c r="Y400" s="31" t="n"/>
    </row>
    <row r="401" ht="14.25" customHeight="1">
      <c r="A401" s="32" t="n"/>
      <c r="P401" s="31" t="n"/>
      <c r="Q401" s="31" t="n"/>
      <c r="R401" s="31" t="n"/>
      <c r="S401" s="31" t="n"/>
      <c r="T401" s="31" t="n"/>
      <c r="U401" s="31" t="n"/>
      <c r="V401" s="31" t="n"/>
      <c r="W401" s="31" t="n"/>
      <c r="X401" s="31" t="n"/>
      <c r="Y401" s="31" t="n"/>
    </row>
    <row r="402" ht="14.25" customHeight="1">
      <c r="A402" s="32" t="n"/>
      <c r="P402" s="31" t="n"/>
      <c r="Q402" s="31" t="n"/>
      <c r="R402" s="31" t="n"/>
      <c r="S402" s="31" t="n"/>
      <c r="T402" s="31" t="n"/>
      <c r="U402" s="31" t="n"/>
      <c r="V402" s="31" t="n"/>
      <c r="W402" s="31" t="n"/>
      <c r="X402" s="31" t="n"/>
      <c r="Y402" s="31" t="n"/>
    </row>
    <row r="403" ht="14.25" customHeight="1">
      <c r="A403" s="32" t="n"/>
      <c r="P403" s="31" t="n"/>
      <c r="Q403" s="31" t="n"/>
      <c r="R403" s="31" t="n"/>
      <c r="S403" s="31" t="n"/>
      <c r="T403" s="31" t="n"/>
      <c r="U403" s="31" t="n"/>
      <c r="V403" s="31" t="n"/>
      <c r="W403" s="31" t="n"/>
      <c r="X403" s="31" t="n"/>
      <c r="Y403" s="31" t="n"/>
    </row>
    <row r="404" ht="14.25" customHeight="1">
      <c r="A404" s="32" t="n"/>
      <c r="P404" s="31" t="n"/>
      <c r="Q404" s="31" t="n"/>
      <c r="R404" s="31" t="n"/>
      <c r="S404" s="31" t="n"/>
      <c r="T404" s="31" t="n"/>
      <c r="U404" s="31" t="n"/>
      <c r="V404" s="31" t="n"/>
      <c r="W404" s="31" t="n"/>
      <c r="X404" s="31" t="n"/>
      <c r="Y404" s="31" t="n"/>
    </row>
    <row r="405" ht="14.25" customHeight="1">
      <c r="A405" s="32" t="n"/>
      <c r="P405" s="31" t="n"/>
      <c r="Q405" s="31" t="n"/>
      <c r="R405" s="31" t="n"/>
      <c r="S405" s="31" t="n"/>
      <c r="T405" s="31" t="n"/>
      <c r="U405" s="31" t="n"/>
      <c r="V405" s="31" t="n"/>
      <c r="W405" s="31" t="n"/>
      <c r="X405" s="31" t="n"/>
      <c r="Y405" s="31" t="n"/>
    </row>
    <row r="406" ht="14.25" customHeight="1">
      <c r="A406" s="32" t="n"/>
      <c r="P406" s="31" t="n"/>
      <c r="Q406" s="31" t="n"/>
      <c r="R406" s="31" t="n"/>
      <c r="S406" s="31" t="n"/>
      <c r="T406" s="31" t="n"/>
      <c r="U406" s="31" t="n"/>
      <c r="V406" s="31" t="n"/>
      <c r="W406" s="31" t="n"/>
      <c r="X406" s="31" t="n"/>
      <c r="Y406" s="31" t="n"/>
    </row>
    <row r="407" ht="14.25" customHeight="1">
      <c r="A407" s="32" t="n"/>
      <c r="P407" s="31" t="n"/>
      <c r="Q407" s="31" t="n"/>
      <c r="R407" s="31" t="n"/>
      <c r="S407" s="31" t="n"/>
      <c r="T407" s="31" t="n"/>
      <c r="U407" s="31" t="n"/>
      <c r="V407" s="31" t="n"/>
      <c r="W407" s="31" t="n"/>
      <c r="X407" s="31" t="n"/>
      <c r="Y407" s="31" t="n"/>
    </row>
    <row r="408" ht="14.25" customHeight="1">
      <c r="A408" s="32" t="n"/>
      <c r="P408" s="31" t="n"/>
      <c r="Q408" s="31" t="n"/>
      <c r="R408" s="31" t="n"/>
      <c r="S408" s="31" t="n"/>
      <c r="T408" s="31" t="n"/>
      <c r="U408" s="31" t="n"/>
      <c r="V408" s="31" t="n"/>
      <c r="W408" s="31" t="n"/>
      <c r="X408" s="31" t="n"/>
      <c r="Y408" s="31" t="n"/>
    </row>
    <row r="409" ht="14.25" customHeight="1">
      <c r="A409" s="32" t="n"/>
      <c r="P409" s="31" t="n"/>
      <c r="Q409" s="31" t="n"/>
      <c r="R409" s="31" t="n"/>
      <c r="S409" s="31" t="n"/>
      <c r="T409" s="31" t="n"/>
      <c r="U409" s="31" t="n"/>
      <c r="V409" s="31" t="n"/>
      <c r="W409" s="31" t="n"/>
      <c r="X409" s="31" t="n"/>
      <c r="Y409" s="31" t="n"/>
    </row>
    <row r="410" ht="14.25" customHeight="1">
      <c r="A410" s="32" t="n"/>
      <c r="P410" s="31" t="n"/>
      <c r="Q410" s="31" t="n"/>
      <c r="R410" s="31" t="n"/>
      <c r="S410" s="31" t="n"/>
      <c r="T410" s="31" t="n"/>
      <c r="U410" s="31" t="n"/>
      <c r="V410" s="31" t="n"/>
      <c r="W410" s="31" t="n"/>
      <c r="X410" s="31" t="n"/>
      <c r="Y410" s="31" t="n"/>
    </row>
    <row r="411" ht="14.25" customHeight="1">
      <c r="A411" s="32" t="n"/>
      <c r="P411" s="31" t="n"/>
      <c r="Q411" s="31" t="n"/>
      <c r="R411" s="31" t="n"/>
      <c r="S411" s="31" t="n"/>
      <c r="T411" s="31" t="n"/>
      <c r="U411" s="31" t="n"/>
      <c r="V411" s="31" t="n"/>
      <c r="W411" s="31" t="n"/>
      <c r="X411" s="31" t="n"/>
      <c r="Y411" s="31" t="n"/>
    </row>
    <row r="412" ht="14.25" customHeight="1">
      <c r="A412" s="32" t="n"/>
      <c r="P412" s="31" t="n"/>
      <c r="Q412" s="31" t="n"/>
      <c r="R412" s="31" t="n"/>
      <c r="S412" s="31" t="n"/>
      <c r="T412" s="31" t="n"/>
      <c r="U412" s="31" t="n"/>
      <c r="V412" s="31" t="n"/>
      <c r="W412" s="31" t="n"/>
      <c r="X412" s="31" t="n"/>
      <c r="Y412" s="31" t="n"/>
    </row>
    <row r="413" ht="14.25" customHeight="1">
      <c r="A413" s="32" t="n"/>
      <c r="P413" s="31" t="n"/>
      <c r="Q413" s="31" t="n"/>
      <c r="R413" s="31" t="n"/>
      <c r="S413" s="31" t="n"/>
      <c r="T413" s="31" t="n"/>
      <c r="U413" s="31" t="n"/>
      <c r="V413" s="31" t="n"/>
      <c r="W413" s="31" t="n"/>
      <c r="X413" s="31" t="n"/>
      <c r="Y413" s="31" t="n"/>
    </row>
    <row r="414" ht="14.25" customHeight="1">
      <c r="A414" s="32" t="n"/>
      <c r="P414" s="31" t="n"/>
      <c r="Q414" s="31" t="n"/>
      <c r="R414" s="31" t="n"/>
      <c r="S414" s="31" t="n"/>
      <c r="T414" s="31" t="n"/>
      <c r="U414" s="31" t="n"/>
      <c r="V414" s="31" t="n"/>
      <c r="W414" s="31" t="n"/>
      <c r="X414" s="31" t="n"/>
      <c r="Y414" s="31" t="n"/>
    </row>
    <row r="415" ht="14.25" customHeight="1">
      <c r="A415" s="32" t="n"/>
      <c r="P415" s="31" t="n"/>
      <c r="Q415" s="31" t="n"/>
      <c r="R415" s="31" t="n"/>
      <c r="S415" s="31" t="n"/>
      <c r="T415" s="31" t="n"/>
      <c r="U415" s="31" t="n"/>
      <c r="V415" s="31" t="n"/>
      <c r="W415" s="31" t="n"/>
      <c r="X415" s="31" t="n"/>
      <c r="Y415" s="31" t="n"/>
    </row>
    <row r="416" ht="14.25" customHeight="1">
      <c r="A416" s="32" t="n"/>
      <c r="P416" s="31" t="n"/>
      <c r="Q416" s="31" t="n"/>
      <c r="R416" s="31" t="n"/>
      <c r="S416" s="31" t="n"/>
      <c r="T416" s="31" t="n"/>
      <c r="U416" s="31" t="n"/>
      <c r="V416" s="31" t="n"/>
      <c r="W416" s="31" t="n"/>
      <c r="X416" s="31" t="n"/>
      <c r="Y416" s="31" t="n"/>
    </row>
    <row r="417" ht="14.25" customHeight="1">
      <c r="A417" s="32" t="n"/>
      <c r="P417" s="31" t="n"/>
      <c r="Q417" s="31" t="n"/>
      <c r="R417" s="31" t="n"/>
      <c r="S417" s="31" t="n"/>
      <c r="T417" s="31" t="n"/>
      <c r="U417" s="31" t="n"/>
      <c r="V417" s="31" t="n"/>
      <c r="W417" s="31" t="n"/>
      <c r="X417" s="31" t="n"/>
      <c r="Y417" s="31" t="n"/>
    </row>
    <row r="418" ht="14.25" customHeight="1">
      <c r="A418" s="32" t="n"/>
      <c r="P418" s="31" t="n"/>
      <c r="Q418" s="31" t="n"/>
      <c r="R418" s="31" t="n"/>
      <c r="S418" s="31" t="n"/>
      <c r="T418" s="31" t="n"/>
      <c r="U418" s="31" t="n"/>
      <c r="V418" s="31" t="n"/>
      <c r="W418" s="31" t="n"/>
      <c r="X418" s="31" t="n"/>
      <c r="Y418" s="31" t="n"/>
    </row>
    <row r="419" ht="14.25" customHeight="1">
      <c r="A419" s="32" t="n"/>
      <c r="P419" s="31" t="n"/>
      <c r="Q419" s="31" t="n"/>
      <c r="R419" s="31" t="n"/>
      <c r="S419" s="31" t="n"/>
      <c r="T419" s="31" t="n"/>
      <c r="U419" s="31" t="n"/>
      <c r="V419" s="31" t="n"/>
      <c r="W419" s="31" t="n"/>
      <c r="X419" s="31" t="n"/>
      <c r="Y419" s="31" t="n"/>
    </row>
    <row r="420" ht="14.25" customHeight="1">
      <c r="A420" s="32" t="n"/>
      <c r="P420" s="31" t="n"/>
      <c r="Q420" s="31" t="n"/>
      <c r="R420" s="31" t="n"/>
      <c r="S420" s="31" t="n"/>
      <c r="T420" s="31" t="n"/>
      <c r="U420" s="31" t="n"/>
      <c r="V420" s="31" t="n"/>
      <c r="W420" s="31" t="n"/>
      <c r="X420" s="31" t="n"/>
      <c r="Y420" s="31" t="n"/>
    </row>
    <row r="421" ht="14.25" customHeight="1">
      <c r="A421" s="32" t="n"/>
      <c r="P421" s="31" t="n"/>
      <c r="Q421" s="31" t="n"/>
      <c r="R421" s="31" t="n"/>
      <c r="S421" s="31" t="n"/>
      <c r="T421" s="31" t="n"/>
      <c r="U421" s="31" t="n"/>
      <c r="V421" s="31" t="n"/>
      <c r="W421" s="31" t="n"/>
      <c r="X421" s="31" t="n"/>
      <c r="Y421" s="31" t="n"/>
    </row>
    <row r="422" ht="14.25" customHeight="1">
      <c r="A422" s="32" t="n"/>
      <c r="P422" s="31" t="n"/>
      <c r="Q422" s="31" t="n"/>
      <c r="R422" s="31" t="n"/>
      <c r="S422" s="31" t="n"/>
      <c r="T422" s="31" t="n"/>
      <c r="U422" s="31" t="n"/>
      <c r="V422" s="31" t="n"/>
      <c r="W422" s="31" t="n"/>
      <c r="X422" s="31" t="n"/>
      <c r="Y422" s="31" t="n"/>
    </row>
    <row r="423" ht="14.25" customHeight="1">
      <c r="A423" s="32" t="n"/>
      <c r="P423" s="31" t="n"/>
      <c r="Q423" s="31" t="n"/>
      <c r="R423" s="31" t="n"/>
      <c r="S423" s="31" t="n"/>
      <c r="T423" s="31" t="n"/>
      <c r="U423" s="31" t="n"/>
      <c r="V423" s="31" t="n"/>
      <c r="W423" s="31" t="n"/>
      <c r="X423" s="31" t="n"/>
      <c r="Y423" s="31" t="n"/>
    </row>
    <row r="424" ht="14.25" customHeight="1">
      <c r="A424" s="32" t="n"/>
      <c r="P424" s="31" t="n"/>
      <c r="Q424" s="31" t="n"/>
      <c r="R424" s="31" t="n"/>
      <c r="S424" s="31" t="n"/>
      <c r="T424" s="31" t="n"/>
      <c r="U424" s="31" t="n"/>
      <c r="V424" s="31" t="n"/>
      <c r="W424" s="31" t="n"/>
      <c r="X424" s="31" t="n"/>
      <c r="Y424" s="31" t="n"/>
    </row>
    <row r="425" ht="14.25" customHeight="1">
      <c r="A425" s="32" t="n"/>
      <c r="P425" s="31" t="n"/>
      <c r="Q425" s="31" t="n"/>
      <c r="R425" s="31" t="n"/>
      <c r="S425" s="31" t="n"/>
      <c r="T425" s="31" t="n"/>
      <c r="U425" s="31" t="n"/>
      <c r="V425" s="31" t="n"/>
      <c r="W425" s="31" t="n"/>
      <c r="X425" s="31" t="n"/>
      <c r="Y425" s="31" t="n"/>
    </row>
    <row r="426" ht="14.25" customHeight="1">
      <c r="A426" s="32" t="n"/>
      <c r="P426" s="31" t="n"/>
      <c r="Q426" s="31" t="n"/>
      <c r="R426" s="31" t="n"/>
      <c r="S426" s="31" t="n"/>
      <c r="T426" s="31" t="n"/>
      <c r="U426" s="31" t="n"/>
      <c r="V426" s="31" t="n"/>
      <c r="W426" s="31" t="n"/>
      <c r="X426" s="31" t="n"/>
      <c r="Y426" s="31" t="n"/>
    </row>
    <row r="427" ht="14.25" customHeight="1">
      <c r="A427" s="32" t="n"/>
      <c r="P427" s="31" t="n"/>
      <c r="Q427" s="31" t="n"/>
      <c r="R427" s="31" t="n"/>
      <c r="S427" s="31" t="n"/>
      <c r="T427" s="31" t="n"/>
      <c r="U427" s="31" t="n"/>
      <c r="V427" s="31" t="n"/>
      <c r="W427" s="31" t="n"/>
      <c r="X427" s="31" t="n"/>
      <c r="Y427" s="31" t="n"/>
    </row>
    <row r="428" ht="14.25" customHeight="1">
      <c r="A428" s="32" t="n"/>
      <c r="P428" s="31" t="n"/>
      <c r="Q428" s="31" t="n"/>
      <c r="R428" s="31" t="n"/>
      <c r="S428" s="31" t="n"/>
      <c r="T428" s="31" t="n"/>
      <c r="U428" s="31" t="n"/>
      <c r="V428" s="31" t="n"/>
      <c r="W428" s="31" t="n"/>
      <c r="X428" s="31" t="n"/>
      <c r="Y428" s="31" t="n"/>
    </row>
    <row r="429" ht="14.25" customHeight="1">
      <c r="A429" s="32" t="n"/>
      <c r="P429" s="31" t="n"/>
      <c r="Q429" s="31" t="n"/>
      <c r="R429" s="31" t="n"/>
      <c r="S429" s="31" t="n"/>
      <c r="T429" s="31" t="n"/>
      <c r="U429" s="31" t="n"/>
      <c r="V429" s="31" t="n"/>
      <c r="W429" s="31" t="n"/>
      <c r="X429" s="31" t="n"/>
      <c r="Y429" s="31" t="n"/>
    </row>
    <row r="430" ht="14.25" customHeight="1">
      <c r="A430" s="32" t="n"/>
      <c r="P430" s="31" t="n"/>
      <c r="Q430" s="31" t="n"/>
      <c r="R430" s="31" t="n"/>
      <c r="S430" s="31" t="n"/>
      <c r="T430" s="31" t="n"/>
      <c r="U430" s="31" t="n"/>
      <c r="V430" s="31" t="n"/>
      <c r="W430" s="31" t="n"/>
      <c r="X430" s="31" t="n"/>
      <c r="Y430" s="31" t="n"/>
    </row>
    <row r="431" ht="14.25" customHeight="1">
      <c r="A431" s="32" t="n"/>
      <c r="P431" s="31" t="n"/>
      <c r="Q431" s="31" t="n"/>
      <c r="R431" s="31" t="n"/>
      <c r="S431" s="31" t="n"/>
      <c r="T431" s="31" t="n"/>
      <c r="U431" s="31" t="n"/>
      <c r="V431" s="31" t="n"/>
      <c r="W431" s="31" t="n"/>
      <c r="X431" s="31" t="n"/>
      <c r="Y431" s="31" t="n"/>
    </row>
    <row r="432" ht="14.25" customHeight="1">
      <c r="A432" s="32" t="n"/>
      <c r="P432" s="31" t="n"/>
      <c r="Q432" s="31" t="n"/>
      <c r="R432" s="31" t="n"/>
      <c r="S432" s="31" t="n"/>
      <c r="T432" s="31" t="n"/>
      <c r="U432" s="31" t="n"/>
      <c r="V432" s="31" t="n"/>
      <c r="W432" s="31" t="n"/>
      <c r="X432" s="31" t="n"/>
      <c r="Y432" s="31" t="n"/>
    </row>
    <row r="433" ht="14.25" customHeight="1">
      <c r="A433" s="32" t="n"/>
      <c r="P433" s="31" t="n"/>
      <c r="Q433" s="31" t="n"/>
      <c r="R433" s="31" t="n"/>
      <c r="S433" s="31" t="n"/>
      <c r="T433" s="31" t="n"/>
      <c r="U433" s="31" t="n"/>
      <c r="V433" s="31" t="n"/>
      <c r="W433" s="31" t="n"/>
      <c r="X433" s="31" t="n"/>
      <c r="Y433" s="31" t="n"/>
    </row>
    <row r="434" ht="14.25" customHeight="1">
      <c r="A434" s="32" t="n"/>
      <c r="P434" s="31" t="n"/>
      <c r="Q434" s="31" t="n"/>
      <c r="R434" s="31" t="n"/>
      <c r="S434" s="31" t="n"/>
      <c r="T434" s="31" t="n"/>
      <c r="U434" s="31" t="n"/>
      <c r="V434" s="31" t="n"/>
      <c r="W434" s="31" t="n"/>
      <c r="X434" s="31" t="n"/>
      <c r="Y434" s="31" t="n"/>
    </row>
    <row r="435" ht="14.25" customHeight="1">
      <c r="A435" s="32" t="n"/>
      <c r="P435" s="31" t="n"/>
      <c r="Q435" s="31" t="n"/>
      <c r="R435" s="31" t="n"/>
      <c r="S435" s="31" t="n"/>
      <c r="T435" s="31" t="n"/>
      <c r="U435" s="31" t="n"/>
      <c r="V435" s="31" t="n"/>
      <c r="W435" s="31" t="n"/>
      <c r="X435" s="31" t="n"/>
      <c r="Y435" s="31" t="n"/>
    </row>
    <row r="436" ht="14.25" customHeight="1">
      <c r="A436" s="32" t="n"/>
      <c r="P436" s="31" t="n"/>
      <c r="Q436" s="31" t="n"/>
      <c r="R436" s="31" t="n"/>
      <c r="S436" s="31" t="n"/>
      <c r="T436" s="31" t="n"/>
      <c r="U436" s="31" t="n"/>
      <c r="V436" s="31" t="n"/>
      <c r="W436" s="31" t="n"/>
      <c r="X436" s="31" t="n"/>
      <c r="Y436" s="31" t="n"/>
    </row>
    <row r="437" ht="14.25" customHeight="1">
      <c r="A437" s="32" t="n"/>
      <c r="P437" s="31" t="n"/>
      <c r="Q437" s="31" t="n"/>
      <c r="R437" s="31" t="n"/>
      <c r="S437" s="31" t="n"/>
      <c r="T437" s="31" t="n"/>
      <c r="U437" s="31" t="n"/>
      <c r="V437" s="31" t="n"/>
      <c r="W437" s="31" t="n"/>
      <c r="X437" s="31" t="n"/>
      <c r="Y437" s="31" t="n"/>
    </row>
    <row r="438" ht="14.25" customHeight="1">
      <c r="A438" s="32" t="n"/>
      <c r="P438" s="31" t="n"/>
      <c r="Q438" s="31" t="n"/>
      <c r="R438" s="31" t="n"/>
      <c r="S438" s="31" t="n"/>
      <c r="T438" s="31" t="n"/>
      <c r="U438" s="31" t="n"/>
      <c r="V438" s="31" t="n"/>
      <c r="W438" s="31" t="n"/>
      <c r="X438" s="31" t="n"/>
      <c r="Y438" s="31" t="n"/>
    </row>
    <row r="439" ht="14.25" customHeight="1">
      <c r="A439" s="32" t="n"/>
      <c r="P439" s="31" t="n"/>
      <c r="Q439" s="31" t="n"/>
      <c r="R439" s="31" t="n"/>
      <c r="S439" s="31" t="n"/>
      <c r="T439" s="31" t="n"/>
      <c r="U439" s="31" t="n"/>
      <c r="V439" s="31" t="n"/>
      <c r="W439" s="31" t="n"/>
      <c r="X439" s="31" t="n"/>
      <c r="Y439" s="31" t="n"/>
    </row>
    <row r="440" ht="14.25" customHeight="1">
      <c r="A440" s="32" t="n"/>
      <c r="P440" s="31" t="n"/>
      <c r="Q440" s="31" t="n"/>
      <c r="R440" s="31" t="n"/>
      <c r="S440" s="31" t="n"/>
      <c r="T440" s="31" t="n"/>
      <c r="U440" s="31" t="n"/>
      <c r="V440" s="31" t="n"/>
      <c r="W440" s="31" t="n"/>
      <c r="X440" s="31" t="n"/>
      <c r="Y440" s="31" t="n"/>
    </row>
    <row r="441" ht="14.25" customHeight="1">
      <c r="A441" s="32" t="n"/>
      <c r="P441" s="31" t="n"/>
      <c r="Q441" s="31" t="n"/>
      <c r="R441" s="31" t="n"/>
      <c r="S441" s="31" t="n"/>
      <c r="T441" s="31" t="n"/>
      <c r="U441" s="31" t="n"/>
      <c r="V441" s="31" t="n"/>
      <c r="W441" s="31" t="n"/>
      <c r="X441" s="31" t="n"/>
      <c r="Y441" s="31" t="n"/>
    </row>
    <row r="442" ht="14.25" customHeight="1">
      <c r="A442" s="32" t="n"/>
      <c r="P442" s="31" t="n"/>
      <c r="Q442" s="31" t="n"/>
      <c r="R442" s="31" t="n"/>
      <c r="S442" s="31" t="n"/>
      <c r="T442" s="31" t="n"/>
      <c r="U442" s="31" t="n"/>
      <c r="V442" s="31" t="n"/>
      <c r="W442" s="31" t="n"/>
      <c r="X442" s="31" t="n"/>
      <c r="Y442" s="31" t="n"/>
    </row>
    <row r="443" ht="14.25" customHeight="1">
      <c r="A443" s="32" t="n"/>
      <c r="P443" s="31" t="n"/>
      <c r="Q443" s="31" t="n"/>
      <c r="R443" s="31" t="n"/>
      <c r="S443" s="31" t="n"/>
      <c r="T443" s="31" t="n"/>
      <c r="U443" s="31" t="n"/>
      <c r="V443" s="31" t="n"/>
      <c r="W443" s="31" t="n"/>
      <c r="X443" s="31" t="n"/>
      <c r="Y443" s="31" t="n"/>
    </row>
    <row r="444" ht="14.25" customHeight="1">
      <c r="A444" s="32" t="n"/>
      <c r="P444" s="31" t="n"/>
      <c r="Q444" s="31" t="n"/>
      <c r="R444" s="31" t="n"/>
      <c r="S444" s="31" t="n"/>
      <c r="T444" s="31" t="n"/>
      <c r="U444" s="31" t="n"/>
      <c r="V444" s="31" t="n"/>
      <c r="W444" s="31" t="n"/>
      <c r="X444" s="31" t="n"/>
      <c r="Y444" s="31" t="n"/>
    </row>
    <row r="445" ht="14.25" customHeight="1">
      <c r="A445" s="32" t="n"/>
      <c r="P445" s="31" t="n"/>
      <c r="Q445" s="31" t="n"/>
      <c r="R445" s="31" t="n"/>
      <c r="S445" s="31" t="n"/>
      <c r="T445" s="31" t="n"/>
      <c r="U445" s="31" t="n"/>
      <c r="V445" s="31" t="n"/>
      <c r="W445" s="31" t="n"/>
      <c r="X445" s="31" t="n"/>
      <c r="Y445" s="31" t="n"/>
    </row>
    <row r="446" ht="14.25" customHeight="1">
      <c r="A446" s="32" t="n"/>
      <c r="P446" s="31" t="n"/>
      <c r="Q446" s="31" t="n"/>
      <c r="R446" s="31" t="n"/>
      <c r="S446" s="31" t="n"/>
      <c r="T446" s="31" t="n"/>
      <c r="U446" s="31" t="n"/>
      <c r="V446" s="31" t="n"/>
      <c r="W446" s="31" t="n"/>
      <c r="X446" s="31" t="n"/>
      <c r="Y446" s="31" t="n"/>
    </row>
    <row r="447" ht="14.25" customHeight="1">
      <c r="A447" s="32" t="n"/>
      <c r="P447" s="31" t="n"/>
      <c r="Q447" s="31" t="n"/>
      <c r="R447" s="31" t="n"/>
      <c r="S447" s="31" t="n"/>
      <c r="T447" s="31" t="n"/>
      <c r="U447" s="31" t="n"/>
      <c r="V447" s="31" t="n"/>
      <c r="W447" s="31" t="n"/>
      <c r="X447" s="31" t="n"/>
      <c r="Y447" s="31" t="n"/>
    </row>
    <row r="448" ht="14.25" customHeight="1">
      <c r="A448" s="32" t="n"/>
      <c r="P448" s="31" t="n"/>
      <c r="Q448" s="31" t="n"/>
      <c r="R448" s="31" t="n"/>
      <c r="S448" s="31" t="n"/>
      <c r="T448" s="31" t="n"/>
      <c r="U448" s="31" t="n"/>
      <c r="V448" s="31" t="n"/>
      <c r="W448" s="31" t="n"/>
      <c r="X448" s="31" t="n"/>
      <c r="Y448" s="31" t="n"/>
    </row>
    <row r="449" ht="14.25" customHeight="1">
      <c r="A449" s="32" t="n"/>
      <c r="P449" s="31" t="n"/>
      <c r="Q449" s="31" t="n"/>
      <c r="R449" s="31" t="n"/>
      <c r="S449" s="31" t="n"/>
      <c r="T449" s="31" t="n"/>
      <c r="U449" s="31" t="n"/>
      <c r="V449" s="31" t="n"/>
      <c r="W449" s="31" t="n"/>
      <c r="X449" s="31" t="n"/>
      <c r="Y449" s="31" t="n"/>
    </row>
    <row r="450" ht="14.25" customHeight="1">
      <c r="A450" s="32" t="n"/>
      <c r="P450" s="31" t="n"/>
      <c r="Q450" s="31" t="n"/>
      <c r="R450" s="31" t="n"/>
      <c r="S450" s="31" t="n"/>
      <c r="T450" s="31" t="n"/>
      <c r="U450" s="31" t="n"/>
      <c r="V450" s="31" t="n"/>
      <c r="W450" s="31" t="n"/>
      <c r="X450" s="31" t="n"/>
      <c r="Y450" s="31" t="n"/>
    </row>
    <row r="451" ht="14.25" customHeight="1">
      <c r="A451" s="32" t="n"/>
      <c r="P451" s="31" t="n"/>
      <c r="Q451" s="31" t="n"/>
      <c r="R451" s="31" t="n"/>
      <c r="S451" s="31" t="n"/>
      <c r="T451" s="31" t="n"/>
      <c r="U451" s="31" t="n"/>
      <c r="V451" s="31" t="n"/>
      <c r="W451" s="31" t="n"/>
      <c r="X451" s="31" t="n"/>
      <c r="Y451" s="31" t="n"/>
    </row>
    <row r="452" ht="14.25" customHeight="1">
      <c r="A452" s="32" t="n"/>
      <c r="P452" s="31" t="n"/>
      <c r="Q452" s="31" t="n"/>
      <c r="R452" s="31" t="n"/>
      <c r="S452" s="31" t="n"/>
      <c r="T452" s="31" t="n"/>
      <c r="U452" s="31" t="n"/>
      <c r="V452" s="31" t="n"/>
      <c r="W452" s="31" t="n"/>
      <c r="X452" s="31" t="n"/>
      <c r="Y452" s="31" t="n"/>
    </row>
    <row r="453" ht="14.25" customHeight="1">
      <c r="A453" s="32" t="n"/>
      <c r="P453" s="31" t="n"/>
      <c r="Q453" s="31" t="n"/>
      <c r="R453" s="31" t="n"/>
      <c r="S453" s="31" t="n"/>
      <c r="T453" s="31" t="n"/>
      <c r="U453" s="31" t="n"/>
      <c r="V453" s="31" t="n"/>
      <c r="W453" s="31" t="n"/>
      <c r="X453" s="31" t="n"/>
      <c r="Y453" s="31" t="n"/>
    </row>
    <row r="454" ht="14.25" customHeight="1">
      <c r="A454" s="32" t="n"/>
      <c r="P454" s="31" t="n"/>
      <c r="Q454" s="31" t="n"/>
      <c r="R454" s="31" t="n"/>
      <c r="S454" s="31" t="n"/>
      <c r="T454" s="31" t="n"/>
      <c r="U454" s="31" t="n"/>
      <c r="V454" s="31" t="n"/>
      <c r="W454" s="31" t="n"/>
      <c r="X454" s="31" t="n"/>
      <c r="Y454" s="31" t="n"/>
    </row>
    <row r="455" ht="14.25" customHeight="1">
      <c r="A455" s="32" t="n"/>
      <c r="P455" s="31" t="n"/>
      <c r="Q455" s="31" t="n"/>
      <c r="R455" s="31" t="n"/>
      <c r="S455" s="31" t="n"/>
      <c r="T455" s="31" t="n"/>
      <c r="U455" s="31" t="n"/>
      <c r="V455" s="31" t="n"/>
      <c r="W455" s="31" t="n"/>
      <c r="X455" s="31" t="n"/>
      <c r="Y455" s="31" t="n"/>
    </row>
    <row r="456" ht="14.25" customHeight="1">
      <c r="A456" s="32" t="n"/>
      <c r="P456" s="31" t="n"/>
      <c r="Q456" s="31" t="n"/>
      <c r="R456" s="31" t="n"/>
      <c r="S456" s="31" t="n"/>
      <c r="T456" s="31" t="n"/>
      <c r="U456" s="31" t="n"/>
      <c r="V456" s="31" t="n"/>
      <c r="W456" s="31" t="n"/>
      <c r="X456" s="31" t="n"/>
      <c r="Y456" s="31" t="n"/>
    </row>
    <row r="457" ht="14.25" customHeight="1">
      <c r="A457" s="32" t="n"/>
      <c r="P457" s="31" t="n"/>
      <c r="Q457" s="31" t="n"/>
      <c r="R457" s="31" t="n"/>
      <c r="S457" s="31" t="n"/>
      <c r="T457" s="31" t="n"/>
      <c r="U457" s="31" t="n"/>
      <c r="V457" s="31" t="n"/>
      <c r="W457" s="31" t="n"/>
      <c r="X457" s="31" t="n"/>
      <c r="Y457" s="31" t="n"/>
    </row>
    <row r="458" ht="14.25" customHeight="1">
      <c r="A458" s="32" t="n"/>
      <c r="P458" s="31" t="n"/>
      <c r="Q458" s="31" t="n"/>
      <c r="R458" s="31" t="n"/>
      <c r="S458" s="31" t="n"/>
      <c r="T458" s="31" t="n"/>
      <c r="U458" s="31" t="n"/>
      <c r="V458" s="31" t="n"/>
      <c r="W458" s="31" t="n"/>
      <c r="X458" s="31" t="n"/>
      <c r="Y458" s="31" t="n"/>
    </row>
    <row r="459" ht="14.25" customHeight="1">
      <c r="A459" s="32" t="n"/>
      <c r="P459" s="31" t="n"/>
      <c r="Q459" s="31" t="n"/>
      <c r="R459" s="31" t="n"/>
      <c r="S459" s="31" t="n"/>
      <c r="T459" s="31" t="n"/>
      <c r="U459" s="31" t="n"/>
      <c r="V459" s="31" t="n"/>
      <c r="W459" s="31" t="n"/>
      <c r="X459" s="31" t="n"/>
      <c r="Y459" s="31" t="n"/>
    </row>
    <row r="460" ht="14.25" customHeight="1">
      <c r="A460" s="32" t="n"/>
      <c r="P460" s="31" t="n"/>
      <c r="Q460" s="31" t="n"/>
      <c r="R460" s="31" t="n"/>
      <c r="S460" s="31" t="n"/>
      <c r="T460" s="31" t="n"/>
      <c r="U460" s="31" t="n"/>
      <c r="V460" s="31" t="n"/>
      <c r="W460" s="31" t="n"/>
      <c r="X460" s="31" t="n"/>
      <c r="Y460" s="31" t="n"/>
    </row>
    <row r="461" ht="14.25" customHeight="1">
      <c r="A461" s="32" t="n"/>
      <c r="P461" s="31" t="n"/>
      <c r="Q461" s="31" t="n"/>
      <c r="R461" s="31" t="n"/>
      <c r="S461" s="31" t="n"/>
      <c r="T461" s="31" t="n"/>
      <c r="U461" s="31" t="n"/>
      <c r="V461" s="31" t="n"/>
      <c r="W461" s="31" t="n"/>
      <c r="X461" s="31" t="n"/>
      <c r="Y461" s="31" t="n"/>
    </row>
    <row r="462" ht="14.25" customHeight="1">
      <c r="A462" s="32" t="n"/>
      <c r="P462" s="31" t="n"/>
      <c r="Q462" s="31" t="n"/>
      <c r="R462" s="31" t="n"/>
      <c r="S462" s="31" t="n"/>
      <c r="T462" s="31" t="n"/>
      <c r="U462" s="31" t="n"/>
      <c r="V462" s="31" t="n"/>
      <c r="W462" s="31" t="n"/>
      <c r="X462" s="31" t="n"/>
      <c r="Y462" s="31" t="n"/>
    </row>
    <row r="463" ht="14.25" customHeight="1">
      <c r="A463" s="32" t="n"/>
      <c r="P463" s="31" t="n"/>
      <c r="Q463" s="31" t="n"/>
      <c r="R463" s="31" t="n"/>
      <c r="S463" s="31" t="n"/>
      <c r="T463" s="31" t="n"/>
      <c r="U463" s="31" t="n"/>
      <c r="V463" s="31" t="n"/>
      <c r="W463" s="31" t="n"/>
      <c r="X463" s="31" t="n"/>
      <c r="Y463" s="31" t="n"/>
    </row>
    <row r="464" ht="14.25" customHeight="1">
      <c r="A464" s="32" t="n"/>
      <c r="P464" s="31" t="n"/>
      <c r="Q464" s="31" t="n"/>
      <c r="R464" s="31" t="n"/>
      <c r="S464" s="31" t="n"/>
      <c r="T464" s="31" t="n"/>
      <c r="U464" s="31" t="n"/>
      <c r="V464" s="31" t="n"/>
      <c r="W464" s="31" t="n"/>
      <c r="X464" s="31" t="n"/>
      <c r="Y464" s="31" t="n"/>
    </row>
    <row r="465" ht="14.25" customHeight="1">
      <c r="A465" s="32" t="n"/>
      <c r="P465" s="31" t="n"/>
      <c r="Q465" s="31" t="n"/>
      <c r="R465" s="31" t="n"/>
      <c r="S465" s="31" t="n"/>
      <c r="T465" s="31" t="n"/>
      <c r="U465" s="31" t="n"/>
      <c r="V465" s="31" t="n"/>
      <c r="W465" s="31" t="n"/>
      <c r="X465" s="31" t="n"/>
      <c r="Y465" s="31" t="n"/>
    </row>
    <row r="466" ht="14.25" customHeight="1">
      <c r="A466" s="32" t="n"/>
      <c r="P466" s="31" t="n"/>
      <c r="Q466" s="31" t="n"/>
      <c r="R466" s="31" t="n"/>
      <c r="S466" s="31" t="n"/>
      <c r="T466" s="31" t="n"/>
      <c r="U466" s="31" t="n"/>
      <c r="V466" s="31" t="n"/>
      <c r="W466" s="31" t="n"/>
      <c r="X466" s="31" t="n"/>
      <c r="Y466" s="31" t="n"/>
    </row>
    <row r="467" ht="14.25" customHeight="1">
      <c r="A467" s="32" t="n"/>
      <c r="P467" s="31" t="n"/>
      <c r="Q467" s="31" t="n"/>
      <c r="R467" s="31" t="n"/>
      <c r="S467" s="31" t="n"/>
      <c r="T467" s="31" t="n"/>
      <c r="U467" s="31" t="n"/>
      <c r="V467" s="31" t="n"/>
      <c r="W467" s="31" t="n"/>
      <c r="X467" s="31" t="n"/>
      <c r="Y467" s="31" t="n"/>
    </row>
    <row r="468" ht="14.25" customHeight="1">
      <c r="A468" s="32" t="n"/>
      <c r="P468" s="31" t="n"/>
      <c r="Q468" s="31" t="n"/>
      <c r="R468" s="31" t="n"/>
      <c r="S468" s="31" t="n"/>
      <c r="T468" s="31" t="n"/>
      <c r="U468" s="31" t="n"/>
      <c r="V468" s="31" t="n"/>
      <c r="W468" s="31" t="n"/>
      <c r="X468" s="31" t="n"/>
      <c r="Y468" s="31" t="n"/>
    </row>
    <row r="469" ht="14.25" customHeight="1">
      <c r="A469" s="32" t="n"/>
      <c r="P469" s="31" t="n"/>
      <c r="Q469" s="31" t="n"/>
      <c r="R469" s="31" t="n"/>
      <c r="S469" s="31" t="n"/>
      <c r="T469" s="31" t="n"/>
      <c r="U469" s="31" t="n"/>
      <c r="V469" s="31" t="n"/>
      <c r="W469" s="31" t="n"/>
      <c r="X469" s="31" t="n"/>
      <c r="Y469" s="31" t="n"/>
    </row>
    <row r="470" ht="14.25" customHeight="1">
      <c r="A470" s="32" t="n"/>
      <c r="P470" s="31" t="n"/>
      <c r="Q470" s="31" t="n"/>
      <c r="R470" s="31" t="n"/>
      <c r="S470" s="31" t="n"/>
      <c r="T470" s="31" t="n"/>
      <c r="U470" s="31" t="n"/>
      <c r="V470" s="31" t="n"/>
      <c r="W470" s="31" t="n"/>
      <c r="X470" s="31" t="n"/>
      <c r="Y470" s="31" t="n"/>
    </row>
    <row r="471" ht="14.25" customHeight="1">
      <c r="A471" s="32" t="n"/>
      <c r="P471" s="31" t="n"/>
      <c r="Q471" s="31" t="n"/>
      <c r="R471" s="31" t="n"/>
      <c r="S471" s="31" t="n"/>
      <c r="T471" s="31" t="n"/>
      <c r="U471" s="31" t="n"/>
      <c r="V471" s="31" t="n"/>
      <c r="W471" s="31" t="n"/>
      <c r="X471" s="31" t="n"/>
      <c r="Y471" s="31" t="n"/>
    </row>
    <row r="472" ht="14.25" customHeight="1">
      <c r="A472" s="32" t="n"/>
      <c r="P472" s="31" t="n"/>
      <c r="Q472" s="31" t="n"/>
      <c r="R472" s="31" t="n"/>
      <c r="S472" s="31" t="n"/>
      <c r="T472" s="31" t="n"/>
      <c r="U472" s="31" t="n"/>
      <c r="V472" s="31" t="n"/>
      <c r="W472" s="31" t="n"/>
      <c r="X472" s="31" t="n"/>
      <c r="Y472" s="31" t="n"/>
    </row>
    <row r="473" ht="14.25" customHeight="1">
      <c r="A473" s="32" t="n"/>
      <c r="P473" s="31" t="n"/>
      <c r="Q473" s="31" t="n"/>
      <c r="R473" s="31" t="n"/>
      <c r="S473" s="31" t="n"/>
      <c r="T473" s="31" t="n"/>
      <c r="U473" s="31" t="n"/>
      <c r="V473" s="31" t="n"/>
      <c r="W473" s="31" t="n"/>
      <c r="X473" s="31" t="n"/>
      <c r="Y473" s="31" t="n"/>
    </row>
    <row r="474" ht="14.25" customHeight="1">
      <c r="A474" s="32" t="n"/>
      <c r="P474" s="31" t="n"/>
      <c r="Q474" s="31" t="n"/>
      <c r="R474" s="31" t="n"/>
      <c r="S474" s="31" t="n"/>
      <c r="T474" s="31" t="n"/>
      <c r="U474" s="31" t="n"/>
      <c r="V474" s="31" t="n"/>
      <c r="W474" s="31" t="n"/>
      <c r="X474" s="31" t="n"/>
      <c r="Y474" s="31" t="n"/>
    </row>
    <row r="475" ht="14.25" customHeight="1">
      <c r="A475" s="32" t="n"/>
      <c r="P475" s="31" t="n"/>
      <c r="Q475" s="31" t="n"/>
      <c r="R475" s="31" t="n"/>
      <c r="S475" s="31" t="n"/>
      <c r="T475" s="31" t="n"/>
      <c r="U475" s="31" t="n"/>
      <c r="V475" s="31" t="n"/>
      <c r="W475" s="31" t="n"/>
      <c r="X475" s="31" t="n"/>
      <c r="Y475" s="31" t="n"/>
    </row>
    <row r="476" ht="14.25" customHeight="1">
      <c r="A476" s="32" t="n"/>
      <c r="P476" s="31" t="n"/>
      <c r="Q476" s="31" t="n"/>
      <c r="R476" s="31" t="n"/>
      <c r="S476" s="31" t="n"/>
      <c r="T476" s="31" t="n"/>
      <c r="U476" s="31" t="n"/>
      <c r="V476" s="31" t="n"/>
      <c r="W476" s="31" t="n"/>
      <c r="X476" s="31" t="n"/>
      <c r="Y476" s="31" t="n"/>
    </row>
    <row r="477" ht="14.25" customHeight="1">
      <c r="A477" s="32" t="n"/>
      <c r="P477" s="31" t="n"/>
      <c r="Q477" s="31" t="n"/>
      <c r="R477" s="31" t="n"/>
      <c r="S477" s="31" t="n"/>
      <c r="T477" s="31" t="n"/>
      <c r="U477" s="31" t="n"/>
      <c r="V477" s="31" t="n"/>
      <c r="W477" s="31" t="n"/>
      <c r="X477" s="31" t="n"/>
      <c r="Y477" s="31" t="n"/>
    </row>
    <row r="478" ht="14.25" customHeight="1">
      <c r="A478" s="32" t="n"/>
      <c r="P478" s="31" t="n"/>
      <c r="Q478" s="31" t="n"/>
      <c r="R478" s="31" t="n"/>
      <c r="S478" s="31" t="n"/>
      <c r="T478" s="31" t="n"/>
      <c r="U478" s="31" t="n"/>
      <c r="V478" s="31" t="n"/>
      <c r="W478" s="31" t="n"/>
      <c r="X478" s="31" t="n"/>
      <c r="Y478" s="31" t="n"/>
    </row>
    <row r="479" ht="14.25" customHeight="1">
      <c r="A479" s="32" t="n"/>
      <c r="P479" s="31" t="n"/>
      <c r="Q479" s="31" t="n"/>
      <c r="R479" s="31" t="n"/>
      <c r="S479" s="31" t="n"/>
      <c r="T479" s="31" t="n"/>
      <c r="U479" s="31" t="n"/>
      <c r="V479" s="31" t="n"/>
      <c r="W479" s="31" t="n"/>
      <c r="X479" s="31" t="n"/>
      <c r="Y479" s="31" t="n"/>
    </row>
    <row r="480" ht="14.25" customHeight="1">
      <c r="A480" s="32" t="n"/>
      <c r="P480" s="31" t="n"/>
      <c r="Q480" s="31" t="n"/>
      <c r="R480" s="31" t="n"/>
      <c r="S480" s="31" t="n"/>
      <c r="T480" s="31" t="n"/>
      <c r="U480" s="31" t="n"/>
      <c r="V480" s="31" t="n"/>
      <c r="W480" s="31" t="n"/>
      <c r="X480" s="31" t="n"/>
      <c r="Y480" s="31" t="n"/>
    </row>
    <row r="481" ht="14.25" customHeight="1">
      <c r="A481" s="32" t="n"/>
      <c r="P481" s="31" t="n"/>
      <c r="Q481" s="31" t="n"/>
      <c r="R481" s="31" t="n"/>
      <c r="S481" s="31" t="n"/>
      <c r="T481" s="31" t="n"/>
      <c r="U481" s="31" t="n"/>
      <c r="V481" s="31" t="n"/>
      <c r="W481" s="31" t="n"/>
      <c r="X481" s="31" t="n"/>
      <c r="Y481" s="31" t="n"/>
    </row>
    <row r="482" ht="14.25" customHeight="1">
      <c r="A482" s="32" t="n"/>
      <c r="P482" s="31" t="n"/>
      <c r="Q482" s="31" t="n"/>
      <c r="R482" s="31" t="n"/>
      <c r="S482" s="31" t="n"/>
      <c r="T482" s="31" t="n"/>
      <c r="U482" s="31" t="n"/>
      <c r="V482" s="31" t="n"/>
      <c r="W482" s="31" t="n"/>
      <c r="X482" s="31" t="n"/>
      <c r="Y482" s="31" t="n"/>
    </row>
    <row r="483" ht="14.25" customHeight="1">
      <c r="A483" s="32" t="n"/>
      <c r="P483" s="31" t="n"/>
      <c r="Q483" s="31" t="n"/>
      <c r="R483" s="31" t="n"/>
      <c r="S483" s="31" t="n"/>
      <c r="T483" s="31" t="n"/>
      <c r="U483" s="31" t="n"/>
      <c r="V483" s="31" t="n"/>
      <c r="W483" s="31" t="n"/>
      <c r="X483" s="31" t="n"/>
      <c r="Y483" s="31" t="n"/>
    </row>
    <row r="484" ht="14.25" customHeight="1">
      <c r="A484" s="32" t="n"/>
      <c r="P484" s="31" t="n"/>
      <c r="Q484" s="31" t="n"/>
      <c r="R484" s="31" t="n"/>
      <c r="S484" s="31" t="n"/>
      <c r="T484" s="31" t="n"/>
      <c r="U484" s="31" t="n"/>
      <c r="V484" s="31" t="n"/>
      <c r="W484" s="31" t="n"/>
      <c r="X484" s="31" t="n"/>
      <c r="Y484" s="31" t="n"/>
    </row>
    <row r="485" ht="14.25" customHeight="1">
      <c r="A485" s="32" t="n"/>
      <c r="P485" s="31" t="n"/>
      <c r="Q485" s="31" t="n"/>
      <c r="R485" s="31" t="n"/>
      <c r="S485" s="31" t="n"/>
      <c r="T485" s="31" t="n"/>
      <c r="U485" s="31" t="n"/>
      <c r="V485" s="31" t="n"/>
      <c r="W485" s="31" t="n"/>
      <c r="X485" s="31" t="n"/>
      <c r="Y485" s="31" t="n"/>
    </row>
    <row r="486" ht="14.25" customHeight="1">
      <c r="A486" s="32" t="n"/>
      <c r="P486" s="31" t="n"/>
      <c r="Q486" s="31" t="n"/>
      <c r="R486" s="31" t="n"/>
      <c r="S486" s="31" t="n"/>
      <c r="T486" s="31" t="n"/>
      <c r="U486" s="31" t="n"/>
      <c r="V486" s="31" t="n"/>
      <c r="W486" s="31" t="n"/>
      <c r="X486" s="31" t="n"/>
      <c r="Y486" s="31" t="n"/>
    </row>
    <row r="487" ht="14.25" customHeight="1">
      <c r="A487" s="32" t="n"/>
      <c r="P487" s="31" t="n"/>
      <c r="Q487" s="31" t="n"/>
      <c r="R487" s="31" t="n"/>
      <c r="S487" s="31" t="n"/>
      <c r="T487" s="31" t="n"/>
      <c r="U487" s="31" t="n"/>
      <c r="V487" s="31" t="n"/>
      <c r="W487" s="31" t="n"/>
      <c r="X487" s="31" t="n"/>
      <c r="Y487" s="31" t="n"/>
    </row>
    <row r="488" ht="14.25" customHeight="1">
      <c r="A488" s="32" t="n"/>
      <c r="P488" s="31" t="n"/>
      <c r="Q488" s="31" t="n"/>
      <c r="R488" s="31" t="n"/>
      <c r="S488" s="31" t="n"/>
      <c r="T488" s="31" t="n"/>
      <c r="U488" s="31" t="n"/>
      <c r="V488" s="31" t="n"/>
      <c r="W488" s="31" t="n"/>
      <c r="X488" s="31" t="n"/>
      <c r="Y488" s="31" t="n"/>
    </row>
    <row r="489" ht="14.25" customHeight="1">
      <c r="A489" s="32" t="n"/>
      <c r="P489" s="31" t="n"/>
      <c r="Q489" s="31" t="n"/>
      <c r="R489" s="31" t="n"/>
      <c r="S489" s="31" t="n"/>
      <c r="T489" s="31" t="n"/>
      <c r="U489" s="31" t="n"/>
      <c r="V489" s="31" t="n"/>
      <c r="W489" s="31" t="n"/>
      <c r="X489" s="31" t="n"/>
      <c r="Y489" s="31" t="n"/>
    </row>
    <row r="490" ht="14.25" customHeight="1">
      <c r="A490" s="32" t="n"/>
      <c r="P490" s="31" t="n"/>
      <c r="Q490" s="31" t="n"/>
      <c r="R490" s="31" t="n"/>
      <c r="S490" s="31" t="n"/>
      <c r="T490" s="31" t="n"/>
      <c r="U490" s="31" t="n"/>
      <c r="V490" s="31" t="n"/>
      <c r="W490" s="31" t="n"/>
      <c r="X490" s="31" t="n"/>
      <c r="Y490" s="31" t="n"/>
    </row>
    <row r="491" ht="14.25" customHeight="1">
      <c r="A491" s="32" t="n"/>
      <c r="P491" s="31" t="n"/>
      <c r="Q491" s="31" t="n"/>
      <c r="R491" s="31" t="n"/>
      <c r="S491" s="31" t="n"/>
      <c r="T491" s="31" t="n"/>
      <c r="U491" s="31" t="n"/>
      <c r="V491" s="31" t="n"/>
      <c r="W491" s="31" t="n"/>
      <c r="X491" s="31" t="n"/>
      <c r="Y491" s="31" t="n"/>
    </row>
    <row r="492" ht="14.25" customHeight="1">
      <c r="A492" s="32" t="n"/>
      <c r="P492" s="31" t="n"/>
      <c r="Q492" s="31" t="n"/>
      <c r="R492" s="31" t="n"/>
      <c r="S492" s="31" t="n"/>
      <c r="T492" s="31" t="n"/>
      <c r="U492" s="31" t="n"/>
      <c r="V492" s="31" t="n"/>
      <c r="W492" s="31" t="n"/>
      <c r="X492" s="31" t="n"/>
      <c r="Y492" s="31" t="n"/>
    </row>
    <row r="493" ht="14.25" customHeight="1">
      <c r="A493" s="32" t="n"/>
      <c r="P493" s="31" t="n"/>
      <c r="Q493" s="31" t="n"/>
      <c r="R493" s="31" t="n"/>
      <c r="S493" s="31" t="n"/>
      <c r="T493" s="31" t="n"/>
      <c r="U493" s="31" t="n"/>
      <c r="V493" s="31" t="n"/>
      <c r="W493" s="31" t="n"/>
      <c r="X493" s="31" t="n"/>
      <c r="Y493" s="31" t="n"/>
    </row>
    <row r="494" ht="14.25" customHeight="1">
      <c r="A494" s="32" t="n"/>
      <c r="P494" s="31" t="n"/>
      <c r="Q494" s="31" t="n"/>
      <c r="R494" s="31" t="n"/>
      <c r="S494" s="31" t="n"/>
      <c r="T494" s="31" t="n"/>
      <c r="U494" s="31" t="n"/>
      <c r="V494" s="31" t="n"/>
      <c r="W494" s="31" t="n"/>
      <c r="X494" s="31" t="n"/>
      <c r="Y494" s="31" t="n"/>
    </row>
    <row r="495" ht="14.25" customHeight="1">
      <c r="A495" s="32" t="n"/>
      <c r="P495" s="31" t="n"/>
      <c r="Q495" s="31" t="n"/>
      <c r="R495" s="31" t="n"/>
      <c r="S495" s="31" t="n"/>
      <c r="T495" s="31" t="n"/>
      <c r="U495" s="31" t="n"/>
      <c r="V495" s="31" t="n"/>
      <c r="W495" s="31" t="n"/>
      <c r="X495" s="31" t="n"/>
      <c r="Y495" s="31" t="n"/>
    </row>
    <row r="496" ht="14.25" customHeight="1">
      <c r="A496" s="32" t="n"/>
      <c r="P496" s="31" t="n"/>
      <c r="Q496" s="31" t="n"/>
      <c r="R496" s="31" t="n"/>
      <c r="S496" s="31" t="n"/>
      <c r="T496" s="31" t="n"/>
      <c r="U496" s="31" t="n"/>
      <c r="V496" s="31" t="n"/>
      <c r="W496" s="31" t="n"/>
      <c r="X496" s="31" t="n"/>
      <c r="Y496" s="31" t="n"/>
    </row>
    <row r="497" ht="14.25" customHeight="1">
      <c r="A497" s="32" t="n"/>
      <c r="P497" s="31" t="n"/>
      <c r="Q497" s="31" t="n"/>
      <c r="R497" s="31" t="n"/>
      <c r="S497" s="31" t="n"/>
      <c r="T497" s="31" t="n"/>
      <c r="U497" s="31" t="n"/>
      <c r="V497" s="31" t="n"/>
      <c r="W497" s="31" t="n"/>
      <c r="X497" s="31" t="n"/>
      <c r="Y497" s="31" t="n"/>
    </row>
    <row r="498" ht="14.25" customHeight="1">
      <c r="A498" s="32" t="n"/>
      <c r="P498" s="31" t="n"/>
      <c r="Q498" s="31" t="n"/>
      <c r="R498" s="31" t="n"/>
      <c r="S498" s="31" t="n"/>
      <c r="T498" s="31" t="n"/>
      <c r="U498" s="31" t="n"/>
      <c r="V498" s="31" t="n"/>
      <c r="W498" s="31" t="n"/>
      <c r="X498" s="31" t="n"/>
      <c r="Y498" s="31" t="n"/>
    </row>
    <row r="499" ht="14.25" customHeight="1">
      <c r="A499" s="32" t="n"/>
      <c r="P499" s="31" t="n"/>
      <c r="Q499" s="31" t="n"/>
      <c r="R499" s="31" t="n"/>
      <c r="S499" s="31" t="n"/>
      <c r="T499" s="31" t="n"/>
      <c r="U499" s="31" t="n"/>
      <c r="V499" s="31" t="n"/>
      <c r="W499" s="31" t="n"/>
      <c r="X499" s="31" t="n"/>
      <c r="Y499" s="31" t="n"/>
    </row>
    <row r="500" ht="14.25" customHeight="1">
      <c r="A500" s="32" t="n"/>
      <c r="P500" s="31" t="n"/>
      <c r="Q500" s="31" t="n"/>
      <c r="R500" s="31" t="n"/>
      <c r="S500" s="31" t="n"/>
      <c r="T500" s="31" t="n"/>
      <c r="U500" s="31" t="n"/>
      <c r="V500" s="31" t="n"/>
      <c r="W500" s="31" t="n"/>
      <c r="X500" s="31" t="n"/>
      <c r="Y500" s="31" t="n"/>
    </row>
    <row r="501" ht="14.25" customHeight="1">
      <c r="A501" s="32" t="n"/>
      <c r="P501" s="31" t="n"/>
      <c r="Q501" s="31" t="n"/>
      <c r="R501" s="31" t="n"/>
      <c r="S501" s="31" t="n"/>
      <c r="T501" s="31" t="n"/>
      <c r="U501" s="31" t="n"/>
      <c r="V501" s="31" t="n"/>
      <c r="W501" s="31" t="n"/>
      <c r="X501" s="31" t="n"/>
      <c r="Y501" s="31" t="n"/>
    </row>
    <row r="502" ht="14.25" customHeight="1">
      <c r="A502" s="32" t="n"/>
      <c r="P502" s="31" t="n"/>
      <c r="Q502" s="31" t="n"/>
      <c r="R502" s="31" t="n"/>
      <c r="S502" s="31" t="n"/>
      <c r="T502" s="31" t="n"/>
      <c r="U502" s="31" t="n"/>
      <c r="V502" s="31" t="n"/>
      <c r="W502" s="31" t="n"/>
      <c r="X502" s="31" t="n"/>
      <c r="Y502" s="31" t="n"/>
    </row>
    <row r="503" ht="14.25" customHeight="1">
      <c r="A503" s="32" t="n"/>
      <c r="P503" s="31" t="n"/>
      <c r="Q503" s="31" t="n"/>
      <c r="R503" s="31" t="n"/>
      <c r="S503" s="31" t="n"/>
      <c r="T503" s="31" t="n"/>
      <c r="U503" s="31" t="n"/>
      <c r="V503" s="31" t="n"/>
      <c r="W503" s="31" t="n"/>
      <c r="X503" s="31" t="n"/>
      <c r="Y503" s="31" t="n"/>
    </row>
    <row r="504" ht="14.25" customHeight="1">
      <c r="A504" s="32" t="n"/>
      <c r="P504" s="31" t="n"/>
      <c r="Q504" s="31" t="n"/>
      <c r="R504" s="31" t="n"/>
      <c r="S504" s="31" t="n"/>
      <c r="T504" s="31" t="n"/>
      <c r="U504" s="31" t="n"/>
      <c r="V504" s="31" t="n"/>
      <c r="W504" s="31" t="n"/>
      <c r="X504" s="31" t="n"/>
      <c r="Y504" s="31" t="n"/>
    </row>
    <row r="505" ht="14.25" customHeight="1">
      <c r="A505" s="32" t="n"/>
      <c r="P505" s="31" t="n"/>
      <c r="Q505" s="31" t="n"/>
      <c r="R505" s="31" t="n"/>
      <c r="S505" s="31" t="n"/>
      <c r="T505" s="31" t="n"/>
      <c r="U505" s="31" t="n"/>
      <c r="V505" s="31" t="n"/>
      <c r="W505" s="31" t="n"/>
      <c r="X505" s="31" t="n"/>
      <c r="Y505" s="31" t="n"/>
    </row>
    <row r="506" ht="14.25" customHeight="1">
      <c r="A506" s="32" t="n"/>
      <c r="P506" s="31" t="n"/>
      <c r="Q506" s="31" t="n"/>
      <c r="R506" s="31" t="n"/>
      <c r="S506" s="31" t="n"/>
      <c r="T506" s="31" t="n"/>
      <c r="U506" s="31" t="n"/>
      <c r="V506" s="31" t="n"/>
      <c r="W506" s="31" t="n"/>
      <c r="X506" s="31" t="n"/>
      <c r="Y506" s="31" t="n"/>
    </row>
    <row r="507" ht="14.25" customHeight="1">
      <c r="A507" s="32" t="n"/>
      <c r="P507" s="31" t="n"/>
      <c r="Q507" s="31" t="n"/>
      <c r="R507" s="31" t="n"/>
      <c r="S507" s="31" t="n"/>
      <c r="T507" s="31" t="n"/>
      <c r="U507" s="31" t="n"/>
      <c r="V507" s="31" t="n"/>
      <c r="W507" s="31" t="n"/>
      <c r="X507" s="31" t="n"/>
      <c r="Y507" s="31" t="n"/>
    </row>
    <row r="508" ht="14.25" customHeight="1">
      <c r="A508" s="32" t="n"/>
      <c r="P508" s="31" t="n"/>
      <c r="Q508" s="31" t="n"/>
      <c r="R508" s="31" t="n"/>
      <c r="S508" s="31" t="n"/>
      <c r="T508" s="31" t="n"/>
      <c r="U508" s="31" t="n"/>
      <c r="V508" s="31" t="n"/>
      <c r="W508" s="31" t="n"/>
      <c r="X508" s="31" t="n"/>
      <c r="Y508" s="31" t="n"/>
    </row>
    <row r="509" ht="14.25" customHeight="1">
      <c r="A509" s="32" t="n"/>
      <c r="P509" s="31" t="n"/>
      <c r="Q509" s="31" t="n"/>
      <c r="R509" s="31" t="n"/>
      <c r="S509" s="31" t="n"/>
      <c r="T509" s="31" t="n"/>
      <c r="U509" s="31" t="n"/>
      <c r="V509" s="31" t="n"/>
      <c r="W509" s="31" t="n"/>
      <c r="X509" s="31" t="n"/>
      <c r="Y509" s="31" t="n"/>
    </row>
    <row r="510" ht="14.25" customHeight="1">
      <c r="A510" s="32" t="n"/>
      <c r="P510" s="31" t="n"/>
      <c r="Q510" s="31" t="n"/>
      <c r="R510" s="31" t="n"/>
      <c r="S510" s="31" t="n"/>
      <c r="T510" s="31" t="n"/>
      <c r="U510" s="31" t="n"/>
      <c r="V510" s="31" t="n"/>
      <c r="W510" s="31" t="n"/>
      <c r="X510" s="31" t="n"/>
      <c r="Y510" s="31" t="n"/>
    </row>
    <row r="511" ht="14.25" customHeight="1">
      <c r="A511" s="32" t="n"/>
      <c r="P511" s="31" t="n"/>
      <c r="Q511" s="31" t="n"/>
      <c r="R511" s="31" t="n"/>
      <c r="S511" s="31" t="n"/>
      <c r="T511" s="31" t="n"/>
      <c r="U511" s="31" t="n"/>
      <c r="V511" s="31" t="n"/>
      <c r="W511" s="31" t="n"/>
      <c r="X511" s="31" t="n"/>
      <c r="Y511" s="31" t="n"/>
    </row>
    <row r="512" ht="14.25" customHeight="1">
      <c r="A512" s="32" t="n"/>
      <c r="P512" s="31" t="n"/>
      <c r="Q512" s="31" t="n"/>
      <c r="R512" s="31" t="n"/>
      <c r="S512" s="31" t="n"/>
      <c r="T512" s="31" t="n"/>
      <c r="U512" s="31" t="n"/>
      <c r="V512" s="31" t="n"/>
      <c r="W512" s="31" t="n"/>
      <c r="X512" s="31" t="n"/>
      <c r="Y512" s="31" t="n"/>
    </row>
    <row r="513" ht="14.25" customHeight="1">
      <c r="A513" s="32" t="n"/>
      <c r="P513" s="31" t="n"/>
      <c r="Q513" s="31" t="n"/>
      <c r="R513" s="31" t="n"/>
      <c r="S513" s="31" t="n"/>
      <c r="T513" s="31" t="n"/>
      <c r="U513" s="31" t="n"/>
      <c r="V513" s="31" t="n"/>
      <c r="W513" s="31" t="n"/>
      <c r="X513" s="31" t="n"/>
      <c r="Y513" s="31" t="n"/>
    </row>
    <row r="514" ht="14.25" customHeight="1">
      <c r="A514" s="32" t="n"/>
      <c r="P514" s="31" t="n"/>
      <c r="Q514" s="31" t="n"/>
      <c r="R514" s="31" t="n"/>
      <c r="S514" s="31" t="n"/>
      <c r="T514" s="31" t="n"/>
      <c r="U514" s="31" t="n"/>
      <c r="V514" s="31" t="n"/>
      <c r="W514" s="31" t="n"/>
      <c r="X514" s="31" t="n"/>
      <c r="Y514" s="31" t="n"/>
    </row>
    <row r="515" ht="14.25" customHeight="1">
      <c r="A515" s="32" t="n"/>
      <c r="P515" s="31" t="n"/>
      <c r="Q515" s="31" t="n"/>
      <c r="R515" s="31" t="n"/>
      <c r="S515" s="31" t="n"/>
      <c r="T515" s="31" t="n"/>
      <c r="U515" s="31" t="n"/>
      <c r="V515" s="31" t="n"/>
      <c r="W515" s="31" t="n"/>
      <c r="X515" s="31" t="n"/>
      <c r="Y515" s="31" t="n"/>
    </row>
    <row r="516" ht="14.25" customHeight="1">
      <c r="A516" s="32" t="n"/>
      <c r="P516" s="31" t="n"/>
      <c r="Q516" s="31" t="n"/>
      <c r="R516" s="31" t="n"/>
      <c r="S516" s="31" t="n"/>
      <c r="T516" s="31" t="n"/>
      <c r="U516" s="31" t="n"/>
      <c r="V516" s="31" t="n"/>
      <c r="W516" s="31" t="n"/>
      <c r="X516" s="31" t="n"/>
      <c r="Y516" s="31" t="n"/>
    </row>
    <row r="517" ht="14.25" customHeight="1">
      <c r="A517" s="32" t="n"/>
      <c r="P517" s="31" t="n"/>
      <c r="Q517" s="31" t="n"/>
      <c r="R517" s="31" t="n"/>
      <c r="S517" s="31" t="n"/>
      <c r="T517" s="31" t="n"/>
      <c r="U517" s="31" t="n"/>
      <c r="V517" s="31" t="n"/>
      <c r="W517" s="31" t="n"/>
      <c r="X517" s="31" t="n"/>
      <c r="Y517" s="31" t="n"/>
    </row>
    <row r="518" ht="14.25" customHeight="1">
      <c r="A518" s="32" t="n"/>
      <c r="P518" s="31" t="n"/>
      <c r="Q518" s="31" t="n"/>
      <c r="R518" s="31" t="n"/>
      <c r="S518" s="31" t="n"/>
      <c r="T518" s="31" t="n"/>
      <c r="U518" s="31" t="n"/>
      <c r="V518" s="31" t="n"/>
      <c r="W518" s="31" t="n"/>
      <c r="X518" s="31" t="n"/>
      <c r="Y518" s="31" t="n"/>
    </row>
    <row r="519" ht="14.25" customHeight="1">
      <c r="A519" s="32" t="n"/>
      <c r="P519" s="31" t="n"/>
      <c r="Q519" s="31" t="n"/>
      <c r="R519" s="31" t="n"/>
      <c r="S519" s="31" t="n"/>
      <c r="T519" s="31" t="n"/>
      <c r="U519" s="31" t="n"/>
      <c r="V519" s="31" t="n"/>
      <c r="W519" s="31" t="n"/>
      <c r="X519" s="31" t="n"/>
      <c r="Y519" s="31" t="n"/>
    </row>
    <row r="520" ht="14.25" customHeight="1">
      <c r="A520" s="32" t="n"/>
      <c r="P520" s="31" t="n"/>
      <c r="Q520" s="31" t="n"/>
      <c r="R520" s="31" t="n"/>
      <c r="S520" s="31" t="n"/>
      <c r="T520" s="31" t="n"/>
      <c r="U520" s="31" t="n"/>
      <c r="V520" s="31" t="n"/>
      <c r="W520" s="31" t="n"/>
      <c r="X520" s="31" t="n"/>
      <c r="Y520" s="31" t="n"/>
    </row>
    <row r="521" ht="14.25" customHeight="1">
      <c r="A521" s="32" t="n"/>
      <c r="P521" s="31" t="n"/>
      <c r="Q521" s="31" t="n"/>
      <c r="R521" s="31" t="n"/>
      <c r="S521" s="31" t="n"/>
      <c r="T521" s="31" t="n"/>
      <c r="U521" s="31" t="n"/>
      <c r="V521" s="31" t="n"/>
      <c r="W521" s="31" t="n"/>
      <c r="X521" s="31" t="n"/>
      <c r="Y521" s="31" t="n"/>
    </row>
    <row r="522" ht="14.25" customHeight="1">
      <c r="A522" s="32" t="n"/>
      <c r="P522" s="31" t="n"/>
      <c r="Q522" s="31" t="n"/>
      <c r="R522" s="31" t="n"/>
      <c r="S522" s="31" t="n"/>
      <c r="T522" s="31" t="n"/>
      <c r="U522" s="31" t="n"/>
      <c r="V522" s="31" t="n"/>
      <c r="W522" s="31" t="n"/>
      <c r="X522" s="31" t="n"/>
      <c r="Y522" s="31" t="n"/>
    </row>
    <row r="523" ht="14.25" customHeight="1">
      <c r="A523" s="32" t="n"/>
      <c r="P523" s="31" t="n"/>
      <c r="Q523" s="31" t="n"/>
      <c r="R523" s="31" t="n"/>
      <c r="S523" s="31" t="n"/>
      <c r="T523" s="31" t="n"/>
      <c r="U523" s="31" t="n"/>
      <c r="V523" s="31" t="n"/>
      <c r="W523" s="31" t="n"/>
      <c r="X523" s="31" t="n"/>
      <c r="Y523" s="31" t="n"/>
    </row>
    <row r="524" ht="14.25" customHeight="1">
      <c r="A524" s="32" t="n"/>
      <c r="P524" s="31" t="n"/>
      <c r="Q524" s="31" t="n"/>
      <c r="R524" s="31" t="n"/>
      <c r="S524" s="31" t="n"/>
      <c r="T524" s="31" t="n"/>
      <c r="U524" s="31" t="n"/>
      <c r="V524" s="31" t="n"/>
      <c r="W524" s="31" t="n"/>
      <c r="X524" s="31" t="n"/>
      <c r="Y524" s="31" t="n"/>
    </row>
    <row r="525" ht="14.25" customHeight="1">
      <c r="A525" s="32" t="n"/>
      <c r="P525" s="31" t="n"/>
      <c r="Q525" s="31" t="n"/>
      <c r="R525" s="31" t="n"/>
      <c r="S525" s="31" t="n"/>
      <c r="T525" s="31" t="n"/>
      <c r="U525" s="31" t="n"/>
      <c r="V525" s="31" t="n"/>
      <c r="W525" s="31" t="n"/>
      <c r="X525" s="31" t="n"/>
      <c r="Y525" s="31" t="n"/>
    </row>
    <row r="526" ht="14.25" customHeight="1">
      <c r="A526" s="32" t="n"/>
      <c r="P526" s="31" t="n"/>
      <c r="Q526" s="31" t="n"/>
      <c r="R526" s="31" t="n"/>
      <c r="S526" s="31" t="n"/>
      <c r="T526" s="31" t="n"/>
      <c r="U526" s="31" t="n"/>
      <c r="V526" s="31" t="n"/>
      <c r="W526" s="31" t="n"/>
      <c r="X526" s="31" t="n"/>
      <c r="Y526" s="31" t="n"/>
    </row>
    <row r="527" ht="14.25" customHeight="1">
      <c r="A527" s="32" t="n"/>
      <c r="P527" s="31" t="n"/>
      <c r="Q527" s="31" t="n"/>
      <c r="R527" s="31" t="n"/>
      <c r="S527" s="31" t="n"/>
      <c r="T527" s="31" t="n"/>
      <c r="U527" s="31" t="n"/>
      <c r="V527" s="31" t="n"/>
      <c r="W527" s="31" t="n"/>
      <c r="X527" s="31" t="n"/>
      <c r="Y527" s="31" t="n"/>
    </row>
    <row r="528" ht="14.25" customHeight="1">
      <c r="A528" s="32" t="n"/>
      <c r="P528" s="31" t="n"/>
      <c r="Q528" s="31" t="n"/>
      <c r="R528" s="31" t="n"/>
      <c r="S528" s="31" t="n"/>
      <c r="T528" s="31" t="n"/>
      <c r="U528" s="31" t="n"/>
      <c r="V528" s="31" t="n"/>
      <c r="W528" s="31" t="n"/>
      <c r="X528" s="31" t="n"/>
      <c r="Y528" s="31" t="n"/>
    </row>
    <row r="529" ht="14.25" customHeight="1">
      <c r="A529" s="32" t="n"/>
      <c r="P529" s="31" t="n"/>
      <c r="Q529" s="31" t="n"/>
      <c r="R529" s="31" t="n"/>
      <c r="S529" s="31" t="n"/>
      <c r="T529" s="31" t="n"/>
      <c r="U529" s="31" t="n"/>
      <c r="V529" s="31" t="n"/>
      <c r="W529" s="31" t="n"/>
      <c r="X529" s="31" t="n"/>
      <c r="Y529" s="31" t="n"/>
    </row>
    <row r="530" ht="14.25" customHeight="1">
      <c r="A530" s="32" t="n"/>
      <c r="P530" s="31" t="n"/>
      <c r="Q530" s="31" t="n"/>
      <c r="R530" s="31" t="n"/>
      <c r="S530" s="31" t="n"/>
      <c r="T530" s="31" t="n"/>
      <c r="U530" s="31" t="n"/>
      <c r="V530" s="31" t="n"/>
      <c r="W530" s="31" t="n"/>
      <c r="X530" s="31" t="n"/>
      <c r="Y530" s="31" t="n"/>
    </row>
    <row r="531" ht="14.25" customHeight="1">
      <c r="A531" s="32" t="n"/>
      <c r="P531" s="31" t="n"/>
      <c r="Q531" s="31" t="n"/>
      <c r="R531" s="31" t="n"/>
      <c r="S531" s="31" t="n"/>
      <c r="T531" s="31" t="n"/>
      <c r="U531" s="31" t="n"/>
      <c r="V531" s="31" t="n"/>
      <c r="W531" s="31" t="n"/>
      <c r="X531" s="31" t="n"/>
      <c r="Y531" s="31" t="n"/>
    </row>
    <row r="532" ht="14.25" customHeight="1">
      <c r="A532" s="32" t="n"/>
      <c r="P532" s="31" t="n"/>
      <c r="Q532" s="31" t="n"/>
      <c r="R532" s="31" t="n"/>
      <c r="S532" s="31" t="n"/>
      <c r="T532" s="31" t="n"/>
      <c r="U532" s="31" t="n"/>
      <c r="V532" s="31" t="n"/>
      <c r="W532" s="31" t="n"/>
      <c r="X532" s="31" t="n"/>
      <c r="Y532" s="31" t="n"/>
    </row>
    <row r="533" ht="14.25" customHeight="1">
      <c r="A533" s="32" t="n"/>
      <c r="P533" s="31" t="n"/>
      <c r="Q533" s="31" t="n"/>
      <c r="R533" s="31" t="n"/>
      <c r="S533" s="31" t="n"/>
      <c r="T533" s="31" t="n"/>
      <c r="U533" s="31" t="n"/>
      <c r="V533" s="31" t="n"/>
      <c r="W533" s="31" t="n"/>
      <c r="X533" s="31" t="n"/>
      <c r="Y533" s="31" t="n"/>
    </row>
    <row r="534" ht="14.25" customHeight="1">
      <c r="A534" s="32" t="n"/>
      <c r="P534" s="31" t="n"/>
      <c r="Q534" s="31" t="n"/>
      <c r="R534" s="31" t="n"/>
      <c r="S534" s="31" t="n"/>
      <c r="T534" s="31" t="n"/>
      <c r="U534" s="31" t="n"/>
      <c r="V534" s="31" t="n"/>
      <c r="W534" s="31" t="n"/>
      <c r="X534" s="31" t="n"/>
      <c r="Y534" s="31" t="n"/>
    </row>
    <row r="535" ht="14.25" customHeight="1">
      <c r="A535" s="32" t="n"/>
      <c r="P535" s="31" t="n"/>
      <c r="Q535" s="31" t="n"/>
      <c r="R535" s="31" t="n"/>
      <c r="S535" s="31" t="n"/>
      <c r="T535" s="31" t="n"/>
      <c r="U535" s="31" t="n"/>
      <c r="V535" s="31" t="n"/>
      <c r="W535" s="31" t="n"/>
      <c r="X535" s="31" t="n"/>
      <c r="Y535" s="31" t="n"/>
    </row>
    <row r="536" ht="14.25" customHeight="1">
      <c r="A536" s="32" t="n"/>
      <c r="P536" s="31" t="n"/>
      <c r="Q536" s="31" t="n"/>
      <c r="R536" s="31" t="n"/>
      <c r="S536" s="31" t="n"/>
      <c r="T536" s="31" t="n"/>
      <c r="U536" s="31" t="n"/>
      <c r="V536" s="31" t="n"/>
      <c r="W536" s="31" t="n"/>
      <c r="X536" s="31" t="n"/>
      <c r="Y536" s="31" t="n"/>
    </row>
    <row r="537" ht="14.25" customHeight="1">
      <c r="A537" s="32" t="n"/>
      <c r="P537" s="31" t="n"/>
      <c r="Q537" s="31" t="n"/>
      <c r="R537" s="31" t="n"/>
      <c r="S537" s="31" t="n"/>
      <c r="T537" s="31" t="n"/>
      <c r="U537" s="31" t="n"/>
      <c r="V537" s="31" t="n"/>
      <c r="W537" s="31" t="n"/>
      <c r="X537" s="31" t="n"/>
      <c r="Y537" s="31" t="n"/>
    </row>
    <row r="538" ht="14.25" customHeight="1">
      <c r="A538" s="32" t="n"/>
      <c r="P538" s="31" t="n"/>
      <c r="Q538" s="31" t="n"/>
      <c r="R538" s="31" t="n"/>
      <c r="S538" s="31" t="n"/>
      <c r="T538" s="31" t="n"/>
      <c r="U538" s="31" t="n"/>
      <c r="V538" s="31" t="n"/>
      <c r="W538" s="31" t="n"/>
      <c r="X538" s="31" t="n"/>
      <c r="Y538" s="31" t="n"/>
    </row>
    <row r="539" ht="14.25" customHeight="1">
      <c r="A539" s="32" t="n"/>
      <c r="P539" s="31" t="n"/>
      <c r="Q539" s="31" t="n"/>
      <c r="R539" s="31" t="n"/>
      <c r="S539" s="31" t="n"/>
      <c r="T539" s="31" t="n"/>
      <c r="U539" s="31" t="n"/>
      <c r="V539" s="31" t="n"/>
      <c r="W539" s="31" t="n"/>
      <c r="X539" s="31" t="n"/>
      <c r="Y539" s="31" t="n"/>
    </row>
    <row r="540" ht="14.25" customHeight="1">
      <c r="A540" s="32" t="n"/>
      <c r="P540" s="31" t="n"/>
      <c r="Q540" s="31" t="n"/>
      <c r="R540" s="31" t="n"/>
      <c r="S540" s="31" t="n"/>
      <c r="T540" s="31" t="n"/>
      <c r="U540" s="31" t="n"/>
      <c r="V540" s="31" t="n"/>
      <c r="W540" s="31" t="n"/>
      <c r="X540" s="31" t="n"/>
      <c r="Y540" s="31" t="n"/>
    </row>
    <row r="541" ht="14.25" customHeight="1">
      <c r="A541" s="32" t="n"/>
      <c r="P541" s="31" t="n"/>
      <c r="Q541" s="31" t="n"/>
      <c r="R541" s="31" t="n"/>
      <c r="S541" s="31" t="n"/>
      <c r="T541" s="31" t="n"/>
      <c r="U541" s="31" t="n"/>
      <c r="V541" s="31" t="n"/>
      <c r="W541" s="31" t="n"/>
      <c r="X541" s="31" t="n"/>
      <c r="Y541" s="31" t="n"/>
    </row>
    <row r="542" ht="14.25" customHeight="1">
      <c r="A542" s="32" t="n"/>
      <c r="P542" s="31" t="n"/>
      <c r="Q542" s="31" t="n"/>
      <c r="R542" s="31" t="n"/>
      <c r="S542" s="31" t="n"/>
      <c r="T542" s="31" t="n"/>
      <c r="U542" s="31" t="n"/>
      <c r="V542" s="31" t="n"/>
      <c r="W542" s="31" t="n"/>
      <c r="X542" s="31" t="n"/>
      <c r="Y542" s="31" t="n"/>
    </row>
    <row r="543" ht="14.25" customHeight="1">
      <c r="A543" s="32" t="n"/>
      <c r="P543" s="31" t="n"/>
      <c r="Q543" s="31" t="n"/>
      <c r="R543" s="31" t="n"/>
      <c r="S543" s="31" t="n"/>
      <c r="T543" s="31" t="n"/>
      <c r="U543" s="31" t="n"/>
      <c r="V543" s="31" t="n"/>
      <c r="W543" s="31" t="n"/>
      <c r="X543" s="31" t="n"/>
      <c r="Y543" s="31" t="n"/>
    </row>
    <row r="544" ht="14.25" customHeight="1">
      <c r="A544" s="32" t="n"/>
      <c r="P544" s="31" t="n"/>
      <c r="Q544" s="31" t="n"/>
      <c r="R544" s="31" t="n"/>
      <c r="S544" s="31" t="n"/>
      <c r="T544" s="31" t="n"/>
      <c r="U544" s="31" t="n"/>
      <c r="V544" s="31" t="n"/>
      <c r="W544" s="31" t="n"/>
      <c r="X544" s="31" t="n"/>
      <c r="Y544" s="31" t="n"/>
    </row>
    <row r="545" ht="14.25" customHeight="1">
      <c r="A545" s="32" t="n"/>
      <c r="P545" s="31" t="n"/>
      <c r="Q545" s="31" t="n"/>
      <c r="R545" s="31" t="n"/>
      <c r="S545" s="31" t="n"/>
      <c r="T545" s="31" t="n"/>
      <c r="U545" s="31" t="n"/>
      <c r="V545" s="31" t="n"/>
      <c r="W545" s="31" t="n"/>
      <c r="X545" s="31" t="n"/>
      <c r="Y545" s="31" t="n"/>
    </row>
    <row r="546" ht="14.25" customHeight="1">
      <c r="A546" s="32" t="n"/>
      <c r="P546" s="31" t="n"/>
      <c r="Q546" s="31" t="n"/>
      <c r="R546" s="31" t="n"/>
      <c r="S546" s="31" t="n"/>
      <c r="T546" s="31" t="n"/>
      <c r="U546" s="31" t="n"/>
      <c r="V546" s="31" t="n"/>
      <c r="W546" s="31" t="n"/>
      <c r="X546" s="31" t="n"/>
      <c r="Y546" s="31" t="n"/>
    </row>
    <row r="547" ht="14.25" customHeight="1">
      <c r="A547" s="32" t="n"/>
      <c r="P547" s="31" t="n"/>
      <c r="Q547" s="31" t="n"/>
      <c r="R547" s="31" t="n"/>
      <c r="S547" s="31" t="n"/>
      <c r="T547" s="31" t="n"/>
      <c r="U547" s="31" t="n"/>
      <c r="V547" s="31" t="n"/>
      <c r="W547" s="31" t="n"/>
      <c r="X547" s="31" t="n"/>
      <c r="Y547" s="31" t="n"/>
    </row>
    <row r="548" ht="14.25" customHeight="1">
      <c r="A548" s="32" t="n"/>
      <c r="P548" s="31" t="n"/>
      <c r="Q548" s="31" t="n"/>
      <c r="R548" s="31" t="n"/>
      <c r="S548" s="31" t="n"/>
      <c r="T548" s="31" t="n"/>
      <c r="U548" s="31" t="n"/>
      <c r="V548" s="31" t="n"/>
      <c r="W548" s="31" t="n"/>
      <c r="X548" s="31" t="n"/>
      <c r="Y548" s="31" t="n"/>
    </row>
    <row r="549" ht="14.25" customHeight="1">
      <c r="A549" s="32" t="n"/>
      <c r="P549" s="31" t="n"/>
      <c r="Q549" s="31" t="n"/>
      <c r="R549" s="31" t="n"/>
      <c r="S549" s="31" t="n"/>
      <c r="T549" s="31" t="n"/>
      <c r="U549" s="31" t="n"/>
      <c r="V549" s="31" t="n"/>
      <c r="W549" s="31" t="n"/>
      <c r="X549" s="31" t="n"/>
      <c r="Y549" s="31" t="n"/>
    </row>
    <row r="550" ht="14.25" customHeight="1">
      <c r="A550" s="32" t="n"/>
      <c r="P550" s="31" t="n"/>
      <c r="Q550" s="31" t="n"/>
      <c r="R550" s="31" t="n"/>
      <c r="S550" s="31" t="n"/>
      <c r="T550" s="31" t="n"/>
      <c r="U550" s="31" t="n"/>
      <c r="V550" s="31" t="n"/>
      <c r="W550" s="31" t="n"/>
      <c r="X550" s="31" t="n"/>
      <c r="Y550" s="31" t="n"/>
    </row>
    <row r="551" ht="14.25" customHeight="1">
      <c r="A551" s="32" t="n"/>
      <c r="P551" s="31" t="n"/>
      <c r="Q551" s="31" t="n"/>
      <c r="R551" s="31" t="n"/>
      <c r="S551" s="31" t="n"/>
      <c r="T551" s="31" t="n"/>
      <c r="U551" s="31" t="n"/>
      <c r="V551" s="31" t="n"/>
      <c r="W551" s="31" t="n"/>
      <c r="X551" s="31" t="n"/>
      <c r="Y551" s="31" t="n"/>
    </row>
    <row r="552" ht="14.25" customHeight="1">
      <c r="A552" s="32" t="n"/>
      <c r="P552" s="31" t="n"/>
      <c r="Q552" s="31" t="n"/>
      <c r="R552" s="31" t="n"/>
      <c r="S552" s="31" t="n"/>
      <c r="T552" s="31" t="n"/>
      <c r="U552" s="31" t="n"/>
      <c r="V552" s="31" t="n"/>
      <c r="W552" s="31" t="n"/>
      <c r="X552" s="31" t="n"/>
      <c r="Y552" s="31" t="n"/>
    </row>
    <row r="553" ht="14.25" customHeight="1">
      <c r="A553" s="32" t="n"/>
      <c r="P553" s="31" t="n"/>
      <c r="Q553" s="31" t="n"/>
      <c r="R553" s="31" t="n"/>
      <c r="S553" s="31" t="n"/>
      <c r="T553" s="31" t="n"/>
      <c r="U553" s="31" t="n"/>
      <c r="V553" s="31" t="n"/>
      <c r="W553" s="31" t="n"/>
      <c r="X553" s="31" t="n"/>
      <c r="Y553" s="31" t="n"/>
    </row>
    <row r="554" ht="14.25" customHeight="1">
      <c r="A554" s="32" t="n"/>
      <c r="P554" s="31" t="n"/>
      <c r="Q554" s="31" t="n"/>
      <c r="R554" s="31" t="n"/>
      <c r="S554" s="31" t="n"/>
      <c r="T554" s="31" t="n"/>
      <c r="U554" s="31" t="n"/>
      <c r="V554" s="31" t="n"/>
      <c r="W554" s="31" t="n"/>
      <c r="X554" s="31" t="n"/>
      <c r="Y554" s="31" t="n"/>
    </row>
    <row r="555" ht="14.25" customHeight="1">
      <c r="A555" s="32" t="n"/>
      <c r="P555" s="31" t="n"/>
      <c r="Q555" s="31" t="n"/>
      <c r="R555" s="31" t="n"/>
      <c r="S555" s="31" t="n"/>
      <c r="T555" s="31" t="n"/>
      <c r="U555" s="31" t="n"/>
      <c r="V555" s="31" t="n"/>
      <c r="W555" s="31" t="n"/>
      <c r="X555" s="31" t="n"/>
      <c r="Y555" s="31" t="n"/>
    </row>
    <row r="556" ht="14.25" customHeight="1">
      <c r="A556" s="32" t="n"/>
      <c r="P556" s="31" t="n"/>
      <c r="Q556" s="31" t="n"/>
      <c r="R556" s="31" t="n"/>
      <c r="S556" s="31" t="n"/>
      <c r="T556" s="31" t="n"/>
      <c r="U556" s="31" t="n"/>
      <c r="V556" s="31" t="n"/>
      <c r="W556" s="31" t="n"/>
      <c r="X556" s="31" t="n"/>
      <c r="Y556" s="31" t="n"/>
    </row>
    <row r="557" ht="14.25" customHeight="1">
      <c r="A557" s="32" t="n"/>
      <c r="P557" s="31" t="n"/>
      <c r="Q557" s="31" t="n"/>
      <c r="R557" s="31" t="n"/>
      <c r="S557" s="31" t="n"/>
      <c r="T557" s="31" t="n"/>
      <c r="U557" s="31" t="n"/>
      <c r="V557" s="31" t="n"/>
      <c r="W557" s="31" t="n"/>
      <c r="X557" s="31" t="n"/>
      <c r="Y557" s="31" t="n"/>
    </row>
    <row r="558" ht="14.25" customHeight="1">
      <c r="A558" s="32" t="n"/>
      <c r="P558" s="31" t="n"/>
      <c r="Q558" s="31" t="n"/>
      <c r="R558" s="31" t="n"/>
      <c r="S558" s="31" t="n"/>
      <c r="T558" s="31" t="n"/>
      <c r="U558" s="31" t="n"/>
      <c r="V558" s="31" t="n"/>
      <c r="W558" s="31" t="n"/>
      <c r="X558" s="31" t="n"/>
      <c r="Y558" s="31" t="n"/>
    </row>
    <row r="559" ht="14.25" customHeight="1">
      <c r="A559" s="32" t="n"/>
      <c r="P559" s="31" t="n"/>
      <c r="Q559" s="31" t="n"/>
      <c r="R559" s="31" t="n"/>
      <c r="S559" s="31" t="n"/>
      <c r="T559" s="31" t="n"/>
      <c r="U559" s="31" t="n"/>
      <c r="V559" s="31" t="n"/>
      <c r="W559" s="31" t="n"/>
      <c r="X559" s="31" t="n"/>
      <c r="Y559" s="31" t="n"/>
    </row>
    <row r="560" ht="14.25" customHeight="1">
      <c r="A560" s="32" t="n"/>
      <c r="P560" s="31" t="n"/>
      <c r="Q560" s="31" t="n"/>
      <c r="R560" s="31" t="n"/>
      <c r="S560" s="31" t="n"/>
      <c r="T560" s="31" t="n"/>
      <c r="U560" s="31" t="n"/>
      <c r="V560" s="31" t="n"/>
      <c r="W560" s="31" t="n"/>
      <c r="X560" s="31" t="n"/>
      <c r="Y560" s="31" t="n"/>
    </row>
    <row r="561" ht="14.25" customHeight="1">
      <c r="A561" s="32" t="n"/>
      <c r="P561" s="31" t="n"/>
      <c r="Q561" s="31" t="n"/>
      <c r="R561" s="31" t="n"/>
      <c r="S561" s="31" t="n"/>
      <c r="T561" s="31" t="n"/>
      <c r="U561" s="31" t="n"/>
      <c r="V561" s="31" t="n"/>
      <c r="W561" s="31" t="n"/>
      <c r="X561" s="31" t="n"/>
      <c r="Y561" s="31" t="n"/>
    </row>
    <row r="562" ht="14.25" customHeight="1">
      <c r="A562" s="32" t="n"/>
      <c r="P562" s="31" t="n"/>
      <c r="Q562" s="31" t="n"/>
      <c r="R562" s="31" t="n"/>
      <c r="S562" s="31" t="n"/>
      <c r="T562" s="31" t="n"/>
      <c r="U562" s="31" t="n"/>
      <c r="V562" s="31" t="n"/>
      <c r="W562" s="31" t="n"/>
      <c r="X562" s="31" t="n"/>
      <c r="Y562" s="31" t="n"/>
    </row>
    <row r="563" ht="14.25" customHeight="1">
      <c r="A563" s="32" t="n"/>
      <c r="P563" s="31" t="n"/>
      <c r="Q563" s="31" t="n"/>
      <c r="R563" s="31" t="n"/>
      <c r="S563" s="31" t="n"/>
      <c r="T563" s="31" t="n"/>
      <c r="U563" s="31" t="n"/>
      <c r="V563" s="31" t="n"/>
      <c r="W563" s="31" t="n"/>
      <c r="X563" s="31" t="n"/>
      <c r="Y563" s="31" t="n"/>
    </row>
    <row r="564" ht="14.25" customHeight="1">
      <c r="A564" s="32" t="n"/>
      <c r="P564" s="31" t="n"/>
      <c r="Q564" s="31" t="n"/>
      <c r="R564" s="31" t="n"/>
      <c r="S564" s="31" t="n"/>
      <c r="T564" s="31" t="n"/>
      <c r="U564" s="31" t="n"/>
      <c r="V564" s="31" t="n"/>
      <c r="W564" s="31" t="n"/>
      <c r="X564" s="31" t="n"/>
      <c r="Y564" s="31" t="n"/>
    </row>
    <row r="565" ht="14.25" customHeight="1">
      <c r="A565" s="32" t="n"/>
      <c r="P565" s="31" t="n"/>
      <c r="Q565" s="31" t="n"/>
      <c r="R565" s="31" t="n"/>
      <c r="S565" s="31" t="n"/>
      <c r="T565" s="31" t="n"/>
      <c r="U565" s="31" t="n"/>
      <c r="V565" s="31" t="n"/>
      <c r="W565" s="31" t="n"/>
      <c r="X565" s="31" t="n"/>
      <c r="Y565" s="31" t="n"/>
    </row>
    <row r="566" ht="14.25" customHeight="1">
      <c r="A566" s="32" t="n"/>
      <c r="P566" s="31" t="n"/>
      <c r="Q566" s="31" t="n"/>
      <c r="R566" s="31" t="n"/>
      <c r="S566" s="31" t="n"/>
      <c r="T566" s="31" t="n"/>
      <c r="U566" s="31" t="n"/>
      <c r="V566" s="31" t="n"/>
      <c r="W566" s="31" t="n"/>
      <c r="X566" s="31" t="n"/>
      <c r="Y566" s="31" t="n"/>
    </row>
    <row r="567" ht="14.25" customHeight="1">
      <c r="A567" s="32" t="n"/>
      <c r="P567" s="31" t="n"/>
      <c r="Q567" s="31" t="n"/>
      <c r="R567" s="31" t="n"/>
      <c r="S567" s="31" t="n"/>
      <c r="T567" s="31" t="n"/>
      <c r="U567" s="31" t="n"/>
      <c r="V567" s="31" t="n"/>
      <c r="W567" s="31" t="n"/>
      <c r="X567" s="31" t="n"/>
      <c r="Y567" s="31" t="n"/>
    </row>
    <row r="568" ht="14.25" customHeight="1">
      <c r="A568" s="32" t="n"/>
      <c r="P568" s="31" t="n"/>
      <c r="Q568" s="31" t="n"/>
      <c r="R568" s="31" t="n"/>
      <c r="S568" s="31" t="n"/>
      <c r="T568" s="31" t="n"/>
      <c r="U568" s="31" t="n"/>
      <c r="V568" s="31" t="n"/>
      <c r="W568" s="31" t="n"/>
      <c r="X568" s="31" t="n"/>
      <c r="Y568" s="31" t="n"/>
    </row>
    <row r="569" ht="14.25" customHeight="1">
      <c r="A569" s="32" t="n"/>
      <c r="P569" s="31" t="n"/>
      <c r="Q569" s="31" t="n"/>
      <c r="R569" s="31" t="n"/>
      <c r="S569" s="31" t="n"/>
      <c r="T569" s="31" t="n"/>
      <c r="U569" s="31" t="n"/>
      <c r="V569" s="31" t="n"/>
      <c r="W569" s="31" t="n"/>
      <c r="X569" s="31" t="n"/>
      <c r="Y569" s="31" t="n"/>
    </row>
    <row r="570" ht="14.25" customHeight="1">
      <c r="A570" s="32" t="n"/>
      <c r="P570" s="31" t="n"/>
      <c r="Q570" s="31" t="n"/>
      <c r="R570" s="31" t="n"/>
      <c r="S570" s="31" t="n"/>
      <c r="T570" s="31" t="n"/>
      <c r="U570" s="31" t="n"/>
      <c r="V570" s="31" t="n"/>
      <c r="W570" s="31" t="n"/>
      <c r="X570" s="31" t="n"/>
      <c r="Y570" s="31" t="n"/>
    </row>
    <row r="571" ht="14.25" customHeight="1">
      <c r="A571" s="32" t="n"/>
      <c r="P571" s="31" t="n"/>
      <c r="Q571" s="31" t="n"/>
      <c r="R571" s="31" t="n"/>
      <c r="S571" s="31" t="n"/>
      <c r="T571" s="31" t="n"/>
      <c r="U571" s="31" t="n"/>
      <c r="V571" s="31" t="n"/>
      <c r="W571" s="31" t="n"/>
      <c r="X571" s="31" t="n"/>
      <c r="Y571" s="31" t="n"/>
    </row>
    <row r="572" ht="14.25" customHeight="1">
      <c r="A572" s="32" t="n"/>
      <c r="P572" s="31" t="n"/>
      <c r="Q572" s="31" t="n"/>
      <c r="R572" s="31" t="n"/>
      <c r="S572" s="31" t="n"/>
      <c r="T572" s="31" t="n"/>
      <c r="U572" s="31" t="n"/>
      <c r="V572" s="31" t="n"/>
      <c r="W572" s="31" t="n"/>
      <c r="X572" s="31" t="n"/>
      <c r="Y572" s="31" t="n"/>
    </row>
    <row r="573" ht="14.25" customHeight="1">
      <c r="A573" s="32" t="n"/>
      <c r="P573" s="31" t="n"/>
      <c r="Q573" s="31" t="n"/>
      <c r="R573" s="31" t="n"/>
      <c r="S573" s="31" t="n"/>
      <c r="T573" s="31" t="n"/>
      <c r="U573" s="31" t="n"/>
      <c r="V573" s="31" t="n"/>
      <c r="W573" s="31" t="n"/>
      <c r="X573" s="31" t="n"/>
      <c r="Y573" s="31" t="n"/>
    </row>
    <row r="574" ht="14.25" customHeight="1">
      <c r="A574" s="32" t="n"/>
      <c r="P574" s="31" t="n"/>
      <c r="Q574" s="31" t="n"/>
      <c r="R574" s="31" t="n"/>
      <c r="S574" s="31" t="n"/>
      <c r="T574" s="31" t="n"/>
      <c r="U574" s="31" t="n"/>
      <c r="V574" s="31" t="n"/>
      <c r="W574" s="31" t="n"/>
      <c r="X574" s="31" t="n"/>
      <c r="Y574" s="31" t="n"/>
    </row>
    <row r="575" ht="14.25" customHeight="1">
      <c r="A575" s="32" t="n"/>
      <c r="P575" s="31" t="n"/>
      <c r="Q575" s="31" t="n"/>
      <c r="R575" s="31" t="n"/>
      <c r="S575" s="31" t="n"/>
      <c r="T575" s="31" t="n"/>
      <c r="U575" s="31" t="n"/>
      <c r="V575" s="31" t="n"/>
      <c r="W575" s="31" t="n"/>
      <c r="X575" s="31" t="n"/>
      <c r="Y575" s="31" t="n"/>
    </row>
    <row r="576" ht="14.25" customHeight="1">
      <c r="A576" s="32" t="n"/>
      <c r="P576" s="31" t="n"/>
      <c r="Q576" s="31" t="n"/>
      <c r="R576" s="31" t="n"/>
      <c r="S576" s="31" t="n"/>
      <c r="T576" s="31" t="n"/>
      <c r="U576" s="31" t="n"/>
      <c r="V576" s="31" t="n"/>
      <c r="W576" s="31" t="n"/>
      <c r="X576" s="31" t="n"/>
      <c r="Y576" s="31" t="n"/>
    </row>
    <row r="577" ht="14.25" customHeight="1">
      <c r="A577" s="32" t="n"/>
      <c r="P577" s="31" t="n"/>
      <c r="Q577" s="31" t="n"/>
      <c r="R577" s="31" t="n"/>
      <c r="S577" s="31" t="n"/>
      <c r="T577" s="31" t="n"/>
      <c r="U577" s="31" t="n"/>
      <c r="V577" s="31" t="n"/>
      <c r="W577" s="31" t="n"/>
      <c r="X577" s="31" t="n"/>
      <c r="Y577" s="31" t="n"/>
    </row>
    <row r="578" ht="14.25" customHeight="1">
      <c r="A578" s="32" t="n"/>
      <c r="P578" s="31" t="n"/>
      <c r="Q578" s="31" t="n"/>
      <c r="R578" s="31" t="n"/>
      <c r="S578" s="31" t="n"/>
      <c r="T578" s="31" t="n"/>
      <c r="U578" s="31" t="n"/>
      <c r="V578" s="31" t="n"/>
      <c r="W578" s="31" t="n"/>
      <c r="X578" s="31" t="n"/>
      <c r="Y578" s="31" t="n"/>
    </row>
    <row r="579" ht="14.25" customHeight="1">
      <c r="A579" s="32" t="n"/>
      <c r="P579" s="31" t="n"/>
      <c r="Q579" s="31" t="n"/>
      <c r="R579" s="31" t="n"/>
      <c r="S579" s="31" t="n"/>
      <c r="T579" s="31" t="n"/>
      <c r="U579" s="31" t="n"/>
      <c r="V579" s="31" t="n"/>
      <c r="W579" s="31" t="n"/>
      <c r="X579" s="31" t="n"/>
      <c r="Y579" s="31" t="n"/>
    </row>
    <row r="580" ht="14.25" customHeight="1">
      <c r="A580" s="32" t="n"/>
      <c r="P580" s="31" t="n"/>
      <c r="Q580" s="31" t="n"/>
      <c r="R580" s="31" t="n"/>
      <c r="S580" s="31" t="n"/>
      <c r="T580" s="31" t="n"/>
      <c r="U580" s="31" t="n"/>
      <c r="V580" s="31" t="n"/>
      <c r="W580" s="31" t="n"/>
      <c r="X580" s="31" t="n"/>
      <c r="Y580" s="31" t="n"/>
    </row>
    <row r="581" ht="14.25" customHeight="1">
      <c r="A581" s="32" t="n"/>
      <c r="P581" s="31" t="n"/>
      <c r="Q581" s="31" t="n"/>
      <c r="R581" s="31" t="n"/>
      <c r="S581" s="31" t="n"/>
      <c r="T581" s="31" t="n"/>
      <c r="U581" s="31" t="n"/>
      <c r="V581" s="31" t="n"/>
      <c r="W581" s="31" t="n"/>
      <c r="X581" s="31" t="n"/>
      <c r="Y581" s="31" t="n"/>
    </row>
    <row r="582" ht="14.25" customHeight="1">
      <c r="A582" s="32" t="n"/>
      <c r="P582" s="31" t="n"/>
      <c r="Q582" s="31" t="n"/>
      <c r="R582" s="31" t="n"/>
      <c r="S582" s="31" t="n"/>
      <c r="T582" s="31" t="n"/>
      <c r="U582" s="31" t="n"/>
      <c r="V582" s="31" t="n"/>
      <c r="W582" s="31" t="n"/>
      <c r="X582" s="31" t="n"/>
      <c r="Y582" s="31" t="n"/>
    </row>
    <row r="583" ht="14.25" customHeight="1">
      <c r="A583" s="32" t="n"/>
      <c r="P583" s="31" t="n"/>
      <c r="Q583" s="31" t="n"/>
      <c r="R583" s="31" t="n"/>
      <c r="S583" s="31" t="n"/>
      <c r="T583" s="31" t="n"/>
      <c r="U583" s="31" t="n"/>
      <c r="V583" s="31" t="n"/>
      <c r="W583" s="31" t="n"/>
      <c r="X583" s="31" t="n"/>
      <c r="Y583" s="31" t="n"/>
    </row>
    <row r="584" ht="14.25" customHeight="1">
      <c r="A584" s="32" t="n"/>
      <c r="P584" s="31" t="n"/>
      <c r="Q584" s="31" t="n"/>
      <c r="R584" s="31" t="n"/>
      <c r="S584" s="31" t="n"/>
      <c r="T584" s="31" t="n"/>
      <c r="U584" s="31" t="n"/>
      <c r="V584" s="31" t="n"/>
      <c r="W584" s="31" t="n"/>
      <c r="X584" s="31" t="n"/>
      <c r="Y584" s="31" t="n"/>
    </row>
    <row r="585" ht="14.25" customHeight="1">
      <c r="A585" s="32" t="n"/>
      <c r="P585" s="31" t="n"/>
      <c r="Q585" s="31" t="n"/>
      <c r="R585" s="31" t="n"/>
      <c r="S585" s="31" t="n"/>
      <c r="T585" s="31" t="n"/>
      <c r="U585" s="31" t="n"/>
      <c r="V585" s="31" t="n"/>
      <c r="W585" s="31" t="n"/>
      <c r="X585" s="31" t="n"/>
      <c r="Y585" s="31" t="n"/>
    </row>
    <row r="586" ht="14.25" customHeight="1">
      <c r="A586" s="32" t="n"/>
      <c r="P586" s="31" t="n"/>
      <c r="Q586" s="31" t="n"/>
      <c r="R586" s="31" t="n"/>
      <c r="S586" s="31" t="n"/>
      <c r="T586" s="31" t="n"/>
      <c r="U586" s="31" t="n"/>
      <c r="V586" s="31" t="n"/>
      <c r="W586" s="31" t="n"/>
      <c r="X586" s="31" t="n"/>
      <c r="Y586" s="31" t="n"/>
    </row>
    <row r="587" ht="14.25" customHeight="1">
      <c r="A587" s="32" t="n"/>
      <c r="P587" s="31" t="n"/>
      <c r="Q587" s="31" t="n"/>
      <c r="R587" s="31" t="n"/>
      <c r="S587" s="31" t="n"/>
      <c r="T587" s="31" t="n"/>
      <c r="U587" s="31" t="n"/>
      <c r="V587" s="31" t="n"/>
      <c r="W587" s="31" t="n"/>
      <c r="X587" s="31" t="n"/>
      <c r="Y587" s="31" t="n"/>
    </row>
    <row r="588" ht="14.25" customHeight="1">
      <c r="A588" s="32" t="n"/>
      <c r="P588" s="31" t="n"/>
      <c r="Q588" s="31" t="n"/>
      <c r="R588" s="31" t="n"/>
      <c r="S588" s="31" t="n"/>
      <c r="T588" s="31" t="n"/>
      <c r="U588" s="31" t="n"/>
      <c r="V588" s="31" t="n"/>
      <c r="W588" s="31" t="n"/>
      <c r="X588" s="31" t="n"/>
      <c r="Y588" s="31" t="n"/>
    </row>
    <row r="589" ht="14.25" customHeight="1">
      <c r="A589" s="32" t="n"/>
      <c r="P589" s="31" t="n"/>
      <c r="Q589" s="31" t="n"/>
      <c r="R589" s="31" t="n"/>
      <c r="S589" s="31" t="n"/>
      <c r="T589" s="31" t="n"/>
      <c r="U589" s="31" t="n"/>
      <c r="V589" s="31" t="n"/>
      <c r="W589" s="31" t="n"/>
      <c r="X589" s="31" t="n"/>
      <c r="Y589" s="31" t="n"/>
    </row>
    <row r="590" ht="14.25" customHeight="1">
      <c r="A590" s="32" t="n"/>
      <c r="P590" s="31" t="n"/>
      <c r="Q590" s="31" t="n"/>
      <c r="R590" s="31" t="n"/>
      <c r="S590" s="31" t="n"/>
      <c r="T590" s="31" t="n"/>
      <c r="U590" s="31" t="n"/>
      <c r="V590" s="31" t="n"/>
      <c r="W590" s="31" t="n"/>
      <c r="X590" s="31" t="n"/>
      <c r="Y590" s="31" t="n"/>
    </row>
    <row r="591" ht="14.25" customHeight="1">
      <c r="A591" s="32" t="n"/>
      <c r="P591" s="31" t="n"/>
      <c r="Q591" s="31" t="n"/>
      <c r="R591" s="31" t="n"/>
      <c r="S591" s="31" t="n"/>
      <c r="T591" s="31" t="n"/>
      <c r="U591" s="31" t="n"/>
      <c r="V591" s="31" t="n"/>
      <c r="W591" s="31" t="n"/>
      <c r="X591" s="31" t="n"/>
      <c r="Y591" s="31" t="n"/>
    </row>
    <row r="592" ht="14.25" customHeight="1">
      <c r="A592" s="32" t="n"/>
      <c r="P592" s="31" t="n"/>
      <c r="Q592" s="31" t="n"/>
      <c r="R592" s="31" t="n"/>
      <c r="S592" s="31" t="n"/>
      <c r="T592" s="31" t="n"/>
      <c r="U592" s="31" t="n"/>
      <c r="V592" s="31" t="n"/>
      <c r="W592" s="31" t="n"/>
      <c r="X592" s="31" t="n"/>
      <c r="Y592" s="31" t="n"/>
    </row>
    <row r="593" ht="14.25" customHeight="1">
      <c r="A593" s="32" t="n"/>
      <c r="P593" s="31" t="n"/>
      <c r="Q593" s="31" t="n"/>
      <c r="R593" s="31" t="n"/>
      <c r="S593" s="31" t="n"/>
      <c r="T593" s="31" t="n"/>
      <c r="U593" s="31" t="n"/>
      <c r="V593" s="31" t="n"/>
      <c r="W593" s="31" t="n"/>
      <c r="X593" s="31" t="n"/>
      <c r="Y593" s="31" t="n"/>
    </row>
    <row r="594" ht="14.25" customHeight="1">
      <c r="A594" s="32" t="n"/>
      <c r="P594" s="31" t="n"/>
      <c r="Q594" s="31" t="n"/>
      <c r="R594" s="31" t="n"/>
      <c r="S594" s="31" t="n"/>
      <c r="T594" s="31" t="n"/>
      <c r="U594" s="31" t="n"/>
      <c r="V594" s="31" t="n"/>
      <c r="W594" s="31" t="n"/>
      <c r="X594" s="31" t="n"/>
      <c r="Y594" s="31" t="n"/>
    </row>
    <row r="595" ht="14.25" customHeight="1">
      <c r="A595" s="32" t="n"/>
      <c r="P595" s="31" t="n"/>
      <c r="Q595" s="31" t="n"/>
      <c r="R595" s="31" t="n"/>
      <c r="S595" s="31" t="n"/>
      <c r="T595" s="31" t="n"/>
      <c r="U595" s="31" t="n"/>
      <c r="V595" s="31" t="n"/>
      <c r="W595" s="31" t="n"/>
      <c r="X595" s="31" t="n"/>
      <c r="Y595" s="31" t="n"/>
    </row>
    <row r="596" ht="14.25" customHeight="1">
      <c r="A596" s="32" t="n"/>
      <c r="P596" s="31" t="n"/>
      <c r="Q596" s="31" t="n"/>
      <c r="R596" s="31" t="n"/>
      <c r="S596" s="31" t="n"/>
      <c r="T596" s="31" t="n"/>
      <c r="U596" s="31" t="n"/>
      <c r="V596" s="31" t="n"/>
      <c r="W596" s="31" t="n"/>
      <c r="X596" s="31" t="n"/>
      <c r="Y596" s="31" t="n"/>
    </row>
    <row r="597" ht="14.25" customHeight="1">
      <c r="A597" s="32" t="n"/>
      <c r="P597" s="31" t="n"/>
      <c r="Q597" s="31" t="n"/>
      <c r="R597" s="31" t="n"/>
      <c r="S597" s="31" t="n"/>
      <c r="T597" s="31" t="n"/>
      <c r="U597" s="31" t="n"/>
      <c r="V597" s="31" t="n"/>
      <c r="W597" s="31" t="n"/>
      <c r="X597" s="31" t="n"/>
      <c r="Y597" s="31" t="n"/>
    </row>
    <row r="598" ht="14.25" customHeight="1">
      <c r="A598" s="32" t="n"/>
      <c r="P598" s="31" t="n"/>
      <c r="Q598" s="31" t="n"/>
      <c r="R598" s="31" t="n"/>
      <c r="S598" s="31" t="n"/>
      <c r="T598" s="31" t="n"/>
      <c r="U598" s="31" t="n"/>
      <c r="V598" s="31" t="n"/>
      <c r="W598" s="31" t="n"/>
      <c r="X598" s="31" t="n"/>
      <c r="Y598" s="31" t="n"/>
    </row>
    <row r="599" ht="14.25" customHeight="1">
      <c r="A599" s="32" t="n"/>
      <c r="P599" s="31" t="n"/>
      <c r="Q599" s="31" t="n"/>
      <c r="R599" s="31" t="n"/>
      <c r="S599" s="31" t="n"/>
      <c r="T599" s="31" t="n"/>
      <c r="U599" s="31" t="n"/>
      <c r="V599" s="31" t="n"/>
      <c r="W599" s="31" t="n"/>
      <c r="X599" s="31" t="n"/>
      <c r="Y599" s="31" t="n"/>
    </row>
    <row r="600" ht="14.25" customHeight="1">
      <c r="A600" s="32" t="n"/>
      <c r="P600" s="31" t="n"/>
      <c r="Q600" s="31" t="n"/>
      <c r="R600" s="31" t="n"/>
      <c r="S600" s="31" t="n"/>
      <c r="T600" s="31" t="n"/>
      <c r="U600" s="31" t="n"/>
      <c r="V600" s="31" t="n"/>
      <c r="W600" s="31" t="n"/>
      <c r="X600" s="31" t="n"/>
      <c r="Y600" s="31" t="n"/>
    </row>
    <row r="601" ht="14.25" customHeight="1">
      <c r="A601" s="32" t="n"/>
      <c r="P601" s="31" t="n"/>
      <c r="Q601" s="31" t="n"/>
      <c r="R601" s="31" t="n"/>
      <c r="S601" s="31" t="n"/>
      <c r="T601" s="31" t="n"/>
      <c r="U601" s="31" t="n"/>
      <c r="V601" s="31" t="n"/>
      <c r="W601" s="31" t="n"/>
      <c r="X601" s="31" t="n"/>
      <c r="Y601" s="31" t="n"/>
    </row>
    <row r="602" ht="14.25" customHeight="1">
      <c r="A602" s="32" t="n"/>
      <c r="P602" s="31" t="n"/>
      <c r="Q602" s="31" t="n"/>
      <c r="R602" s="31" t="n"/>
      <c r="S602" s="31" t="n"/>
      <c r="T602" s="31" t="n"/>
      <c r="U602" s="31" t="n"/>
      <c r="V602" s="31" t="n"/>
      <c r="W602" s="31" t="n"/>
      <c r="X602" s="31" t="n"/>
      <c r="Y602" s="31" t="n"/>
    </row>
    <row r="603" ht="14.25" customHeight="1">
      <c r="A603" s="32" t="n"/>
      <c r="P603" s="31" t="n"/>
      <c r="Q603" s="31" t="n"/>
      <c r="R603" s="31" t="n"/>
      <c r="S603" s="31" t="n"/>
      <c r="T603" s="31" t="n"/>
      <c r="U603" s="31" t="n"/>
      <c r="V603" s="31" t="n"/>
      <c r="W603" s="31" t="n"/>
      <c r="X603" s="31" t="n"/>
      <c r="Y603" s="31" t="n"/>
    </row>
    <row r="604" ht="14.25" customHeight="1">
      <c r="A604" s="32" t="n"/>
      <c r="P604" s="31" t="n"/>
      <c r="Q604" s="31" t="n"/>
      <c r="R604" s="31" t="n"/>
      <c r="S604" s="31" t="n"/>
      <c r="T604" s="31" t="n"/>
      <c r="U604" s="31" t="n"/>
      <c r="V604" s="31" t="n"/>
      <c r="W604" s="31" t="n"/>
      <c r="X604" s="31" t="n"/>
      <c r="Y604" s="31" t="n"/>
    </row>
    <row r="605" ht="14.25" customHeight="1">
      <c r="A605" s="32" t="n"/>
      <c r="P605" s="31" t="n"/>
      <c r="Q605" s="31" t="n"/>
      <c r="R605" s="31" t="n"/>
      <c r="S605" s="31" t="n"/>
      <c r="T605" s="31" t="n"/>
      <c r="U605" s="31" t="n"/>
      <c r="V605" s="31" t="n"/>
      <c r="W605" s="31" t="n"/>
      <c r="X605" s="31" t="n"/>
      <c r="Y605" s="31" t="n"/>
    </row>
    <row r="606" ht="14.25" customHeight="1">
      <c r="A606" s="32" t="n"/>
      <c r="P606" s="31" t="n"/>
      <c r="Q606" s="31" t="n"/>
      <c r="R606" s="31" t="n"/>
      <c r="S606" s="31" t="n"/>
      <c r="T606" s="31" t="n"/>
      <c r="U606" s="31" t="n"/>
      <c r="V606" s="31" t="n"/>
      <c r="W606" s="31" t="n"/>
      <c r="X606" s="31" t="n"/>
      <c r="Y606" s="31" t="n"/>
    </row>
    <row r="607" ht="14.25" customHeight="1">
      <c r="A607" s="32" t="n"/>
      <c r="P607" s="31" t="n"/>
      <c r="Q607" s="31" t="n"/>
      <c r="R607" s="31" t="n"/>
      <c r="S607" s="31" t="n"/>
      <c r="T607" s="31" t="n"/>
      <c r="U607" s="31" t="n"/>
      <c r="V607" s="31" t="n"/>
      <c r="W607" s="31" t="n"/>
      <c r="X607" s="31" t="n"/>
      <c r="Y607" s="31" t="n"/>
    </row>
    <row r="608" ht="14.25" customHeight="1">
      <c r="A608" s="32" t="n"/>
      <c r="P608" s="31" t="n"/>
      <c r="Q608" s="31" t="n"/>
      <c r="R608" s="31" t="n"/>
      <c r="S608" s="31" t="n"/>
      <c r="T608" s="31" t="n"/>
      <c r="U608" s="31" t="n"/>
      <c r="V608" s="31" t="n"/>
      <c r="W608" s="31" t="n"/>
      <c r="X608" s="31" t="n"/>
      <c r="Y608" s="31" t="n"/>
    </row>
    <row r="609" ht="14.25" customHeight="1">
      <c r="A609" s="32" t="n"/>
      <c r="P609" s="31" t="n"/>
      <c r="Q609" s="31" t="n"/>
      <c r="R609" s="31" t="n"/>
      <c r="S609" s="31" t="n"/>
      <c r="T609" s="31" t="n"/>
      <c r="U609" s="31" t="n"/>
      <c r="V609" s="31" t="n"/>
      <c r="W609" s="31" t="n"/>
      <c r="X609" s="31" t="n"/>
      <c r="Y609" s="31" t="n"/>
    </row>
    <row r="610" ht="14.25" customHeight="1">
      <c r="A610" s="32" t="n"/>
      <c r="P610" s="31" t="n"/>
      <c r="Q610" s="31" t="n"/>
      <c r="R610" s="31" t="n"/>
      <c r="S610" s="31" t="n"/>
      <c r="T610" s="31" t="n"/>
      <c r="U610" s="31" t="n"/>
      <c r="V610" s="31" t="n"/>
      <c r="W610" s="31" t="n"/>
      <c r="X610" s="31" t="n"/>
      <c r="Y610" s="31" t="n"/>
    </row>
    <row r="611" ht="14.25" customHeight="1">
      <c r="A611" s="32" t="n"/>
      <c r="P611" s="31" t="n"/>
      <c r="Q611" s="31" t="n"/>
      <c r="R611" s="31" t="n"/>
      <c r="S611" s="31" t="n"/>
      <c r="T611" s="31" t="n"/>
      <c r="U611" s="31" t="n"/>
      <c r="V611" s="31" t="n"/>
      <c r="W611" s="31" t="n"/>
      <c r="X611" s="31" t="n"/>
      <c r="Y611" s="31" t="n"/>
    </row>
    <row r="612" ht="14.25" customHeight="1">
      <c r="A612" s="32" t="n"/>
      <c r="P612" s="31" t="n"/>
      <c r="Q612" s="31" t="n"/>
      <c r="R612" s="31" t="n"/>
      <c r="S612" s="31" t="n"/>
      <c r="T612" s="31" t="n"/>
      <c r="U612" s="31" t="n"/>
      <c r="V612" s="31" t="n"/>
      <c r="W612" s="31" t="n"/>
      <c r="X612" s="31" t="n"/>
      <c r="Y612" s="31" t="n"/>
    </row>
    <row r="613" ht="14.25" customHeight="1">
      <c r="A613" s="32" t="n"/>
      <c r="P613" s="31" t="n"/>
      <c r="Q613" s="31" t="n"/>
      <c r="R613" s="31" t="n"/>
      <c r="S613" s="31" t="n"/>
      <c r="T613" s="31" t="n"/>
      <c r="U613" s="31" t="n"/>
      <c r="V613" s="31" t="n"/>
      <c r="W613" s="31" t="n"/>
      <c r="X613" s="31" t="n"/>
      <c r="Y613" s="31" t="n"/>
    </row>
    <row r="614" ht="14.25" customHeight="1">
      <c r="A614" s="32" t="n"/>
      <c r="P614" s="31" t="n"/>
      <c r="Q614" s="31" t="n"/>
      <c r="R614" s="31" t="n"/>
      <c r="S614" s="31" t="n"/>
      <c r="T614" s="31" t="n"/>
      <c r="U614" s="31" t="n"/>
      <c r="V614" s="31" t="n"/>
      <c r="W614" s="31" t="n"/>
      <c r="X614" s="31" t="n"/>
      <c r="Y614" s="31" t="n"/>
    </row>
    <row r="615" ht="14.25" customHeight="1">
      <c r="A615" s="32" t="n"/>
      <c r="P615" s="31" t="n"/>
      <c r="Q615" s="31" t="n"/>
      <c r="R615" s="31" t="n"/>
      <c r="S615" s="31" t="n"/>
      <c r="T615" s="31" t="n"/>
      <c r="U615" s="31" t="n"/>
      <c r="V615" s="31" t="n"/>
      <c r="W615" s="31" t="n"/>
      <c r="X615" s="31" t="n"/>
      <c r="Y615" s="31" t="n"/>
    </row>
    <row r="616" ht="14.25" customHeight="1">
      <c r="A616" s="32" t="n"/>
      <c r="P616" s="31" t="n"/>
      <c r="Q616" s="31" t="n"/>
      <c r="R616" s="31" t="n"/>
      <c r="S616" s="31" t="n"/>
      <c r="T616" s="31" t="n"/>
      <c r="U616" s="31" t="n"/>
      <c r="V616" s="31" t="n"/>
      <c r="W616" s="31" t="n"/>
      <c r="X616" s="31" t="n"/>
      <c r="Y616" s="31" t="n"/>
    </row>
    <row r="617" ht="14.25" customHeight="1">
      <c r="A617" s="32" t="n"/>
      <c r="P617" s="31" t="n"/>
      <c r="Q617" s="31" t="n"/>
      <c r="R617" s="31" t="n"/>
      <c r="S617" s="31" t="n"/>
      <c r="T617" s="31" t="n"/>
      <c r="U617" s="31" t="n"/>
      <c r="V617" s="31" t="n"/>
      <c r="W617" s="31" t="n"/>
      <c r="X617" s="31" t="n"/>
      <c r="Y617" s="31" t="n"/>
    </row>
    <row r="618" ht="14.25" customHeight="1">
      <c r="A618" s="32" t="n"/>
      <c r="P618" s="31" t="n"/>
      <c r="Q618" s="31" t="n"/>
      <c r="R618" s="31" t="n"/>
      <c r="S618" s="31" t="n"/>
      <c r="T618" s="31" t="n"/>
      <c r="U618" s="31" t="n"/>
      <c r="V618" s="31" t="n"/>
      <c r="W618" s="31" t="n"/>
      <c r="X618" s="31" t="n"/>
      <c r="Y618" s="31" t="n"/>
    </row>
    <row r="619" ht="14.25" customHeight="1">
      <c r="A619" s="32" t="n"/>
      <c r="P619" s="31" t="n"/>
      <c r="Q619" s="31" t="n"/>
      <c r="R619" s="31" t="n"/>
      <c r="S619" s="31" t="n"/>
      <c r="T619" s="31" t="n"/>
      <c r="U619" s="31" t="n"/>
      <c r="V619" s="31" t="n"/>
      <c r="W619" s="31" t="n"/>
      <c r="X619" s="31" t="n"/>
      <c r="Y619" s="31" t="n"/>
    </row>
    <row r="620" ht="14.25" customHeight="1">
      <c r="A620" s="32" t="n"/>
      <c r="P620" s="31" t="n"/>
      <c r="Q620" s="31" t="n"/>
      <c r="R620" s="31" t="n"/>
      <c r="S620" s="31" t="n"/>
      <c r="T620" s="31" t="n"/>
      <c r="U620" s="31" t="n"/>
      <c r="V620" s="31" t="n"/>
      <c r="W620" s="31" t="n"/>
      <c r="X620" s="31" t="n"/>
      <c r="Y620" s="31" t="n"/>
    </row>
    <row r="621" ht="14.25" customHeight="1">
      <c r="A621" s="32" t="n"/>
      <c r="P621" s="31" t="n"/>
      <c r="Q621" s="31" t="n"/>
      <c r="R621" s="31" t="n"/>
      <c r="S621" s="31" t="n"/>
      <c r="T621" s="31" t="n"/>
      <c r="U621" s="31" t="n"/>
      <c r="V621" s="31" t="n"/>
      <c r="W621" s="31" t="n"/>
      <c r="X621" s="31" t="n"/>
      <c r="Y621" s="31" t="n"/>
    </row>
    <row r="622" ht="14.25" customHeight="1">
      <c r="A622" s="32" t="n"/>
      <c r="P622" s="31" t="n"/>
      <c r="Q622" s="31" t="n"/>
      <c r="R622" s="31" t="n"/>
      <c r="S622" s="31" t="n"/>
      <c r="T622" s="31" t="n"/>
      <c r="U622" s="31" t="n"/>
      <c r="V622" s="31" t="n"/>
      <c r="W622" s="31" t="n"/>
      <c r="X622" s="31" t="n"/>
      <c r="Y622" s="31" t="n"/>
    </row>
    <row r="623" ht="14.25" customHeight="1">
      <c r="A623" s="32" t="n"/>
      <c r="P623" s="31" t="n"/>
      <c r="Q623" s="31" t="n"/>
      <c r="R623" s="31" t="n"/>
      <c r="S623" s="31" t="n"/>
      <c r="T623" s="31" t="n"/>
      <c r="U623" s="31" t="n"/>
      <c r="V623" s="31" t="n"/>
      <c r="W623" s="31" t="n"/>
      <c r="X623" s="31" t="n"/>
      <c r="Y623" s="31" t="n"/>
    </row>
    <row r="624" ht="14.25" customHeight="1">
      <c r="A624" s="32" t="n"/>
      <c r="P624" s="31" t="n"/>
      <c r="Q624" s="31" t="n"/>
      <c r="R624" s="31" t="n"/>
      <c r="S624" s="31" t="n"/>
      <c r="T624" s="31" t="n"/>
      <c r="U624" s="31" t="n"/>
      <c r="V624" s="31" t="n"/>
      <c r="W624" s="31" t="n"/>
      <c r="X624" s="31" t="n"/>
      <c r="Y624" s="31" t="n"/>
    </row>
    <row r="625" ht="14.25" customHeight="1">
      <c r="A625" s="32" t="n"/>
      <c r="P625" s="31" t="n"/>
      <c r="Q625" s="31" t="n"/>
      <c r="R625" s="31" t="n"/>
      <c r="S625" s="31" t="n"/>
      <c r="T625" s="31" t="n"/>
      <c r="U625" s="31" t="n"/>
      <c r="V625" s="31" t="n"/>
      <c r="W625" s="31" t="n"/>
      <c r="X625" s="31" t="n"/>
      <c r="Y625" s="31" t="n"/>
    </row>
    <row r="626" ht="14.25" customHeight="1">
      <c r="A626" s="32" t="n"/>
      <c r="P626" s="31" t="n"/>
      <c r="Q626" s="31" t="n"/>
      <c r="R626" s="31" t="n"/>
      <c r="S626" s="31" t="n"/>
      <c r="T626" s="31" t="n"/>
      <c r="U626" s="31" t="n"/>
      <c r="V626" s="31" t="n"/>
      <c r="W626" s="31" t="n"/>
      <c r="X626" s="31" t="n"/>
      <c r="Y626" s="31" t="n"/>
    </row>
    <row r="627" ht="14.25" customHeight="1">
      <c r="A627" s="32" t="n"/>
      <c r="P627" s="31" t="n"/>
      <c r="Q627" s="31" t="n"/>
      <c r="R627" s="31" t="n"/>
      <c r="S627" s="31" t="n"/>
      <c r="T627" s="31" t="n"/>
      <c r="U627" s="31" t="n"/>
      <c r="V627" s="31" t="n"/>
      <c r="W627" s="31" t="n"/>
      <c r="X627" s="31" t="n"/>
      <c r="Y627" s="31" t="n"/>
    </row>
    <row r="628" ht="14.25" customHeight="1">
      <c r="A628" s="32" t="n"/>
      <c r="P628" s="31" t="n"/>
      <c r="Q628" s="31" t="n"/>
      <c r="R628" s="31" t="n"/>
      <c r="S628" s="31" t="n"/>
      <c r="T628" s="31" t="n"/>
      <c r="U628" s="31" t="n"/>
      <c r="V628" s="31" t="n"/>
      <c r="W628" s="31" t="n"/>
      <c r="X628" s="31" t="n"/>
      <c r="Y628" s="31" t="n"/>
    </row>
    <row r="629" ht="14.25" customHeight="1">
      <c r="A629" s="32" t="n"/>
      <c r="P629" s="31" t="n"/>
      <c r="Q629" s="31" t="n"/>
      <c r="R629" s="31" t="n"/>
      <c r="S629" s="31" t="n"/>
      <c r="T629" s="31" t="n"/>
      <c r="U629" s="31" t="n"/>
      <c r="V629" s="31" t="n"/>
      <c r="W629" s="31" t="n"/>
      <c r="X629" s="31" t="n"/>
      <c r="Y629" s="31" t="n"/>
    </row>
    <row r="630" ht="14.25" customHeight="1">
      <c r="A630" s="32" t="n"/>
      <c r="P630" s="31" t="n"/>
      <c r="Q630" s="31" t="n"/>
      <c r="R630" s="31" t="n"/>
      <c r="S630" s="31" t="n"/>
      <c r="T630" s="31" t="n"/>
      <c r="U630" s="31" t="n"/>
      <c r="V630" s="31" t="n"/>
      <c r="W630" s="31" t="n"/>
      <c r="X630" s="31" t="n"/>
      <c r="Y630" s="31" t="n"/>
    </row>
    <row r="631" ht="14.25" customHeight="1">
      <c r="A631" s="32" t="n"/>
      <c r="P631" s="31" t="n"/>
      <c r="Q631" s="31" t="n"/>
      <c r="R631" s="31" t="n"/>
      <c r="S631" s="31" t="n"/>
      <c r="T631" s="31" t="n"/>
      <c r="U631" s="31" t="n"/>
      <c r="V631" s="31" t="n"/>
      <c r="W631" s="31" t="n"/>
      <c r="X631" s="31" t="n"/>
      <c r="Y631" s="31" t="n"/>
    </row>
    <row r="632" ht="14.25" customHeight="1">
      <c r="A632" s="32" t="n"/>
      <c r="P632" s="31" t="n"/>
      <c r="Q632" s="31" t="n"/>
      <c r="R632" s="31" t="n"/>
      <c r="S632" s="31" t="n"/>
      <c r="T632" s="31" t="n"/>
      <c r="U632" s="31" t="n"/>
      <c r="V632" s="31" t="n"/>
      <c r="W632" s="31" t="n"/>
      <c r="X632" s="31" t="n"/>
      <c r="Y632" s="31" t="n"/>
    </row>
    <row r="633" ht="14.25" customHeight="1">
      <c r="A633" s="32" t="n"/>
      <c r="P633" s="31" t="n"/>
      <c r="Q633" s="31" t="n"/>
      <c r="R633" s="31" t="n"/>
      <c r="S633" s="31" t="n"/>
      <c r="T633" s="31" t="n"/>
      <c r="U633" s="31" t="n"/>
      <c r="V633" s="31" t="n"/>
      <c r="W633" s="31" t="n"/>
      <c r="X633" s="31" t="n"/>
      <c r="Y633" s="31" t="n"/>
    </row>
    <row r="634" ht="14.25" customHeight="1">
      <c r="A634" s="32" t="n"/>
      <c r="P634" s="31" t="n"/>
      <c r="Q634" s="31" t="n"/>
      <c r="R634" s="31" t="n"/>
      <c r="S634" s="31" t="n"/>
      <c r="T634" s="31" t="n"/>
      <c r="U634" s="31" t="n"/>
      <c r="V634" s="31" t="n"/>
      <c r="W634" s="31" t="n"/>
      <c r="X634" s="31" t="n"/>
      <c r="Y634" s="31" t="n"/>
    </row>
    <row r="635" ht="14.25" customHeight="1">
      <c r="A635" s="32" t="n"/>
      <c r="P635" s="31" t="n"/>
      <c r="Q635" s="31" t="n"/>
      <c r="R635" s="31" t="n"/>
      <c r="S635" s="31" t="n"/>
      <c r="T635" s="31" t="n"/>
      <c r="U635" s="31" t="n"/>
      <c r="V635" s="31" t="n"/>
      <c r="W635" s="31" t="n"/>
      <c r="X635" s="31" t="n"/>
      <c r="Y635" s="31" t="n"/>
    </row>
    <row r="636" ht="14.25" customHeight="1">
      <c r="A636" s="32" t="n"/>
      <c r="P636" s="31" t="n"/>
      <c r="Q636" s="31" t="n"/>
      <c r="R636" s="31" t="n"/>
      <c r="S636" s="31" t="n"/>
      <c r="T636" s="31" t="n"/>
      <c r="U636" s="31" t="n"/>
      <c r="V636" s="31" t="n"/>
      <c r="W636" s="31" t="n"/>
      <c r="X636" s="31" t="n"/>
      <c r="Y636" s="31" t="n"/>
    </row>
    <row r="637" ht="14.25" customHeight="1">
      <c r="A637" s="32" t="n"/>
      <c r="P637" s="31" t="n"/>
      <c r="Q637" s="31" t="n"/>
      <c r="R637" s="31" t="n"/>
      <c r="S637" s="31" t="n"/>
      <c r="T637" s="31" t="n"/>
      <c r="U637" s="31" t="n"/>
      <c r="V637" s="31" t="n"/>
      <c r="W637" s="31" t="n"/>
      <c r="X637" s="31" t="n"/>
      <c r="Y637" s="31" t="n"/>
    </row>
    <row r="638" ht="14.25" customHeight="1">
      <c r="A638" s="32" t="n"/>
      <c r="P638" s="31" t="n"/>
      <c r="Q638" s="31" t="n"/>
      <c r="R638" s="31" t="n"/>
      <c r="S638" s="31" t="n"/>
      <c r="T638" s="31" t="n"/>
      <c r="U638" s="31" t="n"/>
      <c r="V638" s="31" t="n"/>
      <c r="W638" s="31" t="n"/>
      <c r="X638" s="31" t="n"/>
      <c r="Y638" s="31" t="n"/>
    </row>
    <row r="639" ht="14.25" customHeight="1">
      <c r="A639" s="32" t="n"/>
      <c r="P639" s="31" t="n"/>
      <c r="Q639" s="31" t="n"/>
      <c r="R639" s="31" t="n"/>
      <c r="S639" s="31" t="n"/>
      <c r="T639" s="31" t="n"/>
      <c r="U639" s="31" t="n"/>
      <c r="V639" s="31" t="n"/>
      <c r="W639" s="31" t="n"/>
      <c r="X639" s="31" t="n"/>
      <c r="Y639" s="31" t="n"/>
    </row>
    <row r="640" ht="14.25" customHeight="1">
      <c r="A640" s="32" t="n"/>
      <c r="P640" s="31" t="n"/>
      <c r="Q640" s="31" t="n"/>
      <c r="R640" s="31" t="n"/>
      <c r="S640" s="31" t="n"/>
      <c r="T640" s="31" t="n"/>
      <c r="U640" s="31" t="n"/>
      <c r="V640" s="31" t="n"/>
      <c r="W640" s="31" t="n"/>
      <c r="X640" s="31" t="n"/>
      <c r="Y640" s="31" t="n"/>
    </row>
    <row r="641" ht="14.25" customHeight="1">
      <c r="A641" s="32" t="n"/>
      <c r="P641" s="31" t="n"/>
      <c r="Q641" s="31" t="n"/>
      <c r="R641" s="31" t="n"/>
      <c r="S641" s="31" t="n"/>
      <c r="T641" s="31" t="n"/>
      <c r="U641" s="31" t="n"/>
      <c r="V641" s="31" t="n"/>
      <c r="W641" s="31" t="n"/>
      <c r="X641" s="31" t="n"/>
      <c r="Y641" s="31" t="n"/>
    </row>
    <row r="642" ht="14.25" customHeight="1">
      <c r="A642" s="32" t="n"/>
      <c r="P642" s="31" t="n"/>
      <c r="Q642" s="31" t="n"/>
      <c r="R642" s="31" t="n"/>
      <c r="S642" s="31" t="n"/>
      <c r="T642" s="31" t="n"/>
      <c r="U642" s="31" t="n"/>
      <c r="V642" s="31" t="n"/>
      <c r="W642" s="31" t="n"/>
      <c r="X642" s="31" t="n"/>
      <c r="Y642" s="31" t="n"/>
    </row>
    <row r="643" ht="14.25" customHeight="1">
      <c r="A643" s="32" t="n"/>
      <c r="P643" s="31" t="n"/>
      <c r="Q643" s="31" t="n"/>
      <c r="R643" s="31" t="n"/>
      <c r="S643" s="31" t="n"/>
      <c r="T643" s="31" t="n"/>
      <c r="U643" s="31" t="n"/>
      <c r="V643" s="31" t="n"/>
      <c r="W643" s="31" t="n"/>
      <c r="X643" s="31" t="n"/>
      <c r="Y643" s="31" t="n"/>
    </row>
    <row r="644" ht="14.25" customHeight="1">
      <c r="A644" s="32" t="n"/>
      <c r="P644" s="31" t="n"/>
      <c r="Q644" s="31" t="n"/>
      <c r="R644" s="31" t="n"/>
      <c r="S644" s="31" t="n"/>
      <c r="T644" s="31" t="n"/>
      <c r="U644" s="31" t="n"/>
      <c r="V644" s="31" t="n"/>
      <c r="W644" s="31" t="n"/>
      <c r="X644" s="31" t="n"/>
      <c r="Y644" s="31" t="n"/>
    </row>
    <row r="645" ht="14.25" customHeight="1">
      <c r="A645" s="32" t="n"/>
      <c r="P645" s="31" t="n"/>
      <c r="Q645" s="31" t="n"/>
      <c r="R645" s="31" t="n"/>
      <c r="S645" s="31" t="n"/>
      <c r="T645" s="31" t="n"/>
      <c r="U645" s="31" t="n"/>
      <c r="V645" s="31" t="n"/>
      <c r="W645" s="31" t="n"/>
      <c r="X645" s="31" t="n"/>
      <c r="Y645" s="31" t="n"/>
    </row>
    <row r="646" ht="14.25" customHeight="1">
      <c r="A646" s="32" t="n"/>
      <c r="P646" s="31" t="n"/>
      <c r="Q646" s="31" t="n"/>
      <c r="R646" s="31" t="n"/>
      <c r="S646" s="31" t="n"/>
      <c r="T646" s="31" t="n"/>
      <c r="U646" s="31" t="n"/>
      <c r="V646" s="31" t="n"/>
      <c r="W646" s="31" t="n"/>
      <c r="X646" s="31" t="n"/>
      <c r="Y646" s="31" t="n"/>
    </row>
    <row r="647" ht="14.25" customHeight="1">
      <c r="A647" s="32" t="n"/>
      <c r="P647" s="31" t="n"/>
      <c r="Q647" s="31" t="n"/>
      <c r="R647" s="31" t="n"/>
      <c r="S647" s="31" t="n"/>
      <c r="T647" s="31" t="n"/>
      <c r="U647" s="31" t="n"/>
      <c r="V647" s="31" t="n"/>
      <c r="W647" s="31" t="n"/>
      <c r="X647" s="31" t="n"/>
      <c r="Y647" s="31" t="n"/>
    </row>
    <row r="648" ht="14.25" customHeight="1">
      <c r="A648" s="32" t="n"/>
      <c r="P648" s="31" t="n"/>
      <c r="Q648" s="31" t="n"/>
      <c r="R648" s="31" t="n"/>
      <c r="S648" s="31" t="n"/>
      <c r="T648" s="31" t="n"/>
      <c r="U648" s="31" t="n"/>
      <c r="V648" s="31" t="n"/>
      <c r="W648" s="31" t="n"/>
      <c r="X648" s="31" t="n"/>
      <c r="Y648" s="31" t="n"/>
    </row>
    <row r="649" ht="14.25" customHeight="1">
      <c r="A649" s="32" t="n"/>
      <c r="P649" s="31" t="n"/>
      <c r="Q649" s="31" t="n"/>
      <c r="R649" s="31" t="n"/>
      <c r="S649" s="31" t="n"/>
      <c r="T649" s="31" t="n"/>
      <c r="U649" s="31" t="n"/>
      <c r="V649" s="31" t="n"/>
      <c r="W649" s="31" t="n"/>
      <c r="X649" s="31" t="n"/>
      <c r="Y649" s="31" t="n"/>
    </row>
    <row r="650" ht="14.25" customHeight="1">
      <c r="A650" s="32" t="n"/>
      <c r="P650" s="31" t="n"/>
      <c r="Q650" s="31" t="n"/>
      <c r="R650" s="31" t="n"/>
      <c r="S650" s="31" t="n"/>
      <c r="T650" s="31" t="n"/>
      <c r="U650" s="31" t="n"/>
      <c r="V650" s="31" t="n"/>
      <c r="W650" s="31" t="n"/>
      <c r="X650" s="31" t="n"/>
      <c r="Y650" s="31" t="n"/>
    </row>
    <row r="651" ht="14.25" customHeight="1">
      <c r="A651" s="32" t="n"/>
      <c r="P651" s="31" t="n"/>
      <c r="Q651" s="31" t="n"/>
      <c r="R651" s="31" t="n"/>
      <c r="S651" s="31" t="n"/>
      <c r="T651" s="31" t="n"/>
      <c r="U651" s="31" t="n"/>
      <c r="V651" s="31" t="n"/>
      <c r="W651" s="31" t="n"/>
      <c r="X651" s="31" t="n"/>
      <c r="Y651" s="31" t="n"/>
    </row>
    <row r="652" ht="14.25" customHeight="1">
      <c r="A652" s="32" t="n"/>
      <c r="P652" s="31" t="n"/>
      <c r="Q652" s="31" t="n"/>
      <c r="R652" s="31" t="n"/>
      <c r="S652" s="31" t="n"/>
      <c r="T652" s="31" t="n"/>
      <c r="U652" s="31" t="n"/>
      <c r="V652" s="31" t="n"/>
      <c r="W652" s="31" t="n"/>
      <c r="X652" s="31" t="n"/>
      <c r="Y652" s="31" t="n"/>
    </row>
    <row r="653" ht="14.25" customHeight="1">
      <c r="A653" s="32" t="n"/>
      <c r="P653" s="31" t="n"/>
      <c r="Q653" s="31" t="n"/>
      <c r="R653" s="31" t="n"/>
      <c r="S653" s="31" t="n"/>
      <c r="T653" s="31" t="n"/>
      <c r="U653" s="31" t="n"/>
      <c r="V653" s="31" t="n"/>
      <c r="W653" s="31" t="n"/>
      <c r="X653" s="31" t="n"/>
      <c r="Y653" s="31" t="n"/>
    </row>
    <row r="654" ht="14.25" customHeight="1">
      <c r="A654" s="32" t="n"/>
      <c r="P654" s="31" t="n"/>
      <c r="Q654" s="31" t="n"/>
      <c r="R654" s="31" t="n"/>
      <c r="S654" s="31" t="n"/>
      <c r="T654" s="31" t="n"/>
      <c r="U654" s="31" t="n"/>
      <c r="V654" s="31" t="n"/>
      <c r="W654" s="31" t="n"/>
      <c r="X654" s="31" t="n"/>
      <c r="Y654" s="31" t="n"/>
    </row>
    <row r="655" ht="14.25" customHeight="1">
      <c r="A655" s="32" t="n"/>
      <c r="P655" s="31" t="n"/>
      <c r="Q655" s="31" t="n"/>
      <c r="R655" s="31" t="n"/>
      <c r="S655" s="31" t="n"/>
      <c r="T655" s="31" t="n"/>
      <c r="U655" s="31" t="n"/>
      <c r="V655" s="31" t="n"/>
      <c r="W655" s="31" t="n"/>
      <c r="X655" s="31" t="n"/>
      <c r="Y655" s="31" t="n"/>
    </row>
    <row r="656" ht="14.25" customHeight="1">
      <c r="A656" s="32" t="n"/>
      <c r="P656" s="31" t="n"/>
      <c r="Q656" s="31" t="n"/>
      <c r="R656" s="31" t="n"/>
      <c r="S656" s="31" t="n"/>
      <c r="T656" s="31" t="n"/>
      <c r="U656" s="31" t="n"/>
      <c r="V656" s="31" t="n"/>
      <c r="W656" s="31" t="n"/>
      <c r="X656" s="31" t="n"/>
      <c r="Y656" s="31" t="n"/>
    </row>
    <row r="657" ht="14.25" customHeight="1">
      <c r="A657" s="32" t="n"/>
      <c r="P657" s="31" t="n"/>
      <c r="Q657" s="31" t="n"/>
      <c r="R657" s="31" t="n"/>
      <c r="S657" s="31" t="n"/>
      <c r="T657" s="31" t="n"/>
      <c r="U657" s="31" t="n"/>
      <c r="V657" s="31" t="n"/>
      <c r="W657" s="31" t="n"/>
      <c r="X657" s="31" t="n"/>
      <c r="Y657" s="31" t="n"/>
    </row>
    <row r="658" ht="14.25" customHeight="1">
      <c r="A658" s="32" t="n"/>
      <c r="P658" s="31" t="n"/>
      <c r="Q658" s="31" t="n"/>
      <c r="R658" s="31" t="n"/>
      <c r="S658" s="31" t="n"/>
      <c r="T658" s="31" t="n"/>
      <c r="U658" s="31" t="n"/>
      <c r="V658" s="31" t="n"/>
      <c r="W658" s="31" t="n"/>
      <c r="X658" s="31" t="n"/>
      <c r="Y658" s="31" t="n"/>
    </row>
    <row r="659" ht="14.25" customHeight="1">
      <c r="A659" s="32" t="n"/>
      <c r="P659" s="31" t="n"/>
      <c r="Q659" s="31" t="n"/>
      <c r="R659" s="31" t="n"/>
      <c r="S659" s="31" t="n"/>
      <c r="T659" s="31" t="n"/>
      <c r="U659" s="31" t="n"/>
      <c r="V659" s="31" t="n"/>
      <c r="W659" s="31" t="n"/>
      <c r="X659" s="31" t="n"/>
      <c r="Y659" s="31" t="n"/>
    </row>
    <row r="660" ht="14.25" customHeight="1">
      <c r="A660" s="32" t="n"/>
      <c r="P660" s="31" t="n"/>
      <c r="Q660" s="31" t="n"/>
      <c r="R660" s="31" t="n"/>
      <c r="S660" s="31" t="n"/>
      <c r="T660" s="31" t="n"/>
      <c r="U660" s="31" t="n"/>
      <c r="V660" s="31" t="n"/>
      <c r="W660" s="31" t="n"/>
      <c r="X660" s="31" t="n"/>
      <c r="Y660" s="31" t="n"/>
    </row>
    <row r="661" ht="14.25" customHeight="1">
      <c r="A661" s="32" t="n"/>
      <c r="P661" s="31" t="n"/>
      <c r="Q661" s="31" t="n"/>
      <c r="R661" s="31" t="n"/>
      <c r="S661" s="31" t="n"/>
      <c r="T661" s="31" t="n"/>
      <c r="U661" s="31" t="n"/>
      <c r="V661" s="31" t="n"/>
      <c r="W661" s="31" t="n"/>
      <c r="X661" s="31" t="n"/>
      <c r="Y661" s="31" t="n"/>
    </row>
    <row r="662" ht="14.25" customHeight="1">
      <c r="A662" s="32" t="n"/>
      <c r="P662" s="31" t="n"/>
      <c r="Q662" s="31" t="n"/>
      <c r="R662" s="31" t="n"/>
      <c r="S662" s="31" t="n"/>
      <c r="T662" s="31" t="n"/>
      <c r="U662" s="31" t="n"/>
      <c r="V662" s="31" t="n"/>
      <c r="W662" s="31" t="n"/>
      <c r="X662" s="31" t="n"/>
      <c r="Y662" s="31" t="n"/>
    </row>
    <row r="663" ht="14.25" customHeight="1">
      <c r="A663" s="32" t="n"/>
      <c r="P663" s="31" t="n"/>
      <c r="Q663" s="31" t="n"/>
      <c r="R663" s="31" t="n"/>
      <c r="S663" s="31" t="n"/>
      <c r="T663" s="31" t="n"/>
      <c r="U663" s="31" t="n"/>
      <c r="V663" s="31" t="n"/>
      <c r="W663" s="31" t="n"/>
      <c r="X663" s="31" t="n"/>
      <c r="Y663" s="31" t="n"/>
    </row>
    <row r="664" ht="14.25" customHeight="1">
      <c r="A664" s="32" t="n"/>
      <c r="P664" s="31" t="n"/>
      <c r="Q664" s="31" t="n"/>
      <c r="R664" s="31" t="n"/>
      <c r="S664" s="31" t="n"/>
      <c r="T664" s="31" t="n"/>
      <c r="U664" s="31" t="n"/>
      <c r="V664" s="31" t="n"/>
      <c r="W664" s="31" t="n"/>
      <c r="X664" s="31" t="n"/>
      <c r="Y664" s="31" t="n"/>
    </row>
    <row r="665" ht="14.25" customHeight="1">
      <c r="A665" s="32" t="n"/>
      <c r="P665" s="31" t="n"/>
      <c r="Q665" s="31" t="n"/>
      <c r="R665" s="31" t="n"/>
      <c r="S665" s="31" t="n"/>
      <c r="T665" s="31" t="n"/>
      <c r="U665" s="31" t="n"/>
      <c r="V665" s="31" t="n"/>
      <c r="W665" s="31" t="n"/>
      <c r="X665" s="31" t="n"/>
      <c r="Y665" s="31" t="n"/>
    </row>
    <row r="666" ht="14.25" customHeight="1">
      <c r="A666" s="32" t="n"/>
      <c r="P666" s="31" t="n"/>
      <c r="Q666" s="31" t="n"/>
      <c r="R666" s="31" t="n"/>
      <c r="S666" s="31" t="n"/>
      <c r="T666" s="31" t="n"/>
      <c r="U666" s="31" t="n"/>
      <c r="V666" s="31" t="n"/>
      <c r="W666" s="31" t="n"/>
      <c r="X666" s="31" t="n"/>
      <c r="Y666" s="31" t="n"/>
    </row>
    <row r="667" ht="14.25" customHeight="1">
      <c r="A667" s="32" t="n"/>
      <c r="P667" s="31" t="n"/>
      <c r="Q667" s="31" t="n"/>
      <c r="R667" s="31" t="n"/>
      <c r="S667" s="31" t="n"/>
      <c r="T667" s="31" t="n"/>
      <c r="U667" s="31" t="n"/>
      <c r="V667" s="31" t="n"/>
      <c r="W667" s="31" t="n"/>
      <c r="X667" s="31" t="n"/>
      <c r="Y667" s="31" t="n"/>
    </row>
    <row r="668" ht="14.25" customHeight="1">
      <c r="A668" s="32" t="n"/>
      <c r="P668" s="31" t="n"/>
      <c r="Q668" s="31" t="n"/>
      <c r="R668" s="31" t="n"/>
      <c r="S668" s="31" t="n"/>
      <c r="T668" s="31" t="n"/>
      <c r="U668" s="31" t="n"/>
      <c r="V668" s="31" t="n"/>
      <c r="W668" s="31" t="n"/>
      <c r="X668" s="31" t="n"/>
      <c r="Y668" s="31" t="n"/>
    </row>
    <row r="669" ht="14.25" customHeight="1">
      <c r="A669" s="32" t="n"/>
      <c r="P669" s="31" t="n"/>
      <c r="Q669" s="31" t="n"/>
      <c r="R669" s="31" t="n"/>
      <c r="S669" s="31" t="n"/>
      <c r="T669" s="31" t="n"/>
      <c r="U669" s="31" t="n"/>
      <c r="V669" s="31" t="n"/>
      <c r="W669" s="31" t="n"/>
      <c r="X669" s="31" t="n"/>
      <c r="Y669" s="31" t="n"/>
    </row>
    <row r="670" ht="14.25" customHeight="1">
      <c r="A670" s="32" t="n"/>
      <c r="P670" s="31" t="n"/>
      <c r="Q670" s="31" t="n"/>
      <c r="R670" s="31" t="n"/>
      <c r="S670" s="31" t="n"/>
      <c r="T670" s="31" t="n"/>
      <c r="U670" s="31" t="n"/>
      <c r="V670" s="31" t="n"/>
      <c r="W670" s="31" t="n"/>
      <c r="X670" s="31" t="n"/>
      <c r="Y670" s="31" t="n"/>
    </row>
    <row r="671" ht="14.25" customHeight="1">
      <c r="A671" s="32" t="n"/>
      <c r="P671" s="31" t="n"/>
      <c r="Q671" s="31" t="n"/>
      <c r="R671" s="31" t="n"/>
      <c r="S671" s="31" t="n"/>
      <c r="T671" s="31" t="n"/>
      <c r="U671" s="31" t="n"/>
      <c r="V671" s="31" t="n"/>
      <c r="W671" s="31" t="n"/>
      <c r="X671" s="31" t="n"/>
      <c r="Y671" s="31" t="n"/>
    </row>
    <row r="672" ht="14.25" customHeight="1">
      <c r="A672" s="32" t="n"/>
      <c r="P672" s="31" t="n"/>
      <c r="Q672" s="31" t="n"/>
      <c r="R672" s="31" t="n"/>
      <c r="S672" s="31" t="n"/>
      <c r="T672" s="31" t="n"/>
      <c r="U672" s="31" t="n"/>
      <c r="V672" s="31" t="n"/>
      <c r="W672" s="31" t="n"/>
      <c r="X672" s="31" t="n"/>
      <c r="Y672" s="31" t="n"/>
    </row>
    <row r="673" ht="14.25" customHeight="1">
      <c r="A673" s="32" t="n"/>
      <c r="P673" s="31" t="n"/>
      <c r="Q673" s="31" t="n"/>
      <c r="R673" s="31" t="n"/>
      <c r="S673" s="31" t="n"/>
      <c r="T673" s="31" t="n"/>
      <c r="U673" s="31" t="n"/>
      <c r="V673" s="31" t="n"/>
      <c r="W673" s="31" t="n"/>
      <c r="X673" s="31" t="n"/>
      <c r="Y673" s="31" t="n"/>
    </row>
    <row r="674" ht="14.25" customHeight="1">
      <c r="A674" s="32" t="n"/>
      <c r="P674" s="31" t="n"/>
      <c r="Q674" s="31" t="n"/>
      <c r="R674" s="31" t="n"/>
      <c r="S674" s="31" t="n"/>
      <c r="T674" s="31" t="n"/>
      <c r="U674" s="31" t="n"/>
      <c r="V674" s="31" t="n"/>
      <c r="W674" s="31" t="n"/>
      <c r="X674" s="31" t="n"/>
      <c r="Y674" s="31" t="n"/>
    </row>
    <row r="675" ht="14.25" customHeight="1">
      <c r="A675" s="32" t="n"/>
      <c r="P675" s="31" t="n"/>
      <c r="Q675" s="31" t="n"/>
      <c r="R675" s="31" t="n"/>
      <c r="S675" s="31" t="n"/>
      <c r="T675" s="31" t="n"/>
      <c r="U675" s="31" t="n"/>
      <c r="V675" s="31" t="n"/>
      <c r="W675" s="31" t="n"/>
      <c r="X675" s="31" t="n"/>
      <c r="Y675" s="31" t="n"/>
    </row>
    <row r="676" ht="14.25" customHeight="1">
      <c r="A676" s="32" t="n"/>
      <c r="P676" s="31" t="n"/>
      <c r="Q676" s="31" t="n"/>
      <c r="R676" s="31" t="n"/>
      <c r="S676" s="31" t="n"/>
      <c r="T676" s="31" t="n"/>
      <c r="U676" s="31" t="n"/>
      <c r="V676" s="31" t="n"/>
      <c r="W676" s="31" t="n"/>
      <c r="X676" s="31" t="n"/>
      <c r="Y676" s="31" t="n"/>
    </row>
    <row r="677" ht="14.25" customHeight="1">
      <c r="A677" s="32" t="n"/>
      <c r="P677" s="31" t="n"/>
      <c r="Q677" s="31" t="n"/>
      <c r="R677" s="31" t="n"/>
      <c r="S677" s="31" t="n"/>
      <c r="T677" s="31" t="n"/>
      <c r="U677" s="31" t="n"/>
      <c r="V677" s="31" t="n"/>
      <c r="W677" s="31" t="n"/>
      <c r="X677" s="31" t="n"/>
      <c r="Y677" s="31" t="n"/>
    </row>
    <row r="678" ht="14.25" customHeight="1">
      <c r="A678" s="32" t="n"/>
      <c r="P678" s="31" t="n"/>
      <c r="Q678" s="31" t="n"/>
      <c r="R678" s="31" t="n"/>
      <c r="S678" s="31" t="n"/>
      <c r="T678" s="31" t="n"/>
      <c r="U678" s="31" t="n"/>
      <c r="V678" s="31" t="n"/>
      <c r="W678" s="31" t="n"/>
      <c r="X678" s="31" t="n"/>
      <c r="Y678" s="31" t="n"/>
    </row>
    <row r="679" ht="14.25" customHeight="1">
      <c r="A679" s="32" t="n"/>
      <c r="P679" s="31" t="n"/>
      <c r="Q679" s="31" t="n"/>
      <c r="R679" s="31" t="n"/>
      <c r="S679" s="31" t="n"/>
      <c r="T679" s="31" t="n"/>
      <c r="U679" s="31" t="n"/>
      <c r="V679" s="31" t="n"/>
      <c r="W679" s="31" t="n"/>
      <c r="X679" s="31" t="n"/>
      <c r="Y679" s="31" t="n"/>
    </row>
    <row r="680" ht="14.25" customHeight="1">
      <c r="A680" s="32" t="n"/>
      <c r="P680" s="31" t="n"/>
      <c r="Q680" s="31" t="n"/>
      <c r="R680" s="31" t="n"/>
      <c r="S680" s="31" t="n"/>
      <c r="T680" s="31" t="n"/>
      <c r="U680" s="31" t="n"/>
      <c r="V680" s="31" t="n"/>
      <c r="W680" s="31" t="n"/>
      <c r="X680" s="31" t="n"/>
      <c r="Y680" s="31" t="n"/>
    </row>
    <row r="681" ht="14.25" customHeight="1">
      <c r="A681" s="32" t="n"/>
      <c r="P681" s="31" t="n"/>
      <c r="Q681" s="31" t="n"/>
      <c r="R681" s="31" t="n"/>
      <c r="S681" s="31" t="n"/>
      <c r="T681" s="31" t="n"/>
      <c r="U681" s="31" t="n"/>
      <c r="V681" s="31" t="n"/>
      <c r="W681" s="31" t="n"/>
      <c r="X681" s="31" t="n"/>
      <c r="Y681" s="31" t="n"/>
    </row>
    <row r="682" ht="14.25" customHeight="1">
      <c r="A682" s="32" t="n"/>
      <c r="P682" s="31" t="n"/>
      <c r="Q682" s="31" t="n"/>
      <c r="R682" s="31" t="n"/>
      <c r="S682" s="31" t="n"/>
      <c r="T682" s="31" t="n"/>
      <c r="U682" s="31" t="n"/>
      <c r="V682" s="31" t="n"/>
      <c r="W682" s="31" t="n"/>
      <c r="X682" s="31" t="n"/>
      <c r="Y682" s="31" t="n"/>
    </row>
    <row r="683" ht="14.25" customHeight="1">
      <c r="A683" s="32" t="n"/>
      <c r="P683" s="31" t="n"/>
      <c r="Q683" s="31" t="n"/>
      <c r="R683" s="31" t="n"/>
      <c r="S683" s="31" t="n"/>
      <c r="T683" s="31" t="n"/>
      <c r="U683" s="31" t="n"/>
      <c r="V683" s="31" t="n"/>
      <c r="W683" s="31" t="n"/>
      <c r="X683" s="31" t="n"/>
      <c r="Y683" s="31" t="n"/>
    </row>
    <row r="684" ht="14.25" customHeight="1">
      <c r="A684" s="32" t="n"/>
      <c r="P684" s="31" t="n"/>
      <c r="Q684" s="31" t="n"/>
      <c r="R684" s="31" t="n"/>
      <c r="S684" s="31" t="n"/>
      <c r="T684" s="31" t="n"/>
      <c r="U684" s="31" t="n"/>
      <c r="V684" s="31" t="n"/>
      <c r="W684" s="31" t="n"/>
      <c r="X684" s="31" t="n"/>
      <c r="Y684" s="31" t="n"/>
    </row>
    <row r="685" ht="14.25" customHeight="1">
      <c r="A685" s="32" t="n"/>
      <c r="P685" s="31" t="n"/>
      <c r="Q685" s="31" t="n"/>
      <c r="R685" s="31" t="n"/>
      <c r="S685" s="31" t="n"/>
      <c r="T685" s="31" t="n"/>
      <c r="U685" s="31" t="n"/>
      <c r="V685" s="31" t="n"/>
      <c r="W685" s="31" t="n"/>
      <c r="X685" s="31" t="n"/>
      <c r="Y685" s="31" t="n"/>
    </row>
    <row r="686" ht="14.25" customHeight="1">
      <c r="A686" s="32" t="n"/>
      <c r="P686" s="31" t="n"/>
      <c r="Q686" s="31" t="n"/>
      <c r="R686" s="31" t="n"/>
      <c r="S686" s="31" t="n"/>
      <c r="T686" s="31" t="n"/>
      <c r="U686" s="31" t="n"/>
      <c r="V686" s="31" t="n"/>
      <c r="W686" s="31" t="n"/>
      <c r="X686" s="31" t="n"/>
      <c r="Y686" s="31" t="n"/>
    </row>
    <row r="687" ht="14.25" customHeight="1">
      <c r="A687" s="32" t="n"/>
      <c r="P687" s="31" t="n"/>
      <c r="Q687" s="31" t="n"/>
      <c r="R687" s="31" t="n"/>
      <c r="S687" s="31" t="n"/>
      <c r="T687" s="31" t="n"/>
      <c r="U687" s="31" t="n"/>
      <c r="V687" s="31" t="n"/>
      <c r="W687" s="31" t="n"/>
      <c r="X687" s="31" t="n"/>
      <c r="Y687" s="31" t="n"/>
    </row>
    <row r="688" ht="14.25" customHeight="1">
      <c r="A688" s="32" t="n"/>
      <c r="P688" s="31" t="n"/>
      <c r="Q688" s="31" t="n"/>
      <c r="R688" s="31" t="n"/>
      <c r="S688" s="31" t="n"/>
      <c r="T688" s="31" t="n"/>
      <c r="U688" s="31" t="n"/>
      <c r="V688" s="31" t="n"/>
      <c r="W688" s="31" t="n"/>
      <c r="X688" s="31" t="n"/>
      <c r="Y688" s="31" t="n"/>
    </row>
    <row r="689" ht="14.25" customHeight="1">
      <c r="A689" s="32" t="n"/>
      <c r="P689" s="31" t="n"/>
      <c r="Q689" s="31" t="n"/>
      <c r="R689" s="31" t="n"/>
      <c r="S689" s="31" t="n"/>
      <c r="T689" s="31" t="n"/>
      <c r="U689" s="31" t="n"/>
      <c r="V689" s="31" t="n"/>
      <c r="W689" s="31" t="n"/>
      <c r="X689" s="31" t="n"/>
      <c r="Y689" s="31" t="n"/>
    </row>
    <row r="690" ht="14.25" customHeight="1">
      <c r="A690" s="32" t="n"/>
      <c r="P690" s="31" t="n"/>
      <c r="Q690" s="31" t="n"/>
      <c r="R690" s="31" t="n"/>
      <c r="S690" s="31" t="n"/>
      <c r="T690" s="31" t="n"/>
      <c r="U690" s="31" t="n"/>
      <c r="V690" s="31" t="n"/>
      <c r="W690" s="31" t="n"/>
      <c r="X690" s="31" t="n"/>
      <c r="Y690" s="31" t="n"/>
    </row>
    <row r="691" ht="14.25" customHeight="1">
      <c r="A691" s="32" t="n"/>
      <c r="P691" s="31" t="n"/>
      <c r="Q691" s="31" t="n"/>
      <c r="R691" s="31" t="n"/>
      <c r="S691" s="31" t="n"/>
      <c r="T691" s="31" t="n"/>
      <c r="U691" s="31" t="n"/>
      <c r="V691" s="31" t="n"/>
      <c r="W691" s="31" t="n"/>
      <c r="X691" s="31" t="n"/>
      <c r="Y691" s="31" t="n"/>
    </row>
    <row r="692" ht="14.25" customHeight="1">
      <c r="A692" s="32" t="n"/>
      <c r="P692" s="31" t="n"/>
      <c r="Q692" s="31" t="n"/>
      <c r="R692" s="31" t="n"/>
      <c r="S692" s="31" t="n"/>
      <c r="T692" s="31" t="n"/>
      <c r="U692" s="31" t="n"/>
      <c r="V692" s="31" t="n"/>
      <c r="W692" s="31" t="n"/>
      <c r="X692" s="31" t="n"/>
      <c r="Y692" s="31" t="n"/>
    </row>
    <row r="693" ht="14.25" customHeight="1">
      <c r="A693" s="32" t="n"/>
      <c r="P693" s="31" t="n"/>
      <c r="Q693" s="31" t="n"/>
      <c r="R693" s="31" t="n"/>
      <c r="S693" s="31" t="n"/>
      <c r="T693" s="31" t="n"/>
      <c r="U693" s="31" t="n"/>
      <c r="V693" s="31" t="n"/>
      <c r="W693" s="31" t="n"/>
      <c r="X693" s="31" t="n"/>
      <c r="Y693" s="31" t="n"/>
    </row>
    <row r="694" ht="14.25" customHeight="1">
      <c r="A694" s="32" t="n"/>
      <c r="P694" s="31" t="n"/>
      <c r="Q694" s="31" t="n"/>
      <c r="R694" s="31" t="n"/>
      <c r="S694" s="31" t="n"/>
      <c r="T694" s="31" t="n"/>
      <c r="U694" s="31" t="n"/>
      <c r="V694" s="31" t="n"/>
      <c r="W694" s="31" t="n"/>
      <c r="X694" s="31" t="n"/>
      <c r="Y694" s="31" t="n"/>
    </row>
    <row r="695" ht="14.25" customHeight="1">
      <c r="A695" s="32" t="n"/>
      <c r="P695" s="31" t="n"/>
      <c r="Q695" s="31" t="n"/>
      <c r="R695" s="31" t="n"/>
      <c r="S695" s="31" t="n"/>
      <c r="T695" s="31" t="n"/>
      <c r="U695" s="31" t="n"/>
      <c r="V695" s="31" t="n"/>
      <c r="W695" s="31" t="n"/>
      <c r="X695" s="31" t="n"/>
      <c r="Y695" s="31" t="n"/>
    </row>
    <row r="696" ht="14.25" customHeight="1">
      <c r="A696" s="32" t="n"/>
      <c r="P696" s="31" t="n"/>
      <c r="Q696" s="31" t="n"/>
      <c r="R696" s="31" t="n"/>
      <c r="S696" s="31" t="n"/>
      <c r="T696" s="31" t="n"/>
      <c r="U696" s="31" t="n"/>
      <c r="V696" s="31" t="n"/>
      <c r="W696" s="31" t="n"/>
      <c r="X696" s="31" t="n"/>
      <c r="Y696" s="31" t="n"/>
    </row>
    <row r="697" ht="14.25" customHeight="1">
      <c r="A697" s="32" t="n"/>
      <c r="P697" s="31" t="n"/>
      <c r="Q697" s="31" t="n"/>
      <c r="R697" s="31" t="n"/>
      <c r="S697" s="31" t="n"/>
      <c r="T697" s="31" t="n"/>
      <c r="U697" s="31" t="n"/>
      <c r="V697" s="31" t="n"/>
      <c r="W697" s="31" t="n"/>
      <c r="X697" s="31" t="n"/>
      <c r="Y697" s="31" t="n"/>
    </row>
    <row r="698" ht="14.25" customHeight="1">
      <c r="A698" s="32" t="n"/>
      <c r="P698" s="31" t="n"/>
      <c r="Q698" s="31" t="n"/>
      <c r="R698" s="31" t="n"/>
      <c r="S698" s="31" t="n"/>
      <c r="T698" s="31" t="n"/>
      <c r="U698" s="31" t="n"/>
      <c r="V698" s="31" t="n"/>
      <c r="W698" s="31" t="n"/>
      <c r="X698" s="31" t="n"/>
      <c r="Y698" s="31" t="n"/>
    </row>
    <row r="699" ht="14.25" customHeight="1">
      <c r="A699" s="32" t="n"/>
      <c r="P699" s="31" t="n"/>
      <c r="Q699" s="31" t="n"/>
      <c r="R699" s="31" t="n"/>
      <c r="S699" s="31" t="n"/>
      <c r="T699" s="31" t="n"/>
      <c r="U699" s="31" t="n"/>
      <c r="V699" s="31" t="n"/>
      <c r="W699" s="31" t="n"/>
      <c r="X699" s="31" t="n"/>
      <c r="Y699" s="31" t="n"/>
    </row>
    <row r="700" ht="14.25" customHeight="1">
      <c r="A700" s="32" t="n"/>
      <c r="P700" s="31" t="n"/>
      <c r="Q700" s="31" t="n"/>
      <c r="R700" s="31" t="n"/>
      <c r="S700" s="31" t="n"/>
      <c r="T700" s="31" t="n"/>
      <c r="U700" s="31" t="n"/>
      <c r="V700" s="31" t="n"/>
      <c r="W700" s="31" t="n"/>
      <c r="X700" s="31" t="n"/>
      <c r="Y700" s="31" t="n"/>
    </row>
    <row r="701" ht="14.25" customHeight="1">
      <c r="A701" s="32" t="n"/>
      <c r="P701" s="31" t="n"/>
      <c r="Q701" s="31" t="n"/>
      <c r="R701" s="31" t="n"/>
      <c r="S701" s="31" t="n"/>
      <c r="T701" s="31" t="n"/>
      <c r="U701" s="31" t="n"/>
      <c r="V701" s="31" t="n"/>
      <c r="W701" s="31" t="n"/>
      <c r="X701" s="31" t="n"/>
      <c r="Y701" s="31" t="n"/>
    </row>
    <row r="702" ht="14.25" customHeight="1">
      <c r="A702" s="32" t="n"/>
      <c r="P702" s="31" t="n"/>
      <c r="Q702" s="31" t="n"/>
      <c r="R702" s="31" t="n"/>
      <c r="S702" s="31" t="n"/>
      <c r="T702" s="31" t="n"/>
      <c r="U702" s="31" t="n"/>
      <c r="V702" s="31" t="n"/>
      <c r="W702" s="31" t="n"/>
      <c r="X702" s="31" t="n"/>
      <c r="Y702" s="31" t="n"/>
    </row>
    <row r="703" ht="14.25" customHeight="1">
      <c r="A703" s="32" t="n"/>
      <c r="P703" s="31" t="n"/>
      <c r="Q703" s="31" t="n"/>
      <c r="R703" s="31" t="n"/>
      <c r="S703" s="31" t="n"/>
      <c r="T703" s="31" t="n"/>
      <c r="U703" s="31" t="n"/>
      <c r="V703" s="31" t="n"/>
      <c r="W703" s="31" t="n"/>
      <c r="X703" s="31" t="n"/>
      <c r="Y703" s="31" t="n"/>
    </row>
    <row r="704" ht="14.25" customHeight="1">
      <c r="A704" s="32" t="n"/>
      <c r="P704" s="31" t="n"/>
      <c r="Q704" s="31" t="n"/>
      <c r="R704" s="31" t="n"/>
      <c r="S704" s="31" t="n"/>
      <c r="T704" s="31" t="n"/>
      <c r="U704" s="31" t="n"/>
      <c r="V704" s="31" t="n"/>
      <c r="W704" s="31" t="n"/>
      <c r="X704" s="31" t="n"/>
      <c r="Y704" s="31" t="n"/>
    </row>
    <row r="705" ht="14.25" customHeight="1">
      <c r="A705" s="32" t="n"/>
      <c r="P705" s="31" t="n"/>
      <c r="Q705" s="31" t="n"/>
      <c r="R705" s="31" t="n"/>
      <c r="S705" s="31" t="n"/>
      <c r="T705" s="31" t="n"/>
      <c r="U705" s="31" t="n"/>
      <c r="V705" s="31" t="n"/>
      <c r="W705" s="31" t="n"/>
      <c r="X705" s="31" t="n"/>
      <c r="Y705" s="31" t="n"/>
    </row>
    <row r="706" ht="14.25" customHeight="1">
      <c r="A706" s="32" t="n"/>
      <c r="P706" s="31" t="n"/>
      <c r="Q706" s="31" t="n"/>
      <c r="R706" s="31" t="n"/>
      <c r="S706" s="31" t="n"/>
      <c r="T706" s="31" t="n"/>
      <c r="U706" s="31" t="n"/>
      <c r="V706" s="31" t="n"/>
      <c r="W706" s="31" t="n"/>
      <c r="X706" s="31" t="n"/>
      <c r="Y706" s="31" t="n"/>
    </row>
    <row r="707" ht="14.25" customHeight="1">
      <c r="A707" s="32" t="n"/>
      <c r="P707" s="31" t="n"/>
      <c r="Q707" s="31" t="n"/>
      <c r="R707" s="31" t="n"/>
      <c r="S707" s="31" t="n"/>
      <c r="T707" s="31" t="n"/>
      <c r="U707" s="31" t="n"/>
      <c r="V707" s="31" t="n"/>
      <c r="W707" s="31" t="n"/>
      <c r="X707" s="31" t="n"/>
      <c r="Y707" s="31" t="n"/>
    </row>
    <row r="708" ht="14.25" customHeight="1">
      <c r="A708" s="32" t="n"/>
      <c r="P708" s="31" t="n"/>
      <c r="Q708" s="31" t="n"/>
      <c r="R708" s="31" t="n"/>
      <c r="S708" s="31" t="n"/>
      <c r="T708" s="31" t="n"/>
      <c r="U708" s="31" t="n"/>
      <c r="V708" s="31" t="n"/>
      <c r="W708" s="31" t="n"/>
      <c r="X708" s="31" t="n"/>
      <c r="Y708" s="31" t="n"/>
    </row>
    <row r="709" ht="14.25" customHeight="1">
      <c r="A709" s="32" t="n"/>
      <c r="P709" s="31" t="n"/>
      <c r="Q709" s="31" t="n"/>
      <c r="R709" s="31" t="n"/>
      <c r="S709" s="31" t="n"/>
      <c r="T709" s="31" t="n"/>
      <c r="U709" s="31" t="n"/>
      <c r="V709" s="31" t="n"/>
      <c r="W709" s="31" t="n"/>
      <c r="X709" s="31" t="n"/>
      <c r="Y709" s="31" t="n"/>
    </row>
    <row r="710" ht="14.25" customHeight="1">
      <c r="A710" s="32" t="n"/>
      <c r="P710" s="31" t="n"/>
      <c r="Q710" s="31" t="n"/>
      <c r="R710" s="31" t="n"/>
      <c r="S710" s="31" t="n"/>
      <c r="T710" s="31" t="n"/>
      <c r="U710" s="31" t="n"/>
      <c r="V710" s="31" t="n"/>
      <c r="W710" s="31" t="n"/>
      <c r="X710" s="31" t="n"/>
      <c r="Y710" s="31" t="n"/>
    </row>
    <row r="711" ht="14.25" customHeight="1">
      <c r="A711" s="32" t="n"/>
      <c r="P711" s="31" t="n"/>
      <c r="Q711" s="31" t="n"/>
      <c r="R711" s="31" t="n"/>
      <c r="S711" s="31" t="n"/>
      <c r="T711" s="31" t="n"/>
      <c r="U711" s="31" t="n"/>
      <c r="V711" s="31" t="n"/>
      <c r="W711" s="31" t="n"/>
      <c r="X711" s="31" t="n"/>
      <c r="Y711" s="31" t="n"/>
    </row>
    <row r="712" ht="14.25" customHeight="1">
      <c r="A712" s="32" t="n"/>
      <c r="P712" s="31" t="n"/>
      <c r="Q712" s="31" t="n"/>
      <c r="R712" s="31" t="n"/>
      <c r="S712" s="31" t="n"/>
      <c r="T712" s="31" t="n"/>
      <c r="U712" s="31" t="n"/>
      <c r="V712" s="31" t="n"/>
      <c r="W712" s="31" t="n"/>
      <c r="X712" s="31" t="n"/>
      <c r="Y712" s="31" t="n"/>
    </row>
    <row r="713" ht="14.25" customHeight="1">
      <c r="A713" s="32" t="n"/>
      <c r="P713" s="31" t="n"/>
      <c r="Q713" s="31" t="n"/>
      <c r="R713" s="31" t="n"/>
      <c r="S713" s="31" t="n"/>
      <c r="T713" s="31" t="n"/>
      <c r="U713" s="31" t="n"/>
      <c r="V713" s="31" t="n"/>
      <c r="W713" s="31" t="n"/>
      <c r="X713" s="31" t="n"/>
      <c r="Y713" s="31" t="n"/>
    </row>
    <row r="714" ht="14.25" customHeight="1">
      <c r="A714" s="32" t="n"/>
      <c r="P714" s="31" t="n"/>
      <c r="Q714" s="31" t="n"/>
      <c r="R714" s="31" t="n"/>
      <c r="S714" s="31" t="n"/>
      <c r="T714" s="31" t="n"/>
      <c r="U714" s="31" t="n"/>
      <c r="V714" s="31" t="n"/>
      <c r="W714" s="31" t="n"/>
      <c r="X714" s="31" t="n"/>
      <c r="Y714" s="31" t="n"/>
    </row>
    <row r="715" ht="14.25" customHeight="1">
      <c r="A715" s="32" t="n"/>
      <c r="P715" s="31" t="n"/>
      <c r="Q715" s="31" t="n"/>
      <c r="R715" s="31" t="n"/>
      <c r="S715" s="31" t="n"/>
      <c r="T715" s="31" t="n"/>
      <c r="U715" s="31" t="n"/>
      <c r="V715" s="31" t="n"/>
      <c r="W715" s="31" t="n"/>
      <c r="X715" s="31" t="n"/>
      <c r="Y715" s="31" t="n"/>
    </row>
    <row r="716" ht="14.25" customHeight="1">
      <c r="A716" s="32" t="n"/>
      <c r="P716" s="31" t="n"/>
      <c r="Q716" s="31" t="n"/>
      <c r="R716" s="31" t="n"/>
      <c r="S716" s="31" t="n"/>
      <c r="T716" s="31" t="n"/>
      <c r="U716" s="31" t="n"/>
      <c r="V716" s="31" t="n"/>
      <c r="W716" s="31" t="n"/>
      <c r="X716" s="31" t="n"/>
      <c r="Y716" s="31" t="n"/>
    </row>
    <row r="717" ht="14.25" customHeight="1">
      <c r="A717" s="32" t="n"/>
      <c r="P717" s="31" t="n"/>
      <c r="Q717" s="31" t="n"/>
      <c r="R717" s="31" t="n"/>
      <c r="S717" s="31" t="n"/>
      <c r="T717" s="31" t="n"/>
      <c r="U717" s="31" t="n"/>
      <c r="V717" s="31" t="n"/>
      <c r="W717" s="31" t="n"/>
      <c r="X717" s="31" t="n"/>
      <c r="Y717" s="31" t="n"/>
    </row>
    <row r="718" ht="14.25" customHeight="1">
      <c r="A718" s="32" t="n"/>
      <c r="P718" s="31" t="n"/>
      <c r="Q718" s="31" t="n"/>
      <c r="R718" s="31" t="n"/>
      <c r="S718" s="31" t="n"/>
      <c r="T718" s="31" t="n"/>
      <c r="U718" s="31" t="n"/>
      <c r="V718" s="31" t="n"/>
      <c r="W718" s="31" t="n"/>
      <c r="X718" s="31" t="n"/>
      <c r="Y718" s="31" t="n"/>
    </row>
    <row r="719" ht="14.25" customHeight="1">
      <c r="A719" s="32" t="n"/>
      <c r="P719" s="31" t="n"/>
      <c r="Q719" s="31" t="n"/>
      <c r="R719" s="31" t="n"/>
      <c r="S719" s="31" t="n"/>
      <c r="T719" s="31" t="n"/>
      <c r="U719" s="31" t="n"/>
      <c r="V719" s="31" t="n"/>
      <c r="W719" s="31" t="n"/>
      <c r="X719" s="31" t="n"/>
      <c r="Y719" s="31" t="n"/>
    </row>
    <row r="720" ht="14.25" customHeight="1">
      <c r="A720" s="32" t="n"/>
      <c r="P720" s="31" t="n"/>
      <c r="Q720" s="31" t="n"/>
      <c r="R720" s="31" t="n"/>
      <c r="S720" s="31" t="n"/>
      <c r="T720" s="31" t="n"/>
      <c r="U720" s="31" t="n"/>
      <c r="V720" s="31" t="n"/>
      <c r="W720" s="31" t="n"/>
      <c r="X720" s="31" t="n"/>
      <c r="Y720" s="31" t="n"/>
    </row>
    <row r="721" ht="14.25" customHeight="1">
      <c r="A721" s="32" t="n"/>
      <c r="P721" s="31" t="n"/>
      <c r="Q721" s="31" t="n"/>
      <c r="R721" s="31" t="n"/>
      <c r="S721" s="31" t="n"/>
      <c r="T721" s="31" t="n"/>
      <c r="U721" s="31" t="n"/>
      <c r="V721" s="31" t="n"/>
      <c r="W721" s="31" t="n"/>
      <c r="X721" s="31" t="n"/>
      <c r="Y721" s="31" t="n"/>
    </row>
    <row r="722" ht="14.25" customHeight="1">
      <c r="A722" s="32" t="n"/>
      <c r="P722" s="31" t="n"/>
      <c r="Q722" s="31" t="n"/>
      <c r="R722" s="31" t="n"/>
      <c r="S722" s="31" t="n"/>
      <c r="T722" s="31" t="n"/>
      <c r="U722" s="31" t="n"/>
      <c r="V722" s="31" t="n"/>
      <c r="W722" s="31" t="n"/>
      <c r="X722" s="31" t="n"/>
      <c r="Y722" s="31" t="n"/>
    </row>
    <row r="723" ht="14.25" customHeight="1">
      <c r="A723" s="32" t="n"/>
      <c r="P723" s="31" t="n"/>
      <c r="Q723" s="31" t="n"/>
      <c r="R723" s="31" t="n"/>
      <c r="S723" s="31" t="n"/>
      <c r="T723" s="31" t="n"/>
      <c r="U723" s="31" t="n"/>
      <c r="V723" s="31" t="n"/>
      <c r="W723" s="31" t="n"/>
      <c r="X723" s="31" t="n"/>
      <c r="Y723" s="31" t="n"/>
    </row>
    <row r="724" ht="14.25" customHeight="1">
      <c r="A724" s="32" t="n"/>
      <c r="P724" s="31" t="n"/>
      <c r="Q724" s="31" t="n"/>
      <c r="R724" s="31" t="n"/>
      <c r="S724" s="31" t="n"/>
      <c r="T724" s="31" t="n"/>
      <c r="U724" s="31" t="n"/>
      <c r="V724" s="31" t="n"/>
      <c r="W724" s="31" t="n"/>
      <c r="X724" s="31" t="n"/>
      <c r="Y724" s="31" t="n"/>
    </row>
    <row r="725" ht="14.25" customHeight="1">
      <c r="A725" s="32" t="n"/>
      <c r="P725" s="31" t="n"/>
      <c r="Q725" s="31" t="n"/>
      <c r="R725" s="31" t="n"/>
      <c r="S725" s="31" t="n"/>
      <c r="T725" s="31" t="n"/>
      <c r="U725" s="31" t="n"/>
      <c r="V725" s="31" t="n"/>
      <c r="W725" s="31" t="n"/>
      <c r="X725" s="31" t="n"/>
      <c r="Y725" s="31" t="n"/>
    </row>
    <row r="726" ht="14.25" customHeight="1">
      <c r="A726" s="32" t="n"/>
      <c r="P726" s="31" t="n"/>
      <c r="Q726" s="31" t="n"/>
      <c r="R726" s="31" t="n"/>
      <c r="S726" s="31" t="n"/>
      <c r="T726" s="31" t="n"/>
      <c r="U726" s="31" t="n"/>
      <c r="V726" s="31" t="n"/>
      <c r="W726" s="31" t="n"/>
      <c r="X726" s="31" t="n"/>
      <c r="Y726" s="31" t="n"/>
    </row>
    <row r="727" ht="14.25" customHeight="1">
      <c r="A727" s="32" t="n"/>
      <c r="P727" s="31" t="n"/>
      <c r="Q727" s="31" t="n"/>
      <c r="R727" s="31" t="n"/>
      <c r="S727" s="31" t="n"/>
      <c r="T727" s="31" t="n"/>
      <c r="U727" s="31" t="n"/>
      <c r="V727" s="31" t="n"/>
      <c r="W727" s="31" t="n"/>
      <c r="X727" s="31" t="n"/>
      <c r="Y727" s="31" t="n"/>
    </row>
    <row r="728" ht="14.25" customHeight="1">
      <c r="A728" s="32" t="n"/>
      <c r="P728" s="31" t="n"/>
      <c r="Q728" s="31" t="n"/>
      <c r="R728" s="31" t="n"/>
      <c r="S728" s="31" t="n"/>
      <c r="T728" s="31" t="n"/>
      <c r="U728" s="31" t="n"/>
      <c r="V728" s="31" t="n"/>
      <c r="W728" s="31" t="n"/>
      <c r="X728" s="31" t="n"/>
      <c r="Y728" s="31" t="n"/>
    </row>
    <row r="729" ht="14.25" customHeight="1">
      <c r="A729" s="32" t="n"/>
      <c r="P729" s="31" t="n"/>
      <c r="Q729" s="31" t="n"/>
      <c r="R729" s="31" t="n"/>
      <c r="S729" s="31" t="n"/>
      <c r="T729" s="31" t="n"/>
      <c r="U729" s="31" t="n"/>
      <c r="V729" s="31" t="n"/>
      <c r="W729" s="31" t="n"/>
      <c r="X729" s="31" t="n"/>
      <c r="Y729" s="31" t="n"/>
    </row>
    <row r="730" ht="14.25" customHeight="1">
      <c r="A730" s="32" t="n"/>
      <c r="P730" s="31" t="n"/>
      <c r="Q730" s="31" t="n"/>
      <c r="R730" s="31" t="n"/>
      <c r="S730" s="31" t="n"/>
      <c r="T730" s="31" t="n"/>
      <c r="U730" s="31" t="n"/>
      <c r="V730" s="31" t="n"/>
      <c r="W730" s="31" t="n"/>
      <c r="X730" s="31" t="n"/>
      <c r="Y730" s="31" t="n"/>
    </row>
    <row r="731" ht="14.25" customHeight="1">
      <c r="A731" s="32" t="n"/>
      <c r="P731" s="31" t="n"/>
      <c r="Q731" s="31" t="n"/>
      <c r="R731" s="31" t="n"/>
      <c r="S731" s="31" t="n"/>
      <c r="T731" s="31" t="n"/>
      <c r="U731" s="31" t="n"/>
      <c r="V731" s="31" t="n"/>
      <c r="W731" s="31" t="n"/>
      <c r="X731" s="31" t="n"/>
      <c r="Y731" s="31" t="n"/>
    </row>
    <row r="732" ht="14.25" customHeight="1">
      <c r="A732" s="32" t="n"/>
      <c r="P732" s="31" t="n"/>
      <c r="Q732" s="31" t="n"/>
      <c r="R732" s="31" t="n"/>
      <c r="S732" s="31" t="n"/>
      <c r="T732" s="31" t="n"/>
      <c r="U732" s="31" t="n"/>
      <c r="V732" s="31" t="n"/>
      <c r="W732" s="31" t="n"/>
      <c r="X732" s="31" t="n"/>
      <c r="Y732" s="31" t="n"/>
    </row>
    <row r="733" ht="14.25" customHeight="1">
      <c r="A733" s="32" t="n"/>
      <c r="P733" s="31" t="n"/>
      <c r="Q733" s="31" t="n"/>
      <c r="R733" s="31" t="n"/>
      <c r="S733" s="31" t="n"/>
      <c r="T733" s="31" t="n"/>
      <c r="U733" s="31" t="n"/>
      <c r="V733" s="31" t="n"/>
      <c r="W733" s="31" t="n"/>
      <c r="X733" s="31" t="n"/>
      <c r="Y733" s="31" t="n"/>
    </row>
    <row r="734" ht="14.25" customHeight="1">
      <c r="A734" s="32" t="n"/>
      <c r="P734" s="31" t="n"/>
      <c r="Q734" s="31" t="n"/>
      <c r="R734" s="31" t="n"/>
      <c r="S734" s="31" t="n"/>
      <c r="T734" s="31" t="n"/>
      <c r="U734" s="31" t="n"/>
      <c r="V734" s="31" t="n"/>
      <c r="W734" s="31" t="n"/>
      <c r="X734" s="31" t="n"/>
      <c r="Y734" s="31" t="n"/>
    </row>
    <row r="735" ht="14.25" customHeight="1">
      <c r="A735" s="32" t="n"/>
      <c r="P735" s="31" t="n"/>
      <c r="Q735" s="31" t="n"/>
      <c r="R735" s="31" t="n"/>
      <c r="S735" s="31" t="n"/>
      <c r="T735" s="31" t="n"/>
      <c r="U735" s="31" t="n"/>
      <c r="V735" s="31" t="n"/>
      <c r="W735" s="31" t="n"/>
      <c r="X735" s="31" t="n"/>
      <c r="Y735" s="31" t="n"/>
    </row>
    <row r="736" ht="14.25" customHeight="1">
      <c r="A736" s="32" t="n"/>
      <c r="P736" s="31" t="n"/>
      <c r="Q736" s="31" t="n"/>
      <c r="R736" s="31" t="n"/>
      <c r="S736" s="31" t="n"/>
      <c r="T736" s="31" t="n"/>
      <c r="U736" s="31" t="n"/>
      <c r="V736" s="31" t="n"/>
      <c r="W736" s="31" t="n"/>
      <c r="X736" s="31" t="n"/>
      <c r="Y736" s="31" t="n"/>
    </row>
    <row r="737" ht="14.25" customHeight="1">
      <c r="A737" s="32" t="n"/>
      <c r="P737" s="31" t="n"/>
      <c r="Q737" s="31" t="n"/>
      <c r="R737" s="31" t="n"/>
      <c r="S737" s="31" t="n"/>
      <c r="T737" s="31" t="n"/>
      <c r="U737" s="31" t="n"/>
      <c r="V737" s="31" t="n"/>
      <c r="W737" s="31" t="n"/>
      <c r="X737" s="31" t="n"/>
      <c r="Y737" s="31" t="n"/>
    </row>
    <row r="738" ht="14.25" customHeight="1">
      <c r="A738" s="32" t="n"/>
      <c r="P738" s="31" t="n"/>
      <c r="Q738" s="31" t="n"/>
      <c r="R738" s="31" t="n"/>
      <c r="S738" s="31" t="n"/>
      <c r="T738" s="31" t="n"/>
      <c r="U738" s="31" t="n"/>
      <c r="V738" s="31" t="n"/>
      <c r="W738" s="31" t="n"/>
      <c r="X738" s="31" t="n"/>
      <c r="Y738" s="31" t="n"/>
    </row>
    <row r="739" ht="14.25" customHeight="1">
      <c r="A739" s="32" t="n"/>
      <c r="P739" s="31" t="n"/>
      <c r="Q739" s="31" t="n"/>
      <c r="R739" s="31" t="n"/>
      <c r="S739" s="31" t="n"/>
      <c r="T739" s="31" t="n"/>
      <c r="U739" s="31" t="n"/>
      <c r="V739" s="31" t="n"/>
      <c r="W739" s="31" t="n"/>
      <c r="X739" s="31" t="n"/>
      <c r="Y739" s="31" t="n"/>
    </row>
    <row r="740" ht="14.25" customHeight="1">
      <c r="A740" s="32" t="n"/>
      <c r="P740" s="31" t="n"/>
      <c r="Q740" s="31" t="n"/>
      <c r="R740" s="31" t="n"/>
      <c r="S740" s="31" t="n"/>
      <c r="T740" s="31" t="n"/>
      <c r="U740" s="31" t="n"/>
      <c r="V740" s="31" t="n"/>
      <c r="W740" s="31" t="n"/>
      <c r="X740" s="31" t="n"/>
      <c r="Y740" s="31" t="n"/>
    </row>
    <row r="741" ht="14.25" customHeight="1">
      <c r="A741" s="32" t="n"/>
      <c r="P741" s="31" t="n"/>
      <c r="Q741" s="31" t="n"/>
      <c r="R741" s="31" t="n"/>
      <c r="S741" s="31" t="n"/>
      <c r="T741" s="31" t="n"/>
      <c r="U741" s="31" t="n"/>
      <c r="V741" s="31" t="n"/>
      <c r="W741" s="31" t="n"/>
      <c r="X741" s="31" t="n"/>
      <c r="Y741" s="31" t="n"/>
    </row>
    <row r="742" ht="14.25" customHeight="1">
      <c r="A742" s="32" t="n"/>
      <c r="P742" s="31" t="n"/>
      <c r="Q742" s="31" t="n"/>
      <c r="R742" s="31" t="n"/>
      <c r="S742" s="31" t="n"/>
      <c r="T742" s="31" t="n"/>
      <c r="U742" s="31" t="n"/>
      <c r="V742" s="31" t="n"/>
      <c r="W742" s="31" t="n"/>
      <c r="X742" s="31" t="n"/>
      <c r="Y742" s="31" t="n"/>
    </row>
    <row r="743" ht="14.25" customHeight="1">
      <c r="A743" s="32" t="n"/>
      <c r="P743" s="31" t="n"/>
      <c r="Q743" s="31" t="n"/>
      <c r="R743" s="31" t="n"/>
      <c r="S743" s="31" t="n"/>
      <c r="T743" s="31" t="n"/>
      <c r="U743" s="31" t="n"/>
      <c r="V743" s="31" t="n"/>
      <c r="W743" s="31" t="n"/>
      <c r="X743" s="31" t="n"/>
      <c r="Y743" s="31" t="n"/>
    </row>
    <row r="744" ht="14.25" customHeight="1">
      <c r="A744" s="32" t="n"/>
      <c r="P744" s="31" t="n"/>
      <c r="Q744" s="31" t="n"/>
      <c r="R744" s="31" t="n"/>
      <c r="S744" s="31" t="n"/>
      <c r="T744" s="31" t="n"/>
      <c r="U744" s="31" t="n"/>
      <c r="V744" s="31" t="n"/>
      <c r="W744" s="31" t="n"/>
      <c r="X744" s="31" t="n"/>
      <c r="Y744" s="31" t="n"/>
    </row>
    <row r="745" ht="14.25" customHeight="1">
      <c r="A745" s="32" t="n"/>
      <c r="P745" s="31" t="n"/>
      <c r="Q745" s="31" t="n"/>
      <c r="R745" s="31" t="n"/>
      <c r="S745" s="31" t="n"/>
      <c r="T745" s="31" t="n"/>
      <c r="U745" s="31" t="n"/>
      <c r="V745" s="31" t="n"/>
      <c r="W745" s="31" t="n"/>
      <c r="X745" s="31" t="n"/>
      <c r="Y745" s="31" t="n"/>
    </row>
    <row r="746" ht="14.25" customHeight="1">
      <c r="A746" s="32" t="n"/>
      <c r="P746" s="31" t="n"/>
      <c r="Q746" s="31" t="n"/>
      <c r="R746" s="31" t="n"/>
      <c r="S746" s="31" t="n"/>
      <c r="T746" s="31" t="n"/>
      <c r="U746" s="31" t="n"/>
      <c r="V746" s="31" t="n"/>
      <c r="W746" s="31" t="n"/>
      <c r="X746" s="31" t="n"/>
      <c r="Y746" s="31" t="n"/>
    </row>
    <row r="747" ht="14.25" customHeight="1">
      <c r="A747" s="32" t="n"/>
      <c r="P747" s="31" t="n"/>
      <c r="Q747" s="31" t="n"/>
      <c r="R747" s="31" t="n"/>
      <c r="S747" s="31" t="n"/>
      <c r="T747" s="31" t="n"/>
      <c r="U747" s="31" t="n"/>
      <c r="V747" s="31" t="n"/>
      <c r="W747" s="31" t="n"/>
      <c r="X747" s="31" t="n"/>
      <c r="Y747" s="31" t="n"/>
    </row>
    <row r="748" ht="14.25" customHeight="1">
      <c r="A748" s="32" t="n"/>
      <c r="P748" s="31" t="n"/>
      <c r="Q748" s="31" t="n"/>
      <c r="R748" s="31" t="n"/>
      <c r="S748" s="31" t="n"/>
      <c r="T748" s="31" t="n"/>
      <c r="U748" s="31" t="n"/>
      <c r="V748" s="31" t="n"/>
      <c r="W748" s="31" t="n"/>
      <c r="X748" s="31" t="n"/>
      <c r="Y748" s="31" t="n"/>
    </row>
    <row r="749" ht="14.25" customHeight="1">
      <c r="A749" s="32" t="n"/>
      <c r="P749" s="31" t="n"/>
      <c r="Q749" s="31" t="n"/>
      <c r="R749" s="31" t="n"/>
      <c r="S749" s="31" t="n"/>
      <c r="T749" s="31" t="n"/>
      <c r="U749" s="31" t="n"/>
      <c r="V749" s="31" t="n"/>
      <c r="W749" s="31" t="n"/>
      <c r="X749" s="31" t="n"/>
      <c r="Y749" s="31" t="n"/>
    </row>
    <row r="750" ht="14.25" customHeight="1">
      <c r="A750" s="32" t="n"/>
      <c r="P750" s="31" t="n"/>
      <c r="Q750" s="31" t="n"/>
      <c r="R750" s="31" t="n"/>
      <c r="S750" s="31" t="n"/>
      <c r="T750" s="31" t="n"/>
      <c r="U750" s="31" t="n"/>
      <c r="V750" s="31" t="n"/>
      <c r="W750" s="31" t="n"/>
      <c r="X750" s="31" t="n"/>
      <c r="Y750" s="31" t="n"/>
    </row>
    <row r="751" ht="14.25" customHeight="1">
      <c r="A751" s="32" t="n"/>
      <c r="P751" s="31" t="n"/>
      <c r="Q751" s="31" t="n"/>
      <c r="R751" s="31" t="n"/>
      <c r="S751" s="31" t="n"/>
      <c r="T751" s="31" t="n"/>
      <c r="U751" s="31" t="n"/>
      <c r="V751" s="31" t="n"/>
      <c r="W751" s="31" t="n"/>
      <c r="X751" s="31" t="n"/>
      <c r="Y751" s="31" t="n"/>
    </row>
    <row r="752" ht="14.25" customHeight="1">
      <c r="A752" s="32" t="n"/>
      <c r="P752" s="31" t="n"/>
      <c r="Q752" s="31" t="n"/>
      <c r="R752" s="31" t="n"/>
      <c r="S752" s="31" t="n"/>
      <c r="T752" s="31" t="n"/>
      <c r="U752" s="31" t="n"/>
      <c r="V752" s="31" t="n"/>
      <c r="W752" s="31" t="n"/>
      <c r="X752" s="31" t="n"/>
      <c r="Y752" s="31" t="n"/>
    </row>
    <row r="753" ht="14.25" customHeight="1">
      <c r="A753" s="32" t="n"/>
      <c r="P753" s="31" t="n"/>
      <c r="Q753" s="31" t="n"/>
      <c r="R753" s="31" t="n"/>
      <c r="S753" s="31" t="n"/>
      <c r="T753" s="31" t="n"/>
      <c r="U753" s="31" t="n"/>
      <c r="V753" s="31" t="n"/>
      <c r="W753" s="31" t="n"/>
      <c r="X753" s="31" t="n"/>
      <c r="Y753" s="31" t="n"/>
    </row>
    <row r="754" ht="14.25" customHeight="1">
      <c r="A754" s="32" t="n"/>
      <c r="P754" s="31" t="n"/>
      <c r="Q754" s="31" t="n"/>
      <c r="R754" s="31" t="n"/>
      <c r="S754" s="31" t="n"/>
      <c r="T754" s="31" t="n"/>
      <c r="U754" s="31" t="n"/>
      <c r="V754" s="31" t="n"/>
      <c r="W754" s="31" t="n"/>
      <c r="X754" s="31" t="n"/>
      <c r="Y754" s="31" t="n"/>
    </row>
    <row r="755" ht="14.25" customHeight="1">
      <c r="A755" s="32" t="n"/>
      <c r="P755" s="31" t="n"/>
      <c r="Q755" s="31" t="n"/>
      <c r="R755" s="31" t="n"/>
      <c r="S755" s="31" t="n"/>
      <c r="T755" s="31" t="n"/>
      <c r="U755" s="31" t="n"/>
      <c r="V755" s="31" t="n"/>
      <c r="W755" s="31" t="n"/>
      <c r="X755" s="31" t="n"/>
      <c r="Y755" s="31" t="n"/>
    </row>
    <row r="756" ht="14.25" customHeight="1">
      <c r="A756" s="32" t="n"/>
      <c r="P756" s="31" t="n"/>
      <c r="Q756" s="31" t="n"/>
      <c r="R756" s="31" t="n"/>
      <c r="S756" s="31" t="n"/>
      <c r="T756" s="31" t="n"/>
      <c r="U756" s="31" t="n"/>
      <c r="V756" s="31" t="n"/>
      <c r="W756" s="31" t="n"/>
      <c r="X756" s="31" t="n"/>
      <c r="Y756" s="31" t="n"/>
    </row>
    <row r="757" ht="14.25" customHeight="1">
      <c r="A757" s="32" t="n"/>
      <c r="P757" s="31" t="n"/>
      <c r="Q757" s="31" t="n"/>
      <c r="R757" s="31" t="n"/>
      <c r="S757" s="31" t="n"/>
      <c r="T757" s="31" t="n"/>
      <c r="U757" s="31" t="n"/>
      <c r="V757" s="31" t="n"/>
      <c r="W757" s="31" t="n"/>
      <c r="X757" s="31" t="n"/>
      <c r="Y757" s="31" t="n"/>
    </row>
    <row r="758" ht="14.25" customHeight="1">
      <c r="A758" s="32" t="n"/>
      <c r="P758" s="31" t="n"/>
      <c r="Q758" s="31" t="n"/>
      <c r="R758" s="31" t="n"/>
      <c r="S758" s="31" t="n"/>
      <c r="T758" s="31" t="n"/>
      <c r="U758" s="31" t="n"/>
      <c r="V758" s="31" t="n"/>
      <c r="W758" s="31" t="n"/>
      <c r="X758" s="31" t="n"/>
      <c r="Y758" s="31" t="n"/>
    </row>
    <row r="759" ht="14.25" customHeight="1">
      <c r="A759" s="32" t="n"/>
      <c r="P759" s="31" t="n"/>
      <c r="Q759" s="31" t="n"/>
      <c r="R759" s="31" t="n"/>
      <c r="S759" s="31" t="n"/>
      <c r="T759" s="31" t="n"/>
      <c r="U759" s="31" t="n"/>
      <c r="V759" s="31" t="n"/>
      <c r="W759" s="31" t="n"/>
      <c r="X759" s="31" t="n"/>
      <c r="Y759" s="31" t="n"/>
    </row>
    <row r="760" ht="14.25" customHeight="1">
      <c r="A760" s="32" t="n"/>
      <c r="P760" s="31" t="n"/>
      <c r="Q760" s="31" t="n"/>
      <c r="R760" s="31" t="n"/>
      <c r="S760" s="31" t="n"/>
      <c r="T760" s="31" t="n"/>
      <c r="U760" s="31" t="n"/>
      <c r="V760" s="31" t="n"/>
      <c r="W760" s="31" t="n"/>
      <c r="X760" s="31" t="n"/>
      <c r="Y760" s="31" t="n"/>
    </row>
    <row r="761" ht="14.25" customHeight="1">
      <c r="A761" s="32" t="n"/>
      <c r="P761" s="31" t="n"/>
      <c r="Q761" s="31" t="n"/>
      <c r="R761" s="31" t="n"/>
      <c r="S761" s="31" t="n"/>
      <c r="T761" s="31" t="n"/>
      <c r="U761" s="31" t="n"/>
      <c r="V761" s="31" t="n"/>
      <c r="W761" s="31" t="n"/>
      <c r="X761" s="31" t="n"/>
      <c r="Y761" s="31" t="n"/>
    </row>
    <row r="762" ht="14.25" customHeight="1">
      <c r="A762" s="32" t="n"/>
      <c r="P762" s="31" t="n"/>
      <c r="Q762" s="31" t="n"/>
      <c r="R762" s="31" t="n"/>
      <c r="S762" s="31" t="n"/>
      <c r="T762" s="31" t="n"/>
      <c r="U762" s="31" t="n"/>
      <c r="V762" s="31" t="n"/>
      <c r="W762" s="31" t="n"/>
      <c r="X762" s="31" t="n"/>
      <c r="Y762" s="31" t="n"/>
    </row>
    <row r="763" ht="14.25" customHeight="1">
      <c r="A763" s="32" t="n"/>
      <c r="P763" s="31" t="n"/>
      <c r="Q763" s="31" t="n"/>
      <c r="R763" s="31" t="n"/>
      <c r="S763" s="31" t="n"/>
      <c r="T763" s="31" t="n"/>
      <c r="U763" s="31" t="n"/>
      <c r="V763" s="31" t="n"/>
      <c r="W763" s="31" t="n"/>
      <c r="X763" s="31" t="n"/>
      <c r="Y763" s="31" t="n"/>
    </row>
    <row r="764" ht="14.25" customHeight="1">
      <c r="A764" s="32" t="n"/>
      <c r="P764" s="31" t="n"/>
      <c r="Q764" s="31" t="n"/>
      <c r="R764" s="31" t="n"/>
      <c r="S764" s="31" t="n"/>
      <c r="T764" s="31" t="n"/>
      <c r="U764" s="31" t="n"/>
      <c r="V764" s="31" t="n"/>
      <c r="W764" s="31" t="n"/>
      <c r="X764" s="31" t="n"/>
      <c r="Y764" s="31" t="n"/>
    </row>
    <row r="765" ht="14.25" customHeight="1">
      <c r="A765" s="32" t="n"/>
      <c r="P765" s="31" t="n"/>
      <c r="Q765" s="31" t="n"/>
      <c r="R765" s="31" t="n"/>
      <c r="S765" s="31" t="n"/>
      <c r="T765" s="31" t="n"/>
      <c r="U765" s="31" t="n"/>
      <c r="V765" s="31" t="n"/>
      <c r="W765" s="31" t="n"/>
      <c r="X765" s="31" t="n"/>
      <c r="Y765" s="31" t="n"/>
    </row>
    <row r="766" ht="14.25" customHeight="1">
      <c r="A766" s="32" t="n"/>
      <c r="P766" s="31" t="n"/>
      <c r="Q766" s="31" t="n"/>
      <c r="R766" s="31" t="n"/>
      <c r="S766" s="31" t="n"/>
      <c r="T766" s="31" t="n"/>
      <c r="U766" s="31" t="n"/>
      <c r="V766" s="31" t="n"/>
      <c r="W766" s="31" t="n"/>
      <c r="X766" s="31" t="n"/>
      <c r="Y766" s="31" t="n"/>
    </row>
    <row r="767" ht="14.25" customHeight="1">
      <c r="A767" s="32" t="n"/>
      <c r="P767" s="31" t="n"/>
      <c r="Q767" s="31" t="n"/>
      <c r="R767" s="31" t="n"/>
      <c r="S767" s="31" t="n"/>
      <c r="T767" s="31" t="n"/>
      <c r="U767" s="31" t="n"/>
      <c r="V767" s="31" t="n"/>
      <c r="W767" s="31" t="n"/>
      <c r="X767" s="31" t="n"/>
      <c r="Y767" s="31" t="n"/>
    </row>
    <row r="768" ht="14.25" customHeight="1">
      <c r="A768" s="32" t="n"/>
      <c r="P768" s="31" t="n"/>
      <c r="Q768" s="31" t="n"/>
      <c r="R768" s="31" t="n"/>
      <c r="S768" s="31" t="n"/>
      <c r="T768" s="31" t="n"/>
      <c r="U768" s="31" t="n"/>
      <c r="V768" s="31" t="n"/>
      <c r="W768" s="31" t="n"/>
      <c r="X768" s="31" t="n"/>
      <c r="Y768" s="31" t="n"/>
    </row>
    <row r="769" ht="14.25" customHeight="1">
      <c r="A769" s="32" t="n"/>
      <c r="P769" s="31" t="n"/>
      <c r="Q769" s="31" t="n"/>
      <c r="R769" s="31" t="n"/>
      <c r="S769" s="31" t="n"/>
      <c r="T769" s="31" t="n"/>
      <c r="U769" s="31" t="n"/>
      <c r="V769" s="31" t="n"/>
      <c r="W769" s="31" t="n"/>
      <c r="X769" s="31" t="n"/>
      <c r="Y769" s="31" t="n"/>
    </row>
    <row r="770" ht="14.25" customHeight="1">
      <c r="A770" s="32" t="n"/>
      <c r="P770" s="31" t="n"/>
      <c r="Q770" s="31" t="n"/>
      <c r="R770" s="31" t="n"/>
      <c r="S770" s="31" t="n"/>
      <c r="T770" s="31" t="n"/>
      <c r="U770" s="31" t="n"/>
      <c r="V770" s="31" t="n"/>
      <c r="W770" s="31" t="n"/>
      <c r="X770" s="31" t="n"/>
      <c r="Y770" s="31" t="n"/>
    </row>
    <row r="771" ht="14.25" customHeight="1">
      <c r="A771" s="32" t="n"/>
      <c r="P771" s="31" t="n"/>
      <c r="Q771" s="31" t="n"/>
      <c r="R771" s="31" t="n"/>
      <c r="S771" s="31" t="n"/>
      <c r="T771" s="31" t="n"/>
      <c r="U771" s="31" t="n"/>
      <c r="V771" s="31" t="n"/>
      <c r="W771" s="31" t="n"/>
      <c r="X771" s="31" t="n"/>
      <c r="Y771" s="31" t="n"/>
    </row>
    <row r="772" ht="14.25" customHeight="1">
      <c r="A772" s="32" t="n"/>
      <c r="P772" s="31" t="n"/>
      <c r="Q772" s="31" t="n"/>
      <c r="R772" s="31" t="n"/>
      <c r="S772" s="31" t="n"/>
      <c r="T772" s="31" t="n"/>
      <c r="U772" s="31" t="n"/>
      <c r="V772" s="31" t="n"/>
      <c r="W772" s="31" t="n"/>
      <c r="X772" s="31" t="n"/>
      <c r="Y772" s="31" t="n"/>
    </row>
    <row r="773" ht="14.25" customHeight="1">
      <c r="A773" s="32" t="n"/>
      <c r="P773" s="31" t="n"/>
      <c r="Q773" s="31" t="n"/>
      <c r="R773" s="31" t="n"/>
      <c r="S773" s="31" t="n"/>
      <c r="T773" s="31" t="n"/>
      <c r="U773" s="31" t="n"/>
      <c r="V773" s="31" t="n"/>
      <c r="W773" s="31" t="n"/>
      <c r="X773" s="31" t="n"/>
      <c r="Y773" s="31" t="n"/>
    </row>
    <row r="774" ht="14.25" customHeight="1">
      <c r="A774" s="32" t="n"/>
      <c r="P774" s="31" t="n"/>
      <c r="Q774" s="31" t="n"/>
      <c r="R774" s="31" t="n"/>
      <c r="S774" s="31" t="n"/>
      <c r="T774" s="31" t="n"/>
      <c r="U774" s="31" t="n"/>
      <c r="V774" s="31" t="n"/>
      <c r="W774" s="31" t="n"/>
      <c r="X774" s="31" t="n"/>
      <c r="Y774" s="31" t="n"/>
    </row>
    <row r="775" ht="14.25" customHeight="1">
      <c r="A775" s="32" t="n"/>
      <c r="P775" s="31" t="n"/>
      <c r="Q775" s="31" t="n"/>
      <c r="R775" s="31" t="n"/>
      <c r="S775" s="31" t="n"/>
      <c r="T775" s="31" t="n"/>
      <c r="U775" s="31" t="n"/>
      <c r="V775" s="31" t="n"/>
      <c r="W775" s="31" t="n"/>
      <c r="X775" s="31" t="n"/>
      <c r="Y775" s="31" t="n"/>
    </row>
    <row r="776" ht="14.25" customHeight="1">
      <c r="A776" s="32" t="n"/>
      <c r="P776" s="31" t="n"/>
      <c r="Q776" s="31" t="n"/>
      <c r="R776" s="31" t="n"/>
      <c r="S776" s="31" t="n"/>
      <c r="T776" s="31" t="n"/>
      <c r="U776" s="31" t="n"/>
      <c r="V776" s="31" t="n"/>
      <c r="W776" s="31" t="n"/>
      <c r="X776" s="31" t="n"/>
      <c r="Y776" s="31" t="n"/>
    </row>
    <row r="777" ht="14.25" customHeight="1">
      <c r="A777" s="32" t="n"/>
      <c r="P777" s="31" t="n"/>
      <c r="Q777" s="31" t="n"/>
      <c r="R777" s="31" t="n"/>
      <c r="S777" s="31" t="n"/>
      <c r="T777" s="31" t="n"/>
      <c r="U777" s="31" t="n"/>
      <c r="V777" s="31" t="n"/>
      <c r="W777" s="31" t="n"/>
      <c r="X777" s="31" t="n"/>
      <c r="Y777" s="31" t="n"/>
    </row>
    <row r="778" ht="14.25" customHeight="1">
      <c r="A778" s="32" t="n"/>
      <c r="P778" s="31" t="n"/>
      <c r="Q778" s="31" t="n"/>
      <c r="R778" s="31" t="n"/>
      <c r="S778" s="31" t="n"/>
      <c r="T778" s="31" t="n"/>
      <c r="U778" s="31" t="n"/>
      <c r="V778" s="31" t="n"/>
      <c r="W778" s="31" t="n"/>
      <c r="X778" s="31" t="n"/>
      <c r="Y778" s="31" t="n"/>
    </row>
    <row r="779" ht="14.25" customHeight="1">
      <c r="A779" s="32" t="n"/>
      <c r="P779" s="31" t="n"/>
      <c r="Q779" s="31" t="n"/>
      <c r="R779" s="31" t="n"/>
      <c r="S779" s="31" t="n"/>
      <c r="T779" s="31" t="n"/>
      <c r="U779" s="31" t="n"/>
      <c r="V779" s="31" t="n"/>
      <c r="W779" s="31" t="n"/>
      <c r="X779" s="31" t="n"/>
      <c r="Y779" s="31" t="n"/>
    </row>
    <row r="780" ht="14.25" customHeight="1">
      <c r="A780" s="32" t="n"/>
      <c r="P780" s="31" t="n"/>
      <c r="Q780" s="31" t="n"/>
      <c r="R780" s="31" t="n"/>
      <c r="S780" s="31" t="n"/>
      <c r="T780" s="31" t="n"/>
      <c r="U780" s="31" t="n"/>
      <c r="V780" s="31" t="n"/>
      <c r="W780" s="31" t="n"/>
      <c r="X780" s="31" t="n"/>
      <c r="Y780" s="31" t="n"/>
    </row>
    <row r="781" ht="14.25" customHeight="1">
      <c r="A781" s="32" t="n"/>
      <c r="P781" s="31" t="n"/>
      <c r="Q781" s="31" t="n"/>
      <c r="R781" s="31" t="n"/>
      <c r="S781" s="31" t="n"/>
      <c r="T781" s="31" t="n"/>
      <c r="U781" s="31" t="n"/>
      <c r="V781" s="31" t="n"/>
      <c r="W781" s="31" t="n"/>
      <c r="X781" s="31" t="n"/>
      <c r="Y781" s="31" t="n"/>
    </row>
    <row r="782" ht="14.25" customHeight="1">
      <c r="A782" s="32" t="n"/>
      <c r="P782" s="31" t="n"/>
      <c r="Q782" s="31" t="n"/>
      <c r="R782" s="31" t="n"/>
      <c r="S782" s="31" t="n"/>
      <c r="T782" s="31" t="n"/>
      <c r="U782" s="31" t="n"/>
      <c r="V782" s="31" t="n"/>
      <c r="W782" s="31" t="n"/>
      <c r="X782" s="31" t="n"/>
      <c r="Y782" s="31" t="n"/>
    </row>
    <row r="783" ht="14.25" customHeight="1">
      <c r="A783" s="32" t="n"/>
      <c r="P783" s="31" t="n"/>
      <c r="Q783" s="31" t="n"/>
      <c r="R783" s="31" t="n"/>
      <c r="S783" s="31" t="n"/>
      <c r="T783" s="31" t="n"/>
      <c r="U783" s="31" t="n"/>
      <c r="V783" s="31" t="n"/>
      <c r="W783" s="31" t="n"/>
      <c r="X783" s="31" t="n"/>
      <c r="Y783" s="31" t="n"/>
    </row>
    <row r="784" ht="14.25" customHeight="1">
      <c r="A784" s="32" t="n"/>
      <c r="P784" s="31" t="n"/>
      <c r="Q784" s="31" t="n"/>
      <c r="R784" s="31" t="n"/>
      <c r="S784" s="31" t="n"/>
      <c r="T784" s="31" t="n"/>
      <c r="U784" s="31" t="n"/>
      <c r="V784" s="31" t="n"/>
      <c r="W784" s="31" t="n"/>
      <c r="X784" s="31" t="n"/>
      <c r="Y784" s="31" t="n"/>
    </row>
    <row r="785" ht="14.25" customHeight="1">
      <c r="A785" s="32" t="n"/>
      <c r="P785" s="31" t="n"/>
      <c r="Q785" s="31" t="n"/>
      <c r="R785" s="31" t="n"/>
      <c r="S785" s="31" t="n"/>
      <c r="T785" s="31" t="n"/>
      <c r="U785" s="31" t="n"/>
      <c r="V785" s="31" t="n"/>
      <c r="W785" s="31" t="n"/>
      <c r="X785" s="31" t="n"/>
      <c r="Y785" s="31" t="n"/>
    </row>
    <row r="786" ht="14.25" customHeight="1">
      <c r="A786" s="32" t="n"/>
      <c r="P786" s="31" t="n"/>
      <c r="Q786" s="31" t="n"/>
      <c r="R786" s="31" t="n"/>
      <c r="S786" s="31" t="n"/>
      <c r="T786" s="31" t="n"/>
      <c r="U786" s="31" t="n"/>
      <c r="V786" s="31" t="n"/>
      <c r="W786" s="31" t="n"/>
      <c r="X786" s="31" t="n"/>
      <c r="Y786" s="31" t="n"/>
    </row>
    <row r="787" ht="14.25" customHeight="1">
      <c r="A787" s="32" t="n"/>
      <c r="P787" s="31" t="n"/>
      <c r="Q787" s="31" t="n"/>
      <c r="R787" s="31" t="n"/>
      <c r="S787" s="31" t="n"/>
      <c r="T787" s="31" t="n"/>
      <c r="U787" s="31" t="n"/>
      <c r="V787" s="31" t="n"/>
      <c r="W787" s="31" t="n"/>
      <c r="X787" s="31" t="n"/>
      <c r="Y787" s="31" t="n"/>
    </row>
    <row r="788" ht="14.25" customHeight="1">
      <c r="A788" s="32" t="n"/>
      <c r="P788" s="31" t="n"/>
      <c r="Q788" s="31" t="n"/>
      <c r="R788" s="31" t="n"/>
      <c r="S788" s="31" t="n"/>
      <c r="T788" s="31" t="n"/>
      <c r="U788" s="31" t="n"/>
      <c r="V788" s="31" t="n"/>
      <c r="W788" s="31" t="n"/>
      <c r="X788" s="31" t="n"/>
      <c r="Y788" s="31" t="n"/>
    </row>
    <row r="789" ht="14.25" customHeight="1">
      <c r="A789" s="32" t="n"/>
      <c r="P789" s="31" t="n"/>
      <c r="Q789" s="31" t="n"/>
      <c r="R789" s="31" t="n"/>
      <c r="S789" s="31" t="n"/>
      <c r="T789" s="31" t="n"/>
      <c r="U789" s="31" t="n"/>
      <c r="V789" s="31" t="n"/>
      <c r="W789" s="31" t="n"/>
      <c r="X789" s="31" t="n"/>
      <c r="Y789" s="31" t="n"/>
    </row>
    <row r="790" ht="14.25" customHeight="1">
      <c r="A790" s="32" t="n"/>
      <c r="P790" s="31" t="n"/>
      <c r="Q790" s="31" t="n"/>
      <c r="R790" s="31" t="n"/>
      <c r="S790" s="31" t="n"/>
      <c r="T790" s="31" t="n"/>
      <c r="U790" s="31" t="n"/>
      <c r="V790" s="31" t="n"/>
      <c r="W790" s="31" t="n"/>
      <c r="X790" s="31" t="n"/>
      <c r="Y790" s="31" t="n"/>
    </row>
    <row r="791" ht="14.25" customHeight="1">
      <c r="A791" s="32" t="n"/>
      <c r="P791" s="31" t="n"/>
      <c r="Q791" s="31" t="n"/>
      <c r="R791" s="31" t="n"/>
      <c r="S791" s="31" t="n"/>
      <c r="T791" s="31" t="n"/>
      <c r="U791" s="31" t="n"/>
      <c r="V791" s="31" t="n"/>
      <c r="W791" s="31" t="n"/>
      <c r="X791" s="31" t="n"/>
      <c r="Y791" s="31" t="n"/>
    </row>
    <row r="792" ht="14.25" customHeight="1">
      <c r="A792" s="32" t="n"/>
      <c r="P792" s="31" t="n"/>
      <c r="Q792" s="31" t="n"/>
      <c r="R792" s="31" t="n"/>
      <c r="S792" s="31" t="n"/>
      <c r="T792" s="31" t="n"/>
      <c r="U792" s="31" t="n"/>
      <c r="V792" s="31" t="n"/>
      <c r="W792" s="31" t="n"/>
      <c r="X792" s="31" t="n"/>
      <c r="Y792" s="31" t="n"/>
    </row>
    <row r="793" ht="14.25" customHeight="1">
      <c r="A793" s="32" t="n"/>
      <c r="P793" s="31" t="n"/>
      <c r="Q793" s="31" t="n"/>
      <c r="R793" s="31" t="n"/>
      <c r="S793" s="31" t="n"/>
      <c r="T793" s="31" t="n"/>
      <c r="U793" s="31" t="n"/>
      <c r="V793" s="31" t="n"/>
      <c r="W793" s="31" t="n"/>
      <c r="X793" s="31" t="n"/>
      <c r="Y793" s="31" t="n"/>
    </row>
    <row r="794" ht="14.25" customHeight="1">
      <c r="A794" s="32" t="n"/>
      <c r="P794" s="31" t="n"/>
      <c r="Q794" s="31" t="n"/>
      <c r="R794" s="31" t="n"/>
      <c r="S794" s="31" t="n"/>
      <c r="T794" s="31" t="n"/>
      <c r="U794" s="31" t="n"/>
      <c r="V794" s="31" t="n"/>
      <c r="W794" s="31" t="n"/>
      <c r="X794" s="31" t="n"/>
      <c r="Y794" s="31" t="n"/>
    </row>
    <row r="795" ht="14.25" customHeight="1">
      <c r="A795" s="32" t="n"/>
      <c r="P795" s="31" t="n"/>
      <c r="Q795" s="31" t="n"/>
      <c r="R795" s="31" t="n"/>
      <c r="S795" s="31" t="n"/>
      <c r="T795" s="31" t="n"/>
      <c r="U795" s="31" t="n"/>
      <c r="V795" s="31" t="n"/>
      <c r="W795" s="31" t="n"/>
      <c r="X795" s="31" t="n"/>
      <c r="Y795" s="31" t="n"/>
    </row>
    <row r="796" ht="14.25" customHeight="1">
      <c r="A796" s="32" t="n"/>
      <c r="P796" s="31" t="n"/>
      <c r="Q796" s="31" t="n"/>
      <c r="R796" s="31" t="n"/>
      <c r="S796" s="31" t="n"/>
      <c r="T796" s="31" t="n"/>
      <c r="U796" s="31" t="n"/>
      <c r="V796" s="31" t="n"/>
      <c r="W796" s="31" t="n"/>
      <c r="X796" s="31" t="n"/>
      <c r="Y796" s="31" t="n"/>
    </row>
    <row r="797" ht="14.25" customHeight="1">
      <c r="A797" s="32" t="n"/>
      <c r="P797" s="31" t="n"/>
      <c r="Q797" s="31" t="n"/>
      <c r="R797" s="31" t="n"/>
      <c r="S797" s="31" t="n"/>
      <c r="T797" s="31" t="n"/>
      <c r="U797" s="31" t="n"/>
      <c r="V797" s="31" t="n"/>
      <c r="W797" s="31" t="n"/>
      <c r="X797" s="31" t="n"/>
      <c r="Y797" s="31" t="n"/>
    </row>
    <row r="798" ht="14.25" customHeight="1">
      <c r="A798" s="32" t="n"/>
      <c r="P798" s="31" t="n"/>
      <c r="Q798" s="31" t="n"/>
      <c r="R798" s="31" t="n"/>
      <c r="S798" s="31" t="n"/>
      <c r="T798" s="31" t="n"/>
      <c r="U798" s="31" t="n"/>
      <c r="V798" s="31" t="n"/>
      <c r="W798" s="31" t="n"/>
      <c r="X798" s="31" t="n"/>
      <c r="Y798" s="31" t="n"/>
    </row>
    <row r="799" ht="14.25" customHeight="1">
      <c r="A799" s="32" t="n"/>
      <c r="P799" s="31" t="n"/>
      <c r="Q799" s="31" t="n"/>
      <c r="R799" s="31" t="n"/>
      <c r="S799" s="31" t="n"/>
      <c r="T799" s="31" t="n"/>
      <c r="U799" s="31" t="n"/>
      <c r="V799" s="31" t="n"/>
      <c r="W799" s="31" t="n"/>
      <c r="X799" s="31" t="n"/>
      <c r="Y799" s="31" t="n"/>
    </row>
    <row r="800" ht="14.25" customHeight="1">
      <c r="A800" s="32" t="n"/>
      <c r="P800" s="31" t="n"/>
      <c r="Q800" s="31" t="n"/>
      <c r="R800" s="31" t="n"/>
      <c r="S800" s="31" t="n"/>
      <c r="T800" s="31" t="n"/>
      <c r="U800" s="31" t="n"/>
      <c r="V800" s="31" t="n"/>
      <c r="W800" s="31" t="n"/>
      <c r="X800" s="31" t="n"/>
      <c r="Y800" s="31" t="n"/>
    </row>
    <row r="801" ht="14.25" customHeight="1">
      <c r="A801" s="32" t="n"/>
      <c r="P801" s="31" t="n"/>
      <c r="Q801" s="31" t="n"/>
      <c r="R801" s="31" t="n"/>
      <c r="S801" s="31" t="n"/>
      <c r="T801" s="31" t="n"/>
      <c r="U801" s="31" t="n"/>
      <c r="V801" s="31" t="n"/>
      <c r="W801" s="31" t="n"/>
      <c r="X801" s="31" t="n"/>
      <c r="Y801" s="31" t="n"/>
    </row>
    <row r="802" ht="14.25" customHeight="1">
      <c r="A802" s="32" t="n"/>
      <c r="P802" s="31" t="n"/>
      <c r="Q802" s="31" t="n"/>
      <c r="R802" s="31" t="n"/>
      <c r="S802" s="31" t="n"/>
      <c r="T802" s="31" t="n"/>
      <c r="U802" s="31" t="n"/>
      <c r="V802" s="31" t="n"/>
      <c r="W802" s="31" t="n"/>
      <c r="X802" s="31" t="n"/>
      <c r="Y802" s="31" t="n"/>
    </row>
    <row r="803" ht="14.25" customHeight="1">
      <c r="A803" s="32" t="n"/>
      <c r="P803" s="31" t="n"/>
      <c r="Q803" s="31" t="n"/>
      <c r="R803" s="31" t="n"/>
      <c r="S803" s="31" t="n"/>
      <c r="T803" s="31" t="n"/>
      <c r="U803" s="31" t="n"/>
      <c r="V803" s="31" t="n"/>
      <c r="W803" s="31" t="n"/>
      <c r="X803" s="31" t="n"/>
      <c r="Y803" s="31" t="n"/>
    </row>
    <row r="804" ht="14.25" customHeight="1">
      <c r="A804" s="32" t="n"/>
      <c r="P804" s="31" t="n"/>
      <c r="Q804" s="31" t="n"/>
      <c r="R804" s="31" t="n"/>
      <c r="S804" s="31" t="n"/>
      <c r="T804" s="31" t="n"/>
      <c r="U804" s="31" t="n"/>
      <c r="V804" s="31" t="n"/>
      <c r="W804" s="31" t="n"/>
      <c r="X804" s="31" t="n"/>
      <c r="Y804" s="31" t="n"/>
    </row>
    <row r="805" ht="14.25" customHeight="1">
      <c r="A805" s="32" t="n"/>
      <c r="P805" s="31" t="n"/>
      <c r="Q805" s="31" t="n"/>
      <c r="R805" s="31" t="n"/>
      <c r="S805" s="31" t="n"/>
      <c r="T805" s="31" t="n"/>
      <c r="U805" s="31" t="n"/>
      <c r="V805" s="31" t="n"/>
      <c r="W805" s="31" t="n"/>
      <c r="X805" s="31" t="n"/>
      <c r="Y805" s="31" t="n"/>
    </row>
    <row r="806" ht="14.25" customHeight="1">
      <c r="A806" s="32" t="n"/>
      <c r="P806" s="31" t="n"/>
      <c r="Q806" s="31" t="n"/>
      <c r="R806" s="31" t="n"/>
      <c r="S806" s="31" t="n"/>
      <c r="T806" s="31" t="n"/>
      <c r="U806" s="31" t="n"/>
      <c r="V806" s="31" t="n"/>
      <c r="W806" s="31" t="n"/>
      <c r="X806" s="31" t="n"/>
      <c r="Y806" s="31" t="n"/>
    </row>
    <row r="807" ht="14.25" customHeight="1">
      <c r="A807" s="32" t="n"/>
      <c r="P807" s="31" t="n"/>
      <c r="Q807" s="31" t="n"/>
      <c r="R807" s="31" t="n"/>
      <c r="S807" s="31" t="n"/>
      <c r="T807" s="31" t="n"/>
      <c r="U807" s="31" t="n"/>
      <c r="V807" s="31" t="n"/>
      <c r="W807" s="31" t="n"/>
      <c r="X807" s="31" t="n"/>
      <c r="Y807" s="31" t="n"/>
    </row>
    <row r="808" ht="14.25" customHeight="1">
      <c r="A808" s="32" t="n"/>
      <c r="P808" s="31" t="n"/>
      <c r="Q808" s="31" t="n"/>
      <c r="R808" s="31" t="n"/>
      <c r="S808" s="31" t="n"/>
      <c r="T808" s="31" t="n"/>
      <c r="U808" s="31" t="n"/>
      <c r="V808" s="31" t="n"/>
      <c r="W808" s="31" t="n"/>
      <c r="X808" s="31" t="n"/>
      <c r="Y808" s="31" t="n"/>
    </row>
    <row r="809" ht="14.25" customHeight="1">
      <c r="A809" s="32" t="n"/>
      <c r="P809" s="31" t="n"/>
      <c r="Q809" s="31" t="n"/>
      <c r="R809" s="31" t="n"/>
      <c r="S809" s="31" t="n"/>
      <c r="T809" s="31" t="n"/>
      <c r="U809" s="31" t="n"/>
      <c r="V809" s="31" t="n"/>
      <c r="W809" s="31" t="n"/>
      <c r="X809" s="31" t="n"/>
      <c r="Y809" s="31" t="n"/>
    </row>
    <row r="810" ht="14.25" customHeight="1">
      <c r="A810" s="32" t="n"/>
      <c r="P810" s="31" t="n"/>
      <c r="Q810" s="31" t="n"/>
      <c r="R810" s="31" t="n"/>
      <c r="S810" s="31" t="n"/>
      <c r="T810" s="31" t="n"/>
      <c r="U810" s="31" t="n"/>
      <c r="V810" s="31" t="n"/>
      <c r="W810" s="31" t="n"/>
      <c r="X810" s="31" t="n"/>
      <c r="Y810" s="31" t="n"/>
    </row>
    <row r="811" ht="14.25" customHeight="1">
      <c r="A811" s="32" t="n"/>
      <c r="P811" s="31" t="n"/>
      <c r="Q811" s="31" t="n"/>
      <c r="R811" s="31" t="n"/>
      <c r="S811" s="31" t="n"/>
      <c r="T811" s="31" t="n"/>
      <c r="U811" s="31" t="n"/>
      <c r="V811" s="31" t="n"/>
      <c r="W811" s="31" t="n"/>
      <c r="X811" s="31" t="n"/>
      <c r="Y811" s="31" t="n"/>
    </row>
    <row r="812" ht="14.25" customHeight="1">
      <c r="A812" s="32" t="n"/>
      <c r="P812" s="31" t="n"/>
      <c r="Q812" s="31" t="n"/>
      <c r="R812" s="31" t="n"/>
      <c r="S812" s="31" t="n"/>
      <c r="T812" s="31" t="n"/>
      <c r="U812" s="31" t="n"/>
      <c r="V812" s="31" t="n"/>
      <c r="W812" s="31" t="n"/>
      <c r="X812" s="31" t="n"/>
      <c r="Y812" s="31" t="n"/>
    </row>
    <row r="813" ht="14.25" customHeight="1">
      <c r="A813" s="32" t="n"/>
      <c r="P813" s="31" t="n"/>
      <c r="Q813" s="31" t="n"/>
      <c r="R813" s="31" t="n"/>
      <c r="S813" s="31" t="n"/>
      <c r="T813" s="31" t="n"/>
      <c r="U813" s="31" t="n"/>
      <c r="V813" s="31" t="n"/>
      <c r="W813" s="31" t="n"/>
      <c r="X813" s="31" t="n"/>
      <c r="Y813" s="31" t="n"/>
    </row>
    <row r="814" ht="14.25" customHeight="1">
      <c r="A814" s="32" t="n"/>
      <c r="P814" s="31" t="n"/>
      <c r="Q814" s="31" t="n"/>
      <c r="R814" s="31" t="n"/>
      <c r="S814" s="31" t="n"/>
      <c r="T814" s="31" t="n"/>
      <c r="U814" s="31" t="n"/>
      <c r="V814" s="31" t="n"/>
      <c r="W814" s="31" t="n"/>
      <c r="X814" s="31" t="n"/>
      <c r="Y814" s="31" t="n"/>
    </row>
    <row r="815" ht="14.25" customHeight="1">
      <c r="A815" s="32" t="n"/>
      <c r="P815" s="31" t="n"/>
      <c r="Q815" s="31" t="n"/>
      <c r="R815" s="31" t="n"/>
      <c r="S815" s="31" t="n"/>
      <c r="T815" s="31" t="n"/>
      <c r="U815" s="31" t="n"/>
      <c r="V815" s="31" t="n"/>
      <c r="W815" s="31" t="n"/>
      <c r="X815" s="31" t="n"/>
      <c r="Y815" s="31" t="n"/>
    </row>
    <row r="816" ht="14.25" customHeight="1">
      <c r="A816" s="32" t="n"/>
      <c r="P816" s="31" t="n"/>
      <c r="Q816" s="31" t="n"/>
      <c r="R816" s="31" t="n"/>
      <c r="S816" s="31" t="n"/>
      <c r="T816" s="31" t="n"/>
      <c r="U816" s="31" t="n"/>
      <c r="V816" s="31" t="n"/>
      <c r="W816" s="31" t="n"/>
      <c r="X816" s="31" t="n"/>
      <c r="Y816" s="31" t="n"/>
    </row>
    <row r="817" ht="14.25" customHeight="1">
      <c r="A817" s="32" t="n"/>
      <c r="P817" s="31" t="n"/>
      <c r="Q817" s="31" t="n"/>
      <c r="R817" s="31" t="n"/>
      <c r="S817" s="31" t="n"/>
      <c r="T817" s="31" t="n"/>
      <c r="U817" s="31" t="n"/>
      <c r="V817" s="31" t="n"/>
      <c r="W817" s="31" t="n"/>
      <c r="X817" s="31" t="n"/>
      <c r="Y817" s="31" t="n"/>
    </row>
    <row r="818" ht="14.25" customHeight="1">
      <c r="A818" s="32" t="n"/>
      <c r="P818" s="31" t="n"/>
      <c r="Q818" s="31" t="n"/>
      <c r="R818" s="31" t="n"/>
      <c r="S818" s="31" t="n"/>
      <c r="T818" s="31" t="n"/>
      <c r="U818" s="31" t="n"/>
      <c r="V818" s="31" t="n"/>
      <c r="W818" s="31" t="n"/>
      <c r="X818" s="31" t="n"/>
      <c r="Y818" s="31" t="n"/>
    </row>
    <row r="819" ht="14.25" customHeight="1">
      <c r="A819" s="32" t="n"/>
      <c r="P819" s="31" t="n"/>
      <c r="Q819" s="31" t="n"/>
      <c r="R819" s="31" t="n"/>
      <c r="S819" s="31" t="n"/>
      <c r="T819" s="31" t="n"/>
      <c r="U819" s="31" t="n"/>
      <c r="V819" s="31" t="n"/>
      <c r="W819" s="31" t="n"/>
      <c r="X819" s="31" t="n"/>
      <c r="Y819" s="31" t="n"/>
    </row>
    <row r="820" ht="14.25" customHeight="1">
      <c r="A820" s="32" t="n"/>
      <c r="P820" s="31" t="n"/>
      <c r="Q820" s="31" t="n"/>
      <c r="R820" s="31" t="n"/>
      <c r="S820" s="31" t="n"/>
      <c r="T820" s="31" t="n"/>
      <c r="U820" s="31" t="n"/>
      <c r="V820" s="31" t="n"/>
      <c r="W820" s="31" t="n"/>
      <c r="X820" s="31" t="n"/>
      <c r="Y820" s="31" t="n"/>
    </row>
    <row r="821" ht="14.25" customHeight="1">
      <c r="A821" s="32" t="n"/>
      <c r="P821" s="31" t="n"/>
      <c r="Q821" s="31" t="n"/>
      <c r="R821" s="31" t="n"/>
      <c r="S821" s="31" t="n"/>
      <c r="T821" s="31" t="n"/>
      <c r="U821" s="31" t="n"/>
      <c r="V821" s="31" t="n"/>
      <c r="W821" s="31" t="n"/>
      <c r="X821" s="31" t="n"/>
      <c r="Y821" s="31" t="n"/>
    </row>
    <row r="822" ht="14.25" customHeight="1">
      <c r="A822" s="32" t="n"/>
      <c r="P822" s="31" t="n"/>
      <c r="Q822" s="31" t="n"/>
      <c r="R822" s="31" t="n"/>
      <c r="S822" s="31" t="n"/>
      <c r="T822" s="31" t="n"/>
      <c r="U822" s="31" t="n"/>
      <c r="V822" s="31" t="n"/>
      <c r="W822" s="31" t="n"/>
      <c r="X822" s="31" t="n"/>
      <c r="Y822" s="31" t="n"/>
    </row>
    <row r="823" ht="14.25" customHeight="1">
      <c r="A823" s="32" t="n"/>
      <c r="P823" s="31" t="n"/>
      <c r="Q823" s="31" t="n"/>
      <c r="R823" s="31" t="n"/>
      <c r="S823" s="31" t="n"/>
      <c r="T823" s="31" t="n"/>
      <c r="U823" s="31" t="n"/>
      <c r="V823" s="31" t="n"/>
      <c r="W823" s="31" t="n"/>
      <c r="X823" s="31" t="n"/>
      <c r="Y823" s="31" t="n"/>
    </row>
    <row r="824" ht="14.25" customHeight="1">
      <c r="A824" s="32" t="n"/>
      <c r="P824" s="31" t="n"/>
      <c r="Q824" s="31" t="n"/>
      <c r="R824" s="31" t="n"/>
      <c r="S824" s="31" t="n"/>
      <c r="T824" s="31" t="n"/>
      <c r="U824" s="31" t="n"/>
      <c r="V824" s="31" t="n"/>
      <c r="W824" s="31" t="n"/>
      <c r="X824" s="31" t="n"/>
      <c r="Y824" s="31" t="n"/>
    </row>
    <row r="825" ht="14.25" customHeight="1">
      <c r="A825" s="32" t="n"/>
      <c r="P825" s="31" t="n"/>
      <c r="Q825" s="31" t="n"/>
      <c r="R825" s="31" t="n"/>
      <c r="S825" s="31" t="n"/>
      <c r="T825" s="31" t="n"/>
      <c r="U825" s="31" t="n"/>
      <c r="V825" s="31" t="n"/>
      <c r="W825" s="31" t="n"/>
      <c r="X825" s="31" t="n"/>
      <c r="Y825" s="31" t="n"/>
    </row>
    <row r="826" ht="14.25" customHeight="1">
      <c r="A826" s="32" t="n"/>
      <c r="P826" s="31" t="n"/>
      <c r="Q826" s="31" t="n"/>
      <c r="R826" s="31" t="n"/>
      <c r="S826" s="31" t="n"/>
      <c r="T826" s="31" t="n"/>
      <c r="U826" s="31" t="n"/>
      <c r="V826" s="31" t="n"/>
      <c r="W826" s="31" t="n"/>
      <c r="X826" s="31" t="n"/>
      <c r="Y826" s="31" t="n"/>
    </row>
    <row r="827" ht="14.25" customHeight="1">
      <c r="A827" s="32" t="n"/>
      <c r="P827" s="31" t="n"/>
      <c r="Q827" s="31" t="n"/>
      <c r="R827" s="31" t="n"/>
      <c r="S827" s="31" t="n"/>
      <c r="T827" s="31" t="n"/>
      <c r="U827" s="31" t="n"/>
      <c r="V827" s="31" t="n"/>
      <c r="W827" s="31" t="n"/>
      <c r="X827" s="31" t="n"/>
      <c r="Y827" s="31" t="n"/>
    </row>
    <row r="828" ht="14.25" customHeight="1">
      <c r="A828" s="32" t="n"/>
      <c r="P828" s="31" t="n"/>
      <c r="Q828" s="31" t="n"/>
      <c r="R828" s="31" t="n"/>
      <c r="S828" s="31" t="n"/>
      <c r="T828" s="31" t="n"/>
      <c r="U828" s="31" t="n"/>
      <c r="V828" s="31" t="n"/>
      <c r="W828" s="31" t="n"/>
      <c r="X828" s="31" t="n"/>
      <c r="Y828" s="31" t="n"/>
    </row>
    <row r="829" ht="14.25" customHeight="1">
      <c r="A829" s="32" t="n"/>
      <c r="P829" s="31" t="n"/>
      <c r="Q829" s="31" t="n"/>
      <c r="R829" s="31" t="n"/>
      <c r="S829" s="31" t="n"/>
      <c r="T829" s="31" t="n"/>
      <c r="U829" s="31" t="n"/>
      <c r="V829" s="31" t="n"/>
      <c r="W829" s="31" t="n"/>
      <c r="X829" s="31" t="n"/>
      <c r="Y829" s="31" t="n"/>
    </row>
    <row r="830" ht="14.25" customHeight="1">
      <c r="A830" s="32" t="n"/>
      <c r="P830" s="31" t="n"/>
      <c r="Q830" s="31" t="n"/>
      <c r="R830" s="31" t="n"/>
      <c r="S830" s="31" t="n"/>
      <c r="T830" s="31" t="n"/>
      <c r="U830" s="31" t="n"/>
      <c r="V830" s="31" t="n"/>
      <c r="W830" s="31" t="n"/>
      <c r="X830" s="31" t="n"/>
      <c r="Y830" s="31" t="n"/>
    </row>
    <row r="831" ht="14.25" customHeight="1">
      <c r="A831" s="32" t="n"/>
      <c r="P831" s="31" t="n"/>
      <c r="Q831" s="31" t="n"/>
      <c r="R831" s="31" t="n"/>
      <c r="S831" s="31" t="n"/>
      <c r="T831" s="31" t="n"/>
      <c r="U831" s="31" t="n"/>
      <c r="V831" s="31" t="n"/>
      <c r="W831" s="31" t="n"/>
      <c r="X831" s="31" t="n"/>
      <c r="Y831" s="31" t="n"/>
    </row>
    <row r="832" ht="14.25" customHeight="1">
      <c r="A832" s="32" t="n"/>
      <c r="P832" s="31" t="n"/>
      <c r="Q832" s="31" t="n"/>
      <c r="R832" s="31" t="n"/>
      <c r="S832" s="31" t="n"/>
      <c r="T832" s="31" t="n"/>
      <c r="U832" s="31" t="n"/>
      <c r="V832" s="31" t="n"/>
      <c r="W832" s="31" t="n"/>
      <c r="X832" s="31" t="n"/>
      <c r="Y832" s="31" t="n"/>
    </row>
    <row r="833" ht="14.25" customHeight="1">
      <c r="A833" s="32" t="n"/>
      <c r="P833" s="31" t="n"/>
      <c r="Q833" s="31" t="n"/>
      <c r="R833" s="31" t="n"/>
      <c r="S833" s="31" t="n"/>
      <c r="T833" s="31" t="n"/>
      <c r="U833" s="31" t="n"/>
      <c r="V833" s="31" t="n"/>
      <c r="W833" s="31" t="n"/>
      <c r="X833" s="31" t="n"/>
      <c r="Y833" s="31" t="n"/>
    </row>
    <row r="834" ht="14.25" customHeight="1">
      <c r="A834" s="32" t="n"/>
      <c r="P834" s="31" t="n"/>
      <c r="Q834" s="31" t="n"/>
      <c r="R834" s="31" t="n"/>
      <c r="S834" s="31" t="n"/>
      <c r="T834" s="31" t="n"/>
      <c r="U834" s="31" t="n"/>
      <c r="V834" s="31" t="n"/>
      <c r="W834" s="31" t="n"/>
      <c r="X834" s="31" t="n"/>
      <c r="Y834" s="31" t="n"/>
    </row>
    <row r="835" ht="14.25" customHeight="1">
      <c r="A835" s="32" t="n"/>
      <c r="P835" s="31" t="n"/>
      <c r="Q835" s="31" t="n"/>
      <c r="R835" s="31" t="n"/>
      <c r="S835" s="31" t="n"/>
      <c r="T835" s="31" t="n"/>
      <c r="U835" s="31" t="n"/>
      <c r="V835" s="31" t="n"/>
      <c r="W835" s="31" t="n"/>
      <c r="X835" s="31" t="n"/>
      <c r="Y835" s="31" t="n"/>
    </row>
    <row r="836" ht="14.25" customHeight="1">
      <c r="A836" s="32" t="n"/>
      <c r="P836" s="31" t="n"/>
      <c r="Q836" s="31" t="n"/>
      <c r="R836" s="31" t="n"/>
      <c r="S836" s="31" t="n"/>
      <c r="T836" s="31" t="n"/>
      <c r="U836" s="31" t="n"/>
      <c r="V836" s="31" t="n"/>
      <c r="W836" s="31" t="n"/>
      <c r="X836" s="31" t="n"/>
      <c r="Y836" s="31" t="n"/>
    </row>
    <row r="837" ht="14.25" customHeight="1">
      <c r="A837" s="32" t="n"/>
      <c r="P837" s="31" t="n"/>
      <c r="Q837" s="31" t="n"/>
      <c r="R837" s="31" t="n"/>
      <c r="S837" s="31" t="n"/>
      <c r="T837" s="31" t="n"/>
      <c r="U837" s="31" t="n"/>
      <c r="V837" s="31" t="n"/>
      <c r="W837" s="31" t="n"/>
      <c r="X837" s="31" t="n"/>
      <c r="Y837" s="31" t="n"/>
    </row>
    <row r="838" ht="14.25" customHeight="1">
      <c r="A838" s="32" t="n"/>
      <c r="P838" s="31" t="n"/>
      <c r="Q838" s="31" t="n"/>
      <c r="R838" s="31" t="n"/>
      <c r="S838" s="31" t="n"/>
      <c r="T838" s="31" t="n"/>
      <c r="U838" s="31" t="n"/>
      <c r="V838" s="31" t="n"/>
      <c r="W838" s="31" t="n"/>
      <c r="X838" s="31" t="n"/>
      <c r="Y838" s="31" t="n"/>
    </row>
    <row r="839" ht="14.25" customHeight="1">
      <c r="A839" s="32" t="n"/>
      <c r="P839" s="31" t="n"/>
      <c r="Q839" s="31" t="n"/>
      <c r="R839" s="31" t="n"/>
      <c r="S839" s="31" t="n"/>
      <c r="T839" s="31" t="n"/>
      <c r="U839" s="31" t="n"/>
      <c r="V839" s="31" t="n"/>
      <c r="W839" s="31" t="n"/>
      <c r="X839" s="31" t="n"/>
      <c r="Y839" s="31" t="n"/>
    </row>
    <row r="840" ht="14.25" customHeight="1">
      <c r="A840" s="32" t="n"/>
      <c r="P840" s="31" t="n"/>
      <c r="Q840" s="31" t="n"/>
      <c r="R840" s="31" t="n"/>
      <c r="S840" s="31" t="n"/>
      <c r="T840" s="31" t="n"/>
      <c r="U840" s="31" t="n"/>
      <c r="V840" s="31" t="n"/>
      <c r="W840" s="31" t="n"/>
      <c r="X840" s="31" t="n"/>
      <c r="Y840" s="31" t="n"/>
    </row>
    <row r="841" ht="14.25" customHeight="1">
      <c r="A841" s="32" t="n"/>
      <c r="P841" s="31" t="n"/>
      <c r="Q841" s="31" t="n"/>
      <c r="R841" s="31" t="n"/>
      <c r="S841" s="31" t="n"/>
      <c r="T841" s="31" t="n"/>
      <c r="U841" s="31" t="n"/>
      <c r="V841" s="31" t="n"/>
      <c r="W841" s="31" t="n"/>
      <c r="X841" s="31" t="n"/>
      <c r="Y841" s="31" t="n"/>
    </row>
    <row r="842" ht="14.25" customHeight="1">
      <c r="A842" s="32" t="n"/>
      <c r="P842" s="31" t="n"/>
      <c r="Q842" s="31" t="n"/>
      <c r="R842" s="31" t="n"/>
      <c r="S842" s="31" t="n"/>
      <c r="T842" s="31" t="n"/>
      <c r="U842" s="31" t="n"/>
      <c r="V842" s="31" t="n"/>
      <c r="W842" s="31" t="n"/>
      <c r="X842" s="31" t="n"/>
      <c r="Y842" s="31" t="n"/>
    </row>
    <row r="843" ht="14.25" customHeight="1">
      <c r="A843" s="32" t="n"/>
      <c r="P843" s="31" t="n"/>
      <c r="Q843" s="31" t="n"/>
      <c r="R843" s="31" t="n"/>
      <c r="S843" s="31" t="n"/>
      <c r="T843" s="31" t="n"/>
      <c r="U843" s="31" t="n"/>
      <c r="V843" s="31" t="n"/>
      <c r="W843" s="31" t="n"/>
      <c r="X843" s="31" t="n"/>
      <c r="Y843" s="31" t="n"/>
    </row>
    <row r="844" ht="14.25" customHeight="1">
      <c r="A844" s="32" t="n"/>
      <c r="P844" s="31" t="n"/>
      <c r="Q844" s="31" t="n"/>
      <c r="R844" s="31" t="n"/>
      <c r="S844" s="31" t="n"/>
      <c r="T844" s="31" t="n"/>
      <c r="U844" s="31" t="n"/>
      <c r="V844" s="31" t="n"/>
      <c r="W844" s="31" t="n"/>
      <c r="X844" s="31" t="n"/>
      <c r="Y844" s="31" t="n"/>
    </row>
    <row r="845" ht="14.25" customHeight="1">
      <c r="A845" s="32" t="n"/>
      <c r="P845" s="31" t="n"/>
      <c r="Q845" s="31" t="n"/>
      <c r="R845" s="31" t="n"/>
      <c r="S845" s="31" t="n"/>
      <c r="T845" s="31" t="n"/>
      <c r="U845" s="31" t="n"/>
      <c r="V845" s="31" t="n"/>
      <c r="W845" s="31" t="n"/>
      <c r="X845" s="31" t="n"/>
      <c r="Y845" s="31" t="n"/>
    </row>
    <row r="846" ht="14.25" customHeight="1">
      <c r="A846" s="32" t="n"/>
      <c r="P846" s="31" t="n"/>
      <c r="Q846" s="31" t="n"/>
      <c r="R846" s="31" t="n"/>
      <c r="S846" s="31" t="n"/>
      <c r="T846" s="31" t="n"/>
      <c r="U846" s="31" t="n"/>
      <c r="V846" s="31" t="n"/>
      <c r="W846" s="31" t="n"/>
      <c r="X846" s="31" t="n"/>
      <c r="Y846" s="31" t="n"/>
    </row>
    <row r="847" ht="14.25" customHeight="1">
      <c r="A847" s="32" t="n"/>
      <c r="P847" s="31" t="n"/>
      <c r="Q847" s="31" t="n"/>
      <c r="R847" s="31" t="n"/>
      <c r="S847" s="31" t="n"/>
      <c r="T847" s="31" t="n"/>
      <c r="U847" s="31" t="n"/>
      <c r="V847" s="31" t="n"/>
      <c r="W847" s="31" t="n"/>
      <c r="X847" s="31" t="n"/>
      <c r="Y847" s="31" t="n"/>
    </row>
    <row r="848" ht="14.25" customHeight="1">
      <c r="A848" s="32" t="n"/>
      <c r="P848" s="31" t="n"/>
      <c r="Q848" s="31" t="n"/>
      <c r="R848" s="31" t="n"/>
      <c r="S848" s="31" t="n"/>
      <c r="T848" s="31" t="n"/>
      <c r="U848" s="31" t="n"/>
      <c r="V848" s="31" t="n"/>
      <c r="W848" s="31" t="n"/>
      <c r="X848" s="31" t="n"/>
      <c r="Y848" s="31" t="n"/>
    </row>
    <row r="849" ht="14.25" customHeight="1">
      <c r="A849" s="32" t="n"/>
      <c r="P849" s="31" t="n"/>
      <c r="Q849" s="31" t="n"/>
      <c r="R849" s="31" t="n"/>
      <c r="S849" s="31" t="n"/>
      <c r="T849" s="31" t="n"/>
      <c r="U849" s="31" t="n"/>
      <c r="V849" s="31" t="n"/>
      <c r="W849" s="31" t="n"/>
      <c r="X849" s="31" t="n"/>
      <c r="Y849" s="31" t="n"/>
    </row>
    <row r="850" ht="14.25" customHeight="1">
      <c r="A850" s="32" t="n"/>
      <c r="P850" s="31" t="n"/>
      <c r="Q850" s="31" t="n"/>
      <c r="R850" s="31" t="n"/>
      <c r="S850" s="31" t="n"/>
      <c r="T850" s="31" t="n"/>
      <c r="U850" s="31" t="n"/>
      <c r="V850" s="31" t="n"/>
      <c r="W850" s="31" t="n"/>
      <c r="X850" s="31" t="n"/>
      <c r="Y850" s="31" t="n"/>
    </row>
    <row r="851" ht="14.25" customHeight="1">
      <c r="A851" s="32" t="n"/>
      <c r="P851" s="31" t="n"/>
      <c r="Q851" s="31" t="n"/>
      <c r="R851" s="31" t="n"/>
      <c r="S851" s="31" t="n"/>
      <c r="T851" s="31" t="n"/>
      <c r="U851" s="31" t="n"/>
      <c r="V851" s="31" t="n"/>
      <c r="W851" s="31" t="n"/>
      <c r="X851" s="31" t="n"/>
      <c r="Y851" s="31" t="n"/>
    </row>
    <row r="852" ht="14.25" customHeight="1">
      <c r="A852" s="32" t="n"/>
      <c r="P852" s="31" t="n"/>
      <c r="Q852" s="31" t="n"/>
      <c r="R852" s="31" t="n"/>
      <c r="S852" s="31" t="n"/>
      <c r="T852" s="31" t="n"/>
      <c r="U852" s="31" t="n"/>
      <c r="V852" s="31" t="n"/>
      <c r="W852" s="31" t="n"/>
      <c r="X852" s="31" t="n"/>
      <c r="Y852" s="31" t="n"/>
    </row>
    <row r="853" ht="14.25" customHeight="1">
      <c r="A853" s="32" t="n"/>
      <c r="P853" s="31" t="n"/>
      <c r="Q853" s="31" t="n"/>
      <c r="R853" s="31" t="n"/>
      <c r="S853" s="31" t="n"/>
      <c r="T853" s="31" t="n"/>
      <c r="U853" s="31" t="n"/>
      <c r="V853" s="31" t="n"/>
      <c r="W853" s="31" t="n"/>
      <c r="X853" s="31" t="n"/>
      <c r="Y853" s="31" t="n"/>
    </row>
    <row r="854" ht="14.25" customHeight="1">
      <c r="A854" s="32" t="n"/>
      <c r="P854" s="31" t="n"/>
      <c r="Q854" s="31" t="n"/>
      <c r="R854" s="31" t="n"/>
      <c r="S854" s="31" t="n"/>
      <c r="T854" s="31" t="n"/>
      <c r="U854" s="31" t="n"/>
      <c r="V854" s="31" t="n"/>
      <c r="W854" s="31" t="n"/>
      <c r="X854" s="31" t="n"/>
      <c r="Y854" s="31" t="n"/>
    </row>
    <row r="855" ht="14.25" customHeight="1">
      <c r="A855" s="32" t="n"/>
      <c r="P855" s="31" t="n"/>
      <c r="Q855" s="31" t="n"/>
      <c r="R855" s="31" t="n"/>
      <c r="S855" s="31" t="n"/>
      <c r="T855" s="31" t="n"/>
      <c r="U855" s="31" t="n"/>
      <c r="V855" s="31" t="n"/>
      <c r="W855" s="31" t="n"/>
      <c r="X855" s="31" t="n"/>
      <c r="Y855" s="31" t="n"/>
    </row>
    <row r="856" ht="14.25" customHeight="1">
      <c r="A856" s="32" t="n"/>
      <c r="P856" s="31" t="n"/>
      <c r="Q856" s="31" t="n"/>
      <c r="R856" s="31" t="n"/>
      <c r="S856" s="31" t="n"/>
      <c r="T856" s="31" t="n"/>
      <c r="U856" s="31" t="n"/>
      <c r="V856" s="31" t="n"/>
      <c r="W856" s="31" t="n"/>
      <c r="X856" s="31" t="n"/>
      <c r="Y856" s="31" t="n"/>
    </row>
    <row r="857" ht="14.25" customHeight="1">
      <c r="A857" s="32" t="n"/>
      <c r="P857" s="31" t="n"/>
      <c r="Q857" s="31" t="n"/>
      <c r="R857" s="31" t="n"/>
      <c r="S857" s="31" t="n"/>
      <c r="T857" s="31" t="n"/>
      <c r="U857" s="31" t="n"/>
      <c r="V857" s="31" t="n"/>
      <c r="W857" s="31" t="n"/>
      <c r="X857" s="31" t="n"/>
      <c r="Y857" s="31" t="n"/>
    </row>
    <row r="858" ht="14.25" customHeight="1">
      <c r="A858" s="32" t="n"/>
      <c r="P858" s="31" t="n"/>
      <c r="Q858" s="31" t="n"/>
      <c r="R858" s="31" t="n"/>
      <c r="S858" s="31" t="n"/>
      <c r="T858" s="31" t="n"/>
      <c r="U858" s="31" t="n"/>
      <c r="V858" s="31" t="n"/>
      <c r="W858" s="31" t="n"/>
      <c r="X858" s="31" t="n"/>
      <c r="Y858" s="31" t="n"/>
    </row>
    <row r="859" ht="14.25" customHeight="1">
      <c r="A859" s="32" t="n"/>
      <c r="P859" s="31" t="n"/>
      <c r="Q859" s="31" t="n"/>
      <c r="R859" s="31" t="n"/>
      <c r="S859" s="31" t="n"/>
      <c r="T859" s="31" t="n"/>
      <c r="U859" s="31" t="n"/>
      <c r="V859" s="31" t="n"/>
      <c r="W859" s="31" t="n"/>
      <c r="X859" s="31" t="n"/>
      <c r="Y859" s="31" t="n"/>
    </row>
    <row r="860" ht="14.25" customHeight="1">
      <c r="A860" s="32" t="n"/>
      <c r="P860" s="31" t="n"/>
      <c r="Q860" s="31" t="n"/>
      <c r="R860" s="31" t="n"/>
      <c r="S860" s="31" t="n"/>
      <c r="T860" s="31" t="n"/>
      <c r="U860" s="31" t="n"/>
      <c r="V860" s="31" t="n"/>
      <c r="W860" s="31" t="n"/>
      <c r="X860" s="31" t="n"/>
      <c r="Y860" s="31" t="n"/>
    </row>
    <row r="861" ht="14.25" customHeight="1">
      <c r="A861" s="32" t="n"/>
      <c r="P861" s="31" t="n"/>
      <c r="Q861" s="31" t="n"/>
      <c r="R861" s="31" t="n"/>
      <c r="S861" s="31" t="n"/>
      <c r="T861" s="31" t="n"/>
      <c r="U861" s="31" t="n"/>
      <c r="V861" s="31" t="n"/>
      <c r="W861" s="31" t="n"/>
      <c r="X861" s="31" t="n"/>
      <c r="Y861" s="31" t="n"/>
    </row>
    <row r="862" ht="14.25" customHeight="1">
      <c r="A862" s="32" t="n"/>
      <c r="P862" s="31" t="n"/>
      <c r="Q862" s="31" t="n"/>
      <c r="R862" s="31" t="n"/>
      <c r="S862" s="31" t="n"/>
      <c r="T862" s="31" t="n"/>
      <c r="U862" s="31" t="n"/>
      <c r="V862" s="31" t="n"/>
      <c r="W862" s="31" t="n"/>
      <c r="X862" s="31" t="n"/>
      <c r="Y862" s="31" t="n"/>
    </row>
    <row r="863" ht="14.25" customHeight="1">
      <c r="A863" s="32" t="n"/>
      <c r="P863" s="31" t="n"/>
      <c r="Q863" s="31" t="n"/>
      <c r="R863" s="31" t="n"/>
      <c r="S863" s="31" t="n"/>
      <c r="T863" s="31" t="n"/>
      <c r="U863" s="31" t="n"/>
      <c r="V863" s="31" t="n"/>
      <c r="W863" s="31" t="n"/>
      <c r="X863" s="31" t="n"/>
      <c r="Y863" s="31" t="n"/>
    </row>
    <row r="864" ht="14.25" customHeight="1">
      <c r="A864" s="32" t="n"/>
      <c r="P864" s="31" t="n"/>
      <c r="Q864" s="31" t="n"/>
      <c r="R864" s="31" t="n"/>
      <c r="S864" s="31" t="n"/>
      <c r="T864" s="31" t="n"/>
      <c r="U864" s="31" t="n"/>
      <c r="V864" s="31" t="n"/>
      <c r="W864" s="31" t="n"/>
      <c r="X864" s="31" t="n"/>
      <c r="Y864" s="31" t="n"/>
    </row>
    <row r="865" ht="14.25" customHeight="1">
      <c r="A865" s="32" t="n"/>
      <c r="P865" s="31" t="n"/>
      <c r="Q865" s="31" t="n"/>
      <c r="R865" s="31" t="n"/>
      <c r="S865" s="31" t="n"/>
      <c r="T865" s="31" t="n"/>
      <c r="U865" s="31" t="n"/>
      <c r="V865" s="31" t="n"/>
      <c r="W865" s="31" t="n"/>
      <c r="X865" s="31" t="n"/>
      <c r="Y865" s="31" t="n"/>
    </row>
    <row r="866" ht="14.25" customHeight="1">
      <c r="A866" s="32" t="n"/>
      <c r="P866" s="31" t="n"/>
      <c r="Q866" s="31" t="n"/>
      <c r="R866" s="31" t="n"/>
      <c r="S866" s="31" t="n"/>
      <c r="T866" s="31" t="n"/>
      <c r="U866" s="31" t="n"/>
      <c r="V866" s="31" t="n"/>
      <c r="W866" s="31" t="n"/>
      <c r="X866" s="31" t="n"/>
      <c r="Y866" s="31" t="n"/>
    </row>
    <row r="867" ht="14.25" customHeight="1">
      <c r="A867" s="32" t="n"/>
      <c r="P867" s="31" t="n"/>
      <c r="Q867" s="31" t="n"/>
      <c r="R867" s="31" t="n"/>
      <c r="S867" s="31" t="n"/>
      <c r="T867" s="31" t="n"/>
      <c r="U867" s="31" t="n"/>
      <c r="V867" s="31" t="n"/>
      <c r="W867" s="31" t="n"/>
      <c r="X867" s="31" t="n"/>
      <c r="Y867" s="31" t="n"/>
    </row>
    <row r="868" ht="14.25" customHeight="1">
      <c r="A868" s="32" t="n"/>
      <c r="P868" s="31" t="n"/>
      <c r="Q868" s="31" t="n"/>
      <c r="R868" s="31" t="n"/>
      <c r="S868" s="31" t="n"/>
      <c r="T868" s="31" t="n"/>
      <c r="U868" s="31" t="n"/>
      <c r="V868" s="31" t="n"/>
      <c r="W868" s="31" t="n"/>
      <c r="X868" s="31" t="n"/>
      <c r="Y868" s="31" t="n"/>
    </row>
    <row r="869" ht="14.25" customHeight="1">
      <c r="A869" s="32" t="n"/>
      <c r="P869" s="31" t="n"/>
      <c r="Q869" s="31" t="n"/>
      <c r="R869" s="31" t="n"/>
      <c r="S869" s="31" t="n"/>
      <c r="T869" s="31" t="n"/>
      <c r="U869" s="31" t="n"/>
      <c r="V869" s="31" t="n"/>
      <c r="W869" s="31" t="n"/>
      <c r="X869" s="31" t="n"/>
      <c r="Y869" s="31" t="n"/>
    </row>
    <row r="870" ht="14.25" customHeight="1">
      <c r="A870" s="32" t="n"/>
      <c r="P870" s="31" t="n"/>
      <c r="Q870" s="31" t="n"/>
      <c r="R870" s="31" t="n"/>
      <c r="S870" s="31" t="n"/>
      <c r="T870" s="31" t="n"/>
      <c r="U870" s="31" t="n"/>
      <c r="V870" s="31" t="n"/>
      <c r="W870" s="31" t="n"/>
      <c r="X870" s="31" t="n"/>
      <c r="Y870" s="31" t="n"/>
    </row>
    <row r="871" ht="14.25" customHeight="1">
      <c r="A871" s="32" t="n"/>
      <c r="P871" s="31" t="n"/>
      <c r="Q871" s="31" t="n"/>
      <c r="R871" s="31" t="n"/>
      <c r="S871" s="31" t="n"/>
      <c r="T871" s="31" t="n"/>
      <c r="U871" s="31" t="n"/>
      <c r="V871" s="31" t="n"/>
      <c r="W871" s="31" t="n"/>
      <c r="X871" s="31" t="n"/>
      <c r="Y871" s="31" t="n"/>
    </row>
    <row r="872" ht="14.25" customHeight="1">
      <c r="A872" s="32" t="n"/>
      <c r="P872" s="31" t="n"/>
      <c r="Q872" s="31" t="n"/>
      <c r="R872" s="31" t="n"/>
      <c r="S872" s="31" t="n"/>
      <c r="T872" s="31" t="n"/>
      <c r="U872" s="31" t="n"/>
      <c r="V872" s="31" t="n"/>
      <c r="W872" s="31" t="n"/>
      <c r="X872" s="31" t="n"/>
      <c r="Y872" s="31" t="n"/>
    </row>
    <row r="873" ht="14.25" customHeight="1">
      <c r="A873" s="32" t="n"/>
      <c r="P873" s="31" t="n"/>
      <c r="Q873" s="31" t="n"/>
      <c r="R873" s="31" t="n"/>
      <c r="S873" s="31" t="n"/>
      <c r="T873" s="31" t="n"/>
      <c r="U873" s="31" t="n"/>
      <c r="V873" s="31" t="n"/>
      <c r="W873" s="31" t="n"/>
      <c r="X873" s="31" t="n"/>
      <c r="Y873" s="31" t="n"/>
    </row>
    <row r="874" ht="14.25" customHeight="1">
      <c r="A874" s="32" t="n"/>
      <c r="P874" s="31" t="n"/>
      <c r="Q874" s="31" t="n"/>
      <c r="R874" s="31" t="n"/>
      <c r="S874" s="31" t="n"/>
      <c r="T874" s="31" t="n"/>
      <c r="U874" s="31" t="n"/>
      <c r="V874" s="31" t="n"/>
      <c r="W874" s="31" t="n"/>
      <c r="X874" s="31" t="n"/>
      <c r="Y874" s="31" t="n"/>
    </row>
    <row r="875" ht="14.25" customHeight="1">
      <c r="A875" s="32" t="n"/>
      <c r="P875" s="31" t="n"/>
      <c r="Q875" s="31" t="n"/>
      <c r="R875" s="31" t="n"/>
      <c r="S875" s="31" t="n"/>
      <c r="T875" s="31" t="n"/>
      <c r="U875" s="31" t="n"/>
      <c r="V875" s="31" t="n"/>
      <c r="W875" s="31" t="n"/>
      <c r="X875" s="31" t="n"/>
      <c r="Y875" s="31" t="n"/>
    </row>
    <row r="876" ht="14.25" customHeight="1">
      <c r="A876" s="32" t="n"/>
      <c r="P876" s="31" t="n"/>
      <c r="Q876" s="31" t="n"/>
      <c r="R876" s="31" t="n"/>
      <c r="S876" s="31" t="n"/>
      <c r="T876" s="31" t="n"/>
      <c r="U876" s="31" t="n"/>
      <c r="V876" s="31" t="n"/>
      <c r="W876" s="31" t="n"/>
      <c r="X876" s="31" t="n"/>
      <c r="Y876" s="31" t="n"/>
    </row>
    <row r="877" ht="14.25" customHeight="1">
      <c r="A877" s="32" t="n"/>
      <c r="P877" s="31" t="n"/>
      <c r="Q877" s="31" t="n"/>
      <c r="R877" s="31" t="n"/>
      <c r="S877" s="31" t="n"/>
      <c r="T877" s="31" t="n"/>
      <c r="U877" s="31" t="n"/>
      <c r="V877" s="31" t="n"/>
      <c r="W877" s="31" t="n"/>
      <c r="X877" s="31" t="n"/>
      <c r="Y877" s="31" t="n"/>
    </row>
    <row r="878" ht="14.25" customHeight="1">
      <c r="A878" s="32" t="n"/>
      <c r="P878" s="31" t="n"/>
      <c r="Q878" s="31" t="n"/>
      <c r="R878" s="31" t="n"/>
      <c r="S878" s="31" t="n"/>
      <c r="T878" s="31" t="n"/>
      <c r="U878" s="31" t="n"/>
      <c r="V878" s="31" t="n"/>
      <c r="W878" s="31" t="n"/>
      <c r="X878" s="31" t="n"/>
      <c r="Y878" s="31" t="n"/>
    </row>
    <row r="879" ht="14.25" customHeight="1">
      <c r="A879" s="32" t="n"/>
      <c r="P879" s="31" t="n"/>
      <c r="Q879" s="31" t="n"/>
      <c r="R879" s="31" t="n"/>
      <c r="S879" s="31" t="n"/>
      <c r="T879" s="31" t="n"/>
      <c r="U879" s="31" t="n"/>
      <c r="V879" s="31" t="n"/>
      <c r="W879" s="31" t="n"/>
      <c r="X879" s="31" t="n"/>
      <c r="Y879" s="31" t="n"/>
    </row>
    <row r="880" ht="14.25" customHeight="1">
      <c r="A880" s="32" t="n"/>
      <c r="P880" s="31" t="n"/>
      <c r="Q880" s="31" t="n"/>
      <c r="R880" s="31" t="n"/>
      <c r="S880" s="31" t="n"/>
      <c r="T880" s="31" t="n"/>
      <c r="U880" s="31" t="n"/>
      <c r="V880" s="31" t="n"/>
      <c r="W880" s="31" t="n"/>
      <c r="X880" s="31" t="n"/>
      <c r="Y880" s="31" t="n"/>
    </row>
    <row r="881" ht="14.25" customHeight="1">
      <c r="A881" s="32" t="n"/>
      <c r="P881" s="31" t="n"/>
      <c r="Q881" s="31" t="n"/>
      <c r="R881" s="31" t="n"/>
      <c r="S881" s="31" t="n"/>
      <c r="T881" s="31" t="n"/>
      <c r="U881" s="31" t="n"/>
      <c r="V881" s="31" t="n"/>
      <c r="W881" s="31" t="n"/>
      <c r="X881" s="31" t="n"/>
      <c r="Y881" s="31" t="n"/>
    </row>
    <row r="882" ht="14.25" customHeight="1">
      <c r="A882" s="32" t="n"/>
      <c r="P882" s="31" t="n"/>
      <c r="Q882" s="31" t="n"/>
      <c r="R882" s="31" t="n"/>
      <c r="S882" s="31" t="n"/>
      <c r="T882" s="31" t="n"/>
      <c r="U882" s="31" t="n"/>
      <c r="V882" s="31" t="n"/>
      <c r="W882" s="31" t="n"/>
      <c r="X882" s="31" t="n"/>
      <c r="Y882" s="31" t="n"/>
    </row>
    <row r="883" ht="14.25" customHeight="1">
      <c r="A883" s="32" t="n"/>
      <c r="P883" s="31" t="n"/>
      <c r="Q883" s="31" t="n"/>
      <c r="R883" s="31" t="n"/>
      <c r="S883" s="31" t="n"/>
      <c r="T883" s="31" t="n"/>
      <c r="U883" s="31" t="n"/>
      <c r="V883" s="31" t="n"/>
      <c r="W883" s="31" t="n"/>
      <c r="X883" s="31" t="n"/>
      <c r="Y883" s="31" t="n"/>
    </row>
    <row r="884" ht="14.25" customHeight="1">
      <c r="A884" s="32" t="n"/>
      <c r="P884" s="31" t="n"/>
      <c r="Q884" s="31" t="n"/>
      <c r="R884" s="31" t="n"/>
      <c r="S884" s="31" t="n"/>
      <c r="T884" s="31" t="n"/>
      <c r="U884" s="31" t="n"/>
      <c r="V884" s="31" t="n"/>
      <c r="W884" s="31" t="n"/>
      <c r="X884" s="31" t="n"/>
      <c r="Y884" s="31" t="n"/>
    </row>
    <row r="885" ht="14.25" customHeight="1">
      <c r="A885" s="32" t="n"/>
      <c r="P885" s="31" t="n"/>
      <c r="Q885" s="31" t="n"/>
      <c r="R885" s="31" t="n"/>
      <c r="S885" s="31" t="n"/>
      <c r="T885" s="31" t="n"/>
      <c r="U885" s="31" t="n"/>
      <c r="V885" s="31" t="n"/>
      <c r="W885" s="31" t="n"/>
      <c r="X885" s="31" t="n"/>
      <c r="Y885" s="31" t="n"/>
    </row>
    <row r="886" ht="14.25" customHeight="1">
      <c r="A886" s="32" t="n"/>
      <c r="P886" s="31" t="n"/>
      <c r="Q886" s="31" t="n"/>
      <c r="R886" s="31" t="n"/>
      <c r="S886" s="31" t="n"/>
      <c r="T886" s="31" t="n"/>
      <c r="U886" s="31" t="n"/>
      <c r="V886" s="31" t="n"/>
      <c r="W886" s="31" t="n"/>
      <c r="X886" s="31" t="n"/>
      <c r="Y886" s="31" t="n"/>
    </row>
    <row r="887" ht="14.25" customHeight="1">
      <c r="A887" s="32" t="n"/>
      <c r="P887" s="31" t="n"/>
      <c r="Q887" s="31" t="n"/>
      <c r="R887" s="31" t="n"/>
      <c r="S887" s="31" t="n"/>
      <c r="T887" s="31" t="n"/>
      <c r="U887" s="31" t="n"/>
      <c r="V887" s="31" t="n"/>
      <c r="W887" s="31" t="n"/>
      <c r="X887" s="31" t="n"/>
      <c r="Y887" s="31" t="n"/>
    </row>
    <row r="888" ht="14.25" customHeight="1">
      <c r="A888" s="32" t="n"/>
      <c r="P888" s="31" t="n"/>
      <c r="Q888" s="31" t="n"/>
      <c r="R888" s="31" t="n"/>
      <c r="S888" s="31" t="n"/>
      <c r="T888" s="31" t="n"/>
      <c r="U888" s="31" t="n"/>
      <c r="V888" s="31" t="n"/>
      <c r="W888" s="31" t="n"/>
      <c r="X888" s="31" t="n"/>
      <c r="Y888" s="31" t="n"/>
    </row>
    <row r="889" ht="14.25" customHeight="1">
      <c r="A889" s="32" t="n"/>
      <c r="P889" s="31" t="n"/>
      <c r="Q889" s="31" t="n"/>
      <c r="R889" s="31" t="n"/>
      <c r="S889" s="31" t="n"/>
      <c r="T889" s="31" t="n"/>
      <c r="U889" s="31" t="n"/>
      <c r="V889" s="31" t="n"/>
      <c r="W889" s="31" t="n"/>
      <c r="X889" s="31" t="n"/>
      <c r="Y889" s="31" t="n"/>
    </row>
    <row r="890" ht="14.25" customHeight="1">
      <c r="A890" s="32" t="n"/>
      <c r="P890" s="31" t="n"/>
      <c r="Q890" s="31" t="n"/>
      <c r="R890" s="31" t="n"/>
      <c r="S890" s="31" t="n"/>
      <c r="T890" s="31" t="n"/>
      <c r="U890" s="31" t="n"/>
      <c r="V890" s="31" t="n"/>
      <c r="W890" s="31" t="n"/>
      <c r="X890" s="31" t="n"/>
      <c r="Y890" s="31" t="n"/>
    </row>
    <row r="891" ht="14.25" customHeight="1">
      <c r="A891" s="32" t="n"/>
      <c r="P891" s="31" t="n"/>
      <c r="Q891" s="31" t="n"/>
      <c r="R891" s="31" t="n"/>
      <c r="S891" s="31" t="n"/>
      <c r="T891" s="31" t="n"/>
      <c r="U891" s="31" t="n"/>
      <c r="V891" s="31" t="n"/>
      <c r="W891" s="31" t="n"/>
      <c r="X891" s="31" t="n"/>
      <c r="Y891" s="31" t="n"/>
    </row>
    <row r="892" ht="14.25" customHeight="1">
      <c r="A892" s="32" t="n"/>
      <c r="P892" s="31" t="n"/>
      <c r="Q892" s="31" t="n"/>
      <c r="R892" s="31" t="n"/>
      <c r="S892" s="31" t="n"/>
      <c r="T892" s="31" t="n"/>
      <c r="U892" s="31" t="n"/>
      <c r="V892" s="31" t="n"/>
      <c r="W892" s="31" t="n"/>
      <c r="X892" s="31" t="n"/>
      <c r="Y892" s="31" t="n"/>
    </row>
    <row r="893" ht="14.25" customHeight="1">
      <c r="A893" s="32" t="n"/>
      <c r="P893" s="31" t="n"/>
      <c r="Q893" s="31" t="n"/>
      <c r="R893" s="31" t="n"/>
      <c r="S893" s="31" t="n"/>
      <c r="T893" s="31" t="n"/>
      <c r="U893" s="31" t="n"/>
      <c r="V893" s="31" t="n"/>
      <c r="W893" s="31" t="n"/>
      <c r="X893" s="31" t="n"/>
      <c r="Y893" s="31" t="n"/>
    </row>
    <row r="894" ht="14.25" customHeight="1">
      <c r="A894" s="32" t="n"/>
      <c r="P894" s="31" t="n"/>
      <c r="Q894" s="31" t="n"/>
      <c r="R894" s="31" t="n"/>
      <c r="S894" s="31" t="n"/>
      <c r="T894" s="31" t="n"/>
      <c r="U894" s="31" t="n"/>
      <c r="V894" s="31" t="n"/>
      <c r="W894" s="31" t="n"/>
      <c r="X894" s="31" t="n"/>
      <c r="Y894" s="31" t="n"/>
    </row>
    <row r="895" ht="14.25" customHeight="1">
      <c r="A895" s="32" t="n"/>
      <c r="P895" s="31" t="n"/>
      <c r="Q895" s="31" t="n"/>
      <c r="R895" s="31" t="n"/>
      <c r="S895" s="31" t="n"/>
      <c r="T895" s="31" t="n"/>
      <c r="U895" s="31" t="n"/>
      <c r="V895" s="31" t="n"/>
      <c r="W895" s="31" t="n"/>
      <c r="X895" s="31" t="n"/>
      <c r="Y895" s="31" t="n"/>
    </row>
    <row r="896" ht="14.25" customHeight="1">
      <c r="A896" s="32" t="n"/>
      <c r="P896" s="31" t="n"/>
      <c r="Q896" s="31" t="n"/>
      <c r="R896" s="31" t="n"/>
      <c r="S896" s="31" t="n"/>
      <c r="T896" s="31" t="n"/>
      <c r="U896" s="31" t="n"/>
      <c r="V896" s="31" t="n"/>
      <c r="W896" s="31" t="n"/>
      <c r="X896" s="31" t="n"/>
      <c r="Y896" s="31" t="n"/>
    </row>
    <row r="897" ht="14.25" customHeight="1">
      <c r="A897" s="32" t="n"/>
      <c r="P897" s="31" t="n"/>
      <c r="Q897" s="31" t="n"/>
      <c r="R897" s="31" t="n"/>
      <c r="S897" s="31" t="n"/>
      <c r="T897" s="31" t="n"/>
      <c r="U897" s="31" t="n"/>
      <c r="V897" s="31" t="n"/>
      <c r="W897" s="31" t="n"/>
      <c r="X897" s="31" t="n"/>
      <c r="Y897" s="31" t="n"/>
    </row>
    <row r="898" ht="14.25" customHeight="1">
      <c r="A898" s="32" t="n"/>
      <c r="P898" s="31" t="n"/>
      <c r="Q898" s="31" t="n"/>
      <c r="R898" s="31" t="n"/>
      <c r="S898" s="31" t="n"/>
      <c r="T898" s="31" t="n"/>
      <c r="U898" s="31" t="n"/>
      <c r="V898" s="31" t="n"/>
      <c r="W898" s="31" t="n"/>
      <c r="X898" s="31" t="n"/>
      <c r="Y898" s="31" t="n"/>
    </row>
    <row r="899" ht="14.25" customHeight="1">
      <c r="A899" s="32" t="n"/>
      <c r="P899" s="31" t="n"/>
      <c r="Q899" s="31" t="n"/>
      <c r="R899" s="31" t="n"/>
      <c r="S899" s="31" t="n"/>
      <c r="T899" s="31" t="n"/>
      <c r="U899" s="31" t="n"/>
      <c r="V899" s="31" t="n"/>
      <c r="W899" s="31" t="n"/>
      <c r="X899" s="31" t="n"/>
      <c r="Y899" s="31" t="n"/>
    </row>
    <row r="900" ht="14.25" customHeight="1">
      <c r="A900" s="32" t="n"/>
      <c r="P900" s="31" t="n"/>
      <c r="Q900" s="31" t="n"/>
      <c r="R900" s="31" t="n"/>
      <c r="S900" s="31" t="n"/>
      <c r="T900" s="31" t="n"/>
      <c r="U900" s="31" t="n"/>
      <c r="V900" s="31" t="n"/>
      <c r="W900" s="31" t="n"/>
      <c r="X900" s="31" t="n"/>
      <c r="Y900" s="31" t="n"/>
    </row>
    <row r="901" ht="14.25" customHeight="1">
      <c r="A901" s="32" t="n"/>
      <c r="P901" s="31" t="n"/>
      <c r="Q901" s="31" t="n"/>
      <c r="R901" s="31" t="n"/>
      <c r="S901" s="31" t="n"/>
      <c r="T901" s="31" t="n"/>
      <c r="U901" s="31" t="n"/>
      <c r="V901" s="31" t="n"/>
      <c r="W901" s="31" t="n"/>
      <c r="X901" s="31" t="n"/>
      <c r="Y901" s="31" t="n"/>
    </row>
    <row r="902" ht="14.25" customHeight="1">
      <c r="A902" s="32" t="n"/>
      <c r="P902" s="31" t="n"/>
      <c r="Q902" s="31" t="n"/>
      <c r="R902" s="31" t="n"/>
      <c r="S902" s="31" t="n"/>
      <c r="T902" s="31" t="n"/>
      <c r="U902" s="31" t="n"/>
      <c r="V902" s="31" t="n"/>
      <c r="W902" s="31" t="n"/>
      <c r="X902" s="31" t="n"/>
      <c r="Y902" s="31" t="n"/>
    </row>
    <row r="903" ht="14.25" customHeight="1">
      <c r="A903" s="32" t="n"/>
      <c r="P903" s="31" t="n"/>
      <c r="Q903" s="31" t="n"/>
      <c r="R903" s="31" t="n"/>
      <c r="S903" s="31" t="n"/>
      <c r="T903" s="31" t="n"/>
      <c r="U903" s="31" t="n"/>
      <c r="V903" s="31" t="n"/>
      <c r="W903" s="31" t="n"/>
      <c r="X903" s="31" t="n"/>
      <c r="Y903" s="31" t="n"/>
    </row>
    <row r="904" ht="14.25" customHeight="1">
      <c r="A904" s="32" t="n"/>
      <c r="P904" s="31" t="n"/>
      <c r="Q904" s="31" t="n"/>
      <c r="R904" s="31" t="n"/>
      <c r="S904" s="31" t="n"/>
      <c r="T904" s="31" t="n"/>
      <c r="U904" s="31" t="n"/>
      <c r="V904" s="31" t="n"/>
      <c r="W904" s="31" t="n"/>
      <c r="X904" s="31" t="n"/>
      <c r="Y904" s="31" t="n"/>
    </row>
    <row r="905" ht="14.25" customHeight="1">
      <c r="A905" s="32" t="n"/>
      <c r="P905" s="31" t="n"/>
      <c r="Q905" s="31" t="n"/>
      <c r="R905" s="31" t="n"/>
      <c r="S905" s="31" t="n"/>
      <c r="T905" s="31" t="n"/>
      <c r="U905" s="31" t="n"/>
      <c r="V905" s="31" t="n"/>
      <c r="W905" s="31" t="n"/>
      <c r="X905" s="31" t="n"/>
      <c r="Y905" s="31" t="n"/>
    </row>
    <row r="906" ht="14.25" customHeight="1">
      <c r="A906" s="32" t="n"/>
      <c r="P906" s="31" t="n"/>
      <c r="Q906" s="31" t="n"/>
      <c r="R906" s="31" t="n"/>
      <c r="S906" s="31" t="n"/>
      <c r="T906" s="31" t="n"/>
      <c r="U906" s="31" t="n"/>
      <c r="V906" s="31" t="n"/>
      <c r="W906" s="31" t="n"/>
      <c r="X906" s="31" t="n"/>
      <c r="Y906" s="31" t="n"/>
    </row>
    <row r="907" ht="14.25" customHeight="1">
      <c r="A907" s="32" t="n"/>
      <c r="P907" s="31" t="n"/>
      <c r="Q907" s="31" t="n"/>
      <c r="R907" s="31" t="n"/>
      <c r="S907" s="31" t="n"/>
      <c r="T907" s="31" t="n"/>
      <c r="U907" s="31" t="n"/>
      <c r="V907" s="31" t="n"/>
      <c r="W907" s="31" t="n"/>
      <c r="X907" s="31" t="n"/>
      <c r="Y907" s="31" t="n"/>
    </row>
    <row r="908" ht="14.25" customHeight="1">
      <c r="A908" s="32" t="n"/>
      <c r="P908" s="31" t="n"/>
      <c r="Q908" s="31" t="n"/>
      <c r="R908" s="31" t="n"/>
      <c r="S908" s="31" t="n"/>
      <c r="T908" s="31" t="n"/>
      <c r="U908" s="31" t="n"/>
      <c r="V908" s="31" t="n"/>
      <c r="W908" s="31" t="n"/>
      <c r="X908" s="31" t="n"/>
      <c r="Y908" s="31" t="n"/>
    </row>
    <row r="909" ht="14.25" customHeight="1">
      <c r="A909" s="32" t="n"/>
      <c r="P909" s="31" t="n"/>
      <c r="Q909" s="31" t="n"/>
      <c r="R909" s="31" t="n"/>
      <c r="S909" s="31" t="n"/>
      <c r="T909" s="31" t="n"/>
      <c r="U909" s="31" t="n"/>
      <c r="V909" s="31" t="n"/>
      <c r="W909" s="31" t="n"/>
      <c r="X909" s="31" t="n"/>
      <c r="Y909" s="31" t="n"/>
    </row>
    <row r="910" ht="14.25" customHeight="1">
      <c r="A910" s="32" t="n"/>
      <c r="P910" s="31" t="n"/>
      <c r="Q910" s="31" t="n"/>
      <c r="R910" s="31" t="n"/>
      <c r="S910" s="31" t="n"/>
      <c r="T910" s="31" t="n"/>
      <c r="U910" s="31" t="n"/>
      <c r="V910" s="31" t="n"/>
      <c r="W910" s="31" t="n"/>
      <c r="X910" s="31" t="n"/>
      <c r="Y910" s="31" t="n"/>
    </row>
    <row r="911" ht="14.25" customHeight="1">
      <c r="A911" s="32" t="n"/>
      <c r="P911" s="31" t="n"/>
      <c r="Q911" s="31" t="n"/>
      <c r="R911" s="31" t="n"/>
      <c r="S911" s="31" t="n"/>
      <c r="T911" s="31" t="n"/>
      <c r="U911" s="31" t="n"/>
      <c r="V911" s="31" t="n"/>
      <c r="W911" s="31" t="n"/>
      <c r="X911" s="31" t="n"/>
      <c r="Y911" s="31" t="n"/>
    </row>
    <row r="912" ht="14.25" customHeight="1">
      <c r="A912" s="32" t="n"/>
      <c r="P912" s="31" t="n"/>
      <c r="Q912" s="31" t="n"/>
      <c r="R912" s="31" t="n"/>
      <c r="S912" s="31" t="n"/>
      <c r="T912" s="31" t="n"/>
      <c r="U912" s="31" t="n"/>
      <c r="V912" s="31" t="n"/>
      <c r="W912" s="31" t="n"/>
      <c r="X912" s="31" t="n"/>
      <c r="Y912" s="31" t="n"/>
    </row>
    <row r="913" ht="14.25" customHeight="1">
      <c r="A913" s="32" t="n"/>
      <c r="P913" s="31" t="n"/>
      <c r="Q913" s="31" t="n"/>
      <c r="R913" s="31" t="n"/>
      <c r="S913" s="31" t="n"/>
      <c r="T913" s="31" t="n"/>
      <c r="U913" s="31" t="n"/>
      <c r="V913" s="31" t="n"/>
      <c r="W913" s="31" t="n"/>
      <c r="X913" s="31" t="n"/>
      <c r="Y913" s="31" t="n"/>
    </row>
    <row r="914" ht="14.25" customHeight="1">
      <c r="A914" s="32" t="n"/>
      <c r="P914" s="31" t="n"/>
      <c r="Q914" s="31" t="n"/>
      <c r="R914" s="31" t="n"/>
      <c r="S914" s="31" t="n"/>
      <c r="T914" s="31" t="n"/>
      <c r="U914" s="31" t="n"/>
      <c r="V914" s="31" t="n"/>
      <c r="W914" s="31" t="n"/>
      <c r="X914" s="31" t="n"/>
      <c r="Y914" s="31" t="n"/>
    </row>
    <row r="915" ht="14.25" customHeight="1">
      <c r="A915" s="32" t="n"/>
      <c r="P915" s="31" t="n"/>
      <c r="Q915" s="31" t="n"/>
      <c r="R915" s="31" t="n"/>
      <c r="S915" s="31" t="n"/>
      <c r="T915" s="31" t="n"/>
      <c r="U915" s="31" t="n"/>
      <c r="V915" s="31" t="n"/>
      <c r="W915" s="31" t="n"/>
      <c r="X915" s="31" t="n"/>
      <c r="Y915" s="31" t="n"/>
    </row>
    <row r="916" ht="14.25" customHeight="1">
      <c r="A916" s="32" t="n"/>
      <c r="P916" s="31" t="n"/>
      <c r="Q916" s="31" t="n"/>
      <c r="R916" s="31" t="n"/>
      <c r="S916" s="31" t="n"/>
      <c r="T916" s="31" t="n"/>
      <c r="U916" s="31" t="n"/>
      <c r="V916" s="31" t="n"/>
      <c r="W916" s="31" t="n"/>
      <c r="X916" s="31" t="n"/>
      <c r="Y916" s="31" t="n"/>
    </row>
    <row r="917" ht="14.25" customHeight="1">
      <c r="A917" s="32" t="n"/>
      <c r="P917" s="31" t="n"/>
      <c r="Q917" s="31" t="n"/>
      <c r="R917" s="31" t="n"/>
      <c r="S917" s="31" t="n"/>
      <c r="T917" s="31" t="n"/>
      <c r="U917" s="31" t="n"/>
      <c r="V917" s="31" t="n"/>
      <c r="W917" s="31" t="n"/>
      <c r="X917" s="31" t="n"/>
      <c r="Y917" s="31" t="n"/>
    </row>
    <row r="918" ht="14.25" customHeight="1">
      <c r="A918" s="32" t="n"/>
      <c r="P918" s="31" t="n"/>
      <c r="Q918" s="31" t="n"/>
      <c r="R918" s="31" t="n"/>
      <c r="S918" s="31" t="n"/>
      <c r="T918" s="31" t="n"/>
      <c r="U918" s="31" t="n"/>
      <c r="V918" s="31" t="n"/>
      <c r="W918" s="31" t="n"/>
      <c r="X918" s="31" t="n"/>
      <c r="Y918" s="31" t="n"/>
    </row>
    <row r="919" ht="14.25" customHeight="1">
      <c r="A919" s="32" t="n"/>
      <c r="P919" s="31" t="n"/>
      <c r="Q919" s="31" t="n"/>
      <c r="R919" s="31" t="n"/>
      <c r="S919" s="31" t="n"/>
      <c r="T919" s="31" t="n"/>
      <c r="U919" s="31" t="n"/>
      <c r="V919" s="31" t="n"/>
      <c r="W919" s="31" t="n"/>
      <c r="X919" s="31" t="n"/>
      <c r="Y919" s="31" t="n"/>
    </row>
    <row r="920" ht="14.25" customHeight="1">
      <c r="A920" s="32" t="n"/>
      <c r="P920" s="31" t="n"/>
      <c r="Q920" s="31" t="n"/>
      <c r="R920" s="31" t="n"/>
      <c r="S920" s="31" t="n"/>
      <c r="T920" s="31" t="n"/>
      <c r="U920" s="31" t="n"/>
      <c r="V920" s="31" t="n"/>
      <c r="W920" s="31" t="n"/>
      <c r="X920" s="31" t="n"/>
      <c r="Y920" s="31" t="n"/>
    </row>
    <row r="921" ht="14.25" customHeight="1">
      <c r="A921" s="32" t="n"/>
      <c r="P921" s="31" t="n"/>
      <c r="Q921" s="31" t="n"/>
      <c r="R921" s="31" t="n"/>
      <c r="S921" s="31" t="n"/>
      <c r="T921" s="31" t="n"/>
      <c r="U921" s="31" t="n"/>
      <c r="V921" s="31" t="n"/>
      <c r="W921" s="31" t="n"/>
      <c r="X921" s="31" t="n"/>
      <c r="Y921" s="31" t="n"/>
    </row>
    <row r="922" ht="14.25" customHeight="1">
      <c r="A922" s="32" t="n"/>
      <c r="P922" s="31" t="n"/>
      <c r="Q922" s="31" t="n"/>
      <c r="R922" s="31" t="n"/>
      <c r="S922" s="31" t="n"/>
      <c r="T922" s="31" t="n"/>
      <c r="U922" s="31" t="n"/>
      <c r="V922" s="31" t="n"/>
      <c r="W922" s="31" t="n"/>
      <c r="X922" s="31" t="n"/>
      <c r="Y922" s="31" t="n"/>
    </row>
    <row r="923" ht="14.25" customHeight="1">
      <c r="A923" s="32" t="n"/>
      <c r="P923" s="31" t="n"/>
      <c r="Q923" s="31" t="n"/>
      <c r="R923" s="31" t="n"/>
      <c r="S923" s="31" t="n"/>
      <c r="T923" s="31" t="n"/>
      <c r="U923" s="31" t="n"/>
      <c r="V923" s="31" t="n"/>
      <c r="W923" s="31" t="n"/>
      <c r="X923" s="31" t="n"/>
      <c r="Y923" s="31" t="n"/>
    </row>
    <row r="924" ht="14.25" customHeight="1">
      <c r="A924" s="32" t="n"/>
      <c r="P924" s="31" t="n"/>
      <c r="Q924" s="31" t="n"/>
      <c r="R924" s="31" t="n"/>
      <c r="S924" s="31" t="n"/>
      <c r="T924" s="31" t="n"/>
      <c r="U924" s="31" t="n"/>
      <c r="V924" s="31" t="n"/>
      <c r="W924" s="31" t="n"/>
      <c r="X924" s="31" t="n"/>
      <c r="Y924" s="31" t="n"/>
    </row>
    <row r="925" ht="14.25" customHeight="1">
      <c r="A925" s="32" t="n"/>
      <c r="P925" s="31" t="n"/>
      <c r="Q925" s="31" t="n"/>
      <c r="R925" s="31" t="n"/>
      <c r="S925" s="31" t="n"/>
      <c r="T925" s="31" t="n"/>
      <c r="U925" s="31" t="n"/>
      <c r="V925" s="31" t="n"/>
      <c r="W925" s="31" t="n"/>
      <c r="X925" s="31" t="n"/>
      <c r="Y925" s="31" t="n"/>
    </row>
    <row r="926" ht="14.25" customHeight="1">
      <c r="A926" s="32" t="n"/>
      <c r="P926" s="31" t="n"/>
      <c r="Q926" s="31" t="n"/>
      <c r="R926" s="31" t="n"/>
      <c r="S926" s="31" t="n"/>
      <c r="T926" s="31" t="n"/>
      <c r="U926" s="31" t="n"/>
      <c r="V926" s="31" t="n"/>
      <c r="W926" s="31" t="n"/>
      <c r="X926" s="31" t="n"/>
      <c r="Y926" s="31" t="n"/>
    </row>
    <row r="927" ht="14.25" customHeight="1">
      <c r="A927" s="32" t="n"/>
      <c r="P927" s="31" t="n"/>
      <c r="Q927" s="31" t="n"/>
      <c r="R927" s="31" t="n"/>
      <c r="S927" s="31" t="n"/>
      <c r="T927" s="31" t="n"/>
      <c r="U927" s="31" t="n"/>
      <c r="V927" s="31" t="n"/>
      <c r="W927" s="31" t="n"/>
      <c r="X927" s="31" t="n"/>
      <c r="Y927" s="31" t="n"/>
    </row>
    <row r="928" ht="14.25" customHeight="1">
      <c r="A928" s="32" t="n"/>
      <c r="P928" s="31" t="n"/>
      <c r="Q928" s="31" t="n"/>
      <c r="R928" s="31" t="n"/>
      <c r="S928" s="31" t="n"/>
      <c r="T928" s="31" t="n"/>
      <c r="U928" s="31" t="n"/>
      <c r="V928" s="31" t="n"/>
      <c r="W928" s="31" t="n"/>
      <c r="X928" s="31" t="n"/>
      <c r="Y928" s="31" t="n"/>
    </row>
    <row r="929" ht="14.25" customHeight="1">
      <c r="A929" s="32" t="n"/>
      <c r="P929" s="31" t="n"/>
      <c r="Q929" s="31" t="n"/>
      <c r="R929" s="31" t="n"/>
      <c r="S929" s="31" t="n"/>
      <c r="T929" s="31" t="n"/>
      <c r="U929" s="31" t="n"/>
      <c r="V929" s="31" t="n"/>
      <c r="W929" s="31" t="n"/>
      <c r="X929" s="31" t="n"/>
      <c r="Y929" s="31" t="n"/>
    </row>
    <row r="930" ht="14.25" customHeight="1">
      <c r="A930" s="32" t="n"/>
      <c r="P930" s="31" t="n"/>
      <c r="Q930" s="31" t="n"/>
      <c r="R930" s="31" t="n"/>
      <c r="S930" s="31" t="n"/>
      <c r="T930" s="31" t="n"/>
      <c r="U930" s="31" t="n"/>
      <c r="V930" s="31" t="n"/>
      <c r="W930" s="31" t="n"/>
      <c r="X930" s="31" t="n"/>
      <c r="Y930" s="31" t="n"/>
    </row>
    <row r="931" ht="14.25" customHeight="1">
      <c r="A931" s="32" t="n"/>
      <c r="P931" s="31" t="n"/>
      <c r="Q931" s="31" t="n"/>
      <c r="R931" s="31" t="n"/>
      <c r="S931" s="31" t="n"/>
      <c r="T931" s="31" t="n"/>
      <c r="U931" s="31" t="n"/>
      <c r="V931" s="31" t="n"/>
      <c r="W931" s="31" t="n"/>
      <c r="X931" s="31" t="n"/>
      <c r="Y931" s="31" t="n"/>
    </row>
    <row r="932" ht="14.25" customHeight="1">
      <c r="A932" s="32" t="n"/>
      <c r="P932" s="31" t="n"/>
      <c r="Q932" s="31" t="n"/>
      <c r="R932" s="31" t="n"/>
      <c r="S932" s="31" t="n"/>
      <c r="T932" s="31" t="n"/>
      <c r="U932" s="31" t="n"/>
      <c r="V932" s="31" t="n"/>
      <c r="W932" s="31" t="n"/>
      <c r="X932" s="31" t="n"/>
      <c r="Y932" s="31" t="n"/>
    </row>
    <row r="933" ht="14.25" customHeight="1">
      <c r="A933" s="32" t="n"/>
      <c r="P933" s="31" t="n"/>
      <c r="Q933" s="31" t="n"/>
      <c r="R933" s="31" t="n"/>
      <c r="S933" s="31" t="n"/>
      <c r="T933" s="31" t="n"/>
      <c r="U933" s="31" t="n"/>
      <c r="V933" s="31" t="n"/>
      <c r="W933" s="31" t="n"/>
      <c r="X933" s="31" t="n"/>
      <c r="Y933" s="31" t="n"/>
    </row>
    <row r="934" ht="14.25" customHeight="1">
      <c r="A934" s="32" t="n"/>
      <c r="P934" s="31" t="n"/>
      <c r="Q934" s="31" t="n"/>
      <c r="R934" s="31" t="n"/>
      <c r="S934" s="31" t="n"/>
      <c r="T934" s="31" t="n"/>
      <c r="U934" s="31" t="n"/>
      <c r="V934" s="31" t="n"/>
      <c r="W934" s="31" t="n"/>
      <c r="X934" s="31" t="n"/>
      <c r="Y934" s="31" t="n"/>
    </row>
    <row r="935" ht="14.25" customHeight="1">
      <c r="A935" s="32" t="n"/>
      <c r="P935" s="31" t="n"/>
      <c r="Q935" s="31" t="n"/>
      <c r="R935" s="31" t="n"/>
      <c r="S935" s="31" t="n"/>
      <c r="T935" s="31" t="n"/>
      <c r="U935" s="31" t="n"/>
      <c r="V935" s="31" t="n"/>
      <c r="W935" s="31" t="n"/>
      <c r="X935" s="31" t="n"/>
      <c r="Y935" s="31" t="n"/>
    </row>
    <row r="936" ht="14.25" customHeight="1">
      <c r="A936" s="32" t="n"/>
      <c r="P936" s="31" t="n"/>
      <c r="Q936" s="31" t="n"/>
      <c r="R936" s="31" t="n"/>
      <c r="S936" s="31" t="n"/>
      <c r="T936" s="31" t="n"/>
      <c r="U936" s="31" t="n"/>
      <c r="V936" s="31" t="n"/>
      <c r="W936" s="31" t="n"/>
      <c r="X936" s="31" t="n"/>
      <c r="Y936" s="31" t="n"/>
    </row>
    <row r="937" ht="14.25" customHeight="1">
      <c r="A937" s="32" t="n"/>
      <c r="P937" s="31" t="n"/>
      <c r="Q937" s="31" t="n"/>
      <c r="R937" s="31" t="n"/>
      <c r="S937" s="31" t="n"/>
      <c r="T937" s="31" t="n"/>
      <c r="U937" s="31" t="n"/>
      <c r="V937" s="31" t="n"/>
      <c r="W937" s="31" t="n"/>
      <c r="X937" s="31" t="n"/>
      <c r="Y937" s="31" t="n"/>
    </row>
    <row r="938" ht="14.25" customHeight="1">
      <c r="A938" s="32" t="n"/>
      <c r="P938" s="31" t="n"/>
      <c r="Q938" s="31" t="n"/>
      <c r="R938" s="31" t="n"/>
      <c r="S938" s="31" t="n"/>
      <c r="T938" s="31" t="n"/>
      <c r="U938" s="31" t="n"/>
      <c r="V938" s="31" t="n"/>
      <c r="W938" s="31" t="n"/>
      <c r="X938" s="31" t="n"/>
      <c r="Y938" s="31" t="n"/>
    </row>
    <row r="939" ht="14.25" customHeight="1">
      <c r="A939" s="32" t="n"/>
      <c r="P939" s="31" t="n"/>
      <c r="Q939" s="31" t="n"/>
      <c r="R939" s="31" t="n"/>
      <c r="S939" s="31" t="n"/>
      <c r="T939" s="31" t="n"/>
      <c r="U939" s="31" t="n"/>
      <c r="V939" s="31" t="n"/>
      <c r="W939" s="31" t="n"/>
      <c r="X939" s="31" t="n"/>
      <c r="Y939" s="31" t="n"/>
    </row>
    <row r="940" ht="14.25" customHeight="1">
      <c r="A940" s="32" t="n"/>
      <c r="P940" s="31" t="n"/>
      <c r="Q940" s="31" t="n"/>
      <c r="R940" s="31" t="n"/>
      <c r="S940" s="31" t="n"/>
      <c r="T940" s="31" t="n"/>
      <c r="U940" s="31" t="n"/>
      <c r="V940" s="31" t="n"/>
      <c r="W940" s="31" t="n"/>
      <c r="X940" s="31" t="n"/>
      <c r="Y940" s="31" t="n"/>
    </row>
    <row r="941" ht="14.25" customHeight="1">
      <c r="A941" s="32" t="n"/>
      <c r="P941" s="31" t="n"/>
      <c r="Q941" s="31" t="n"/>
      <c r="R941" s="31" t="n"/>
      <c r="S941" s="31" t="n"/>
      <c r="T941" s="31" t="n"/>
      <c r="U941" s="31" t="n"/>
      <c r="V941" s="31" t="n"/>
      <c r="W941" s="31" t="n"/>
      <c r="X941" s="31" t="n"/>
      <c r="Y941" s="31" t="n"/>
    </row>
    <row r="942" ht="14.25" customHeight="1">
      <c r="A942" s="32" t="n"/>
      <c r="P942" s="31" t="n"/>
      <c r="Q942" s="31" t="n"/>
      <c r="R942" s="31" t="n"/>
      <c r="S942" s="31" t="n"/>
      <c r="T942" s="31" t="n"/>
      <c r="U942" s="31" t="n"/>
      <c r="V942" s="31" t="n"/>
      <c r="W942" s="31" t="n"/>
      <c r="X942" s="31" t="n"/>
      <c r="Y942" s="31" t="n"/>
    </row>
    <row r="943" ht="14.25" customHeight="1">
      <c r="A943" s="32" t="n"/>
      <c r="P943" s="31" t="n"/>
      <c r="Q943" s="31" t="n"/>
      <c r="R943" s="31" t="n"/>
      <c r="S943" s="31" t="n"/>
      <c r="T943" s="31" t="n"/>
      <c r="U943" s="31" t="n"/>
      <c r="V943" s="31" t="n"/>
      <c r="W943" s="31" t="n"/>
      <c r="X943" s="31" t="n"/>
      <c r="Y943" s="31" t="n"/>
    </row>
    <row r="944" ht="14.25" customHeight="1">
      <c r="A944" s="32" t="n"/>
      <c r="P944" s="31" t="n"/>
      <c r="Q944" s="31" t="n"/>
      <c r="R944" s="31" t="n"/>
      <c r="S944" s="31" t="n"/>
      <c r="T944" s="31" t="n"/>
      <c r="U944" s="31" t="n"/>
      <c r="V944" s="31" t="n"/>
      <c r="W944" s="31" t="n"/>
      <c r="X944" s="31" t="n"/>
      <c r="Y944" s="31" t="n"/>
    </row>
    <row r="945" ht="14.25" customHeight="1">
      <c r="A945" s="32" t="n"/>
      <c r="P945" s="31" t="n"/>
      <c r="Q945" s="31" t="n"/>
      <c r="R945" s="31" t="n"/>
      <c r="S945" s="31" t="n"/>
      <c r="T945" s="31" t="n"/>
      <c r="U945" s="31" t="n"/>
      <c r="V945" s="31" t="n"/>
      <c r="W945" s="31" t="n"/>
      <c r="X945" s="31" t="n"/>
      <c r="Y945" s="31" t="n"/>
    </row>
    <row r="946" ht="14.25" customHeight="1">
      <c r="A946" s="32" t="n"/>
      <c r="P946" s="31" t="n"/>
      <c r="Q946" s="31" t="n"/>
      <c r="R946" s="31" t="n"/>
      <c r="S946" s="31" t="n"/>
      <c r="T946" s="31" t="n"/>
      <c r="U946" s="31" t="n"/>
      <c r="V946" s="31" t="n"/>
      <c r="W946" s="31" t="n"/>
      <c r="X946" s="31" t="n"/>
      <c r="Y946" s="31" t="n"/>
    </row>
    <row r="947" ht="14.25" customHeight="1">
      <c r="A947" s="32" t="n"/>
      <c r="P947" s="31" t="n"/>
      <c r="Q947" s="31" t="n"/>
      <c r="R947" s="31" t="n"/>
      <c r="S947" s="31" t="n"/>
      <c r="T947" s="31" t="n"/>
      <c r="U947" s="31" t="n"/>
      <c r="V947" s="31" t="n"/>
      <c r="W947" s="31" t="n"/>
      <c r="X947" s="31" t="n"/>
      <c r="Y947" s="31" t="n"/>
    </row>
    <row r="948" ht="14.25" customHeight="1">
      <c r="A948" s="32" t="n"/>
      <c r="P948" s="31" t="n"/>
      <c r="Q948" s="31" t="n"/>
      <c r="R948" s="31" t="n"/>
      <c r="S948" s="31" t="n"/>
      <c r="T948" s="31" t="n"/>
      <c r="U948" s="31" t="n"/>
      <c r="V948" s="31" t="n"/>
      <c r="W948" s="31" t="n"/>
      <c r="X948" s="31" t="n"/>
      <c r="Y948" s="31" t="n"/>
    </row>
    <row r="949" ht="14.25" customHeight="1">
      <c r="A949" s="32" t="n"/>
      <c r="P949" s="31" t="n"/>
      <c r="Q949" s="31" t="n"/>
      <c r="R949" s="31" t="n"/>
      <c r="S949" s="31" t="n"/>
      <c r="T949" s="31" t="n"/>
      <c r="U949" s="31" t="n"/>
      <c r="V949" s="31" t="n"/>
      <c r="W949" s="31" t="n"/>
      <c r="X949" s="31" t="n"/>
      <c r="Y949" s="31" t="n"/>
    </row>
    <row r="950" ht="14.25" customHeight="1">
      <c r="A950" s="32" t="n"/>
      <c r="P950" s="31" t="n"/>
      <c r="Q950" s="31" t="n"/>
      <c r="R950" s="31" t="n"/>
      <c r="S950" s="31" t="n"/>
      <c r="T950" s="31" t="n"/>
      <c r="U950" s="31" t="n"/>
      <c r="V950" s="31" t="n"/>
      <c r="W950" s="31" t="n"/>
      <c r="X950" s="31" t="n"/>
      <c r="Y950" s="31" t="n"/>
    </row>
    <row r="951" ht="14.25" customHeight="1">
      <c r="A951" s="32" t="n"/>
      <c r="P951" s="31" t="n"/>
      <c r="Q951" s="31" t="n"/>
      <c r="R951" s="31" t="n"/>
      <c r="S951" s="31" t="n"/>
      <c r="T951" s="31" t="n"/>
      <c r="U951" s="31" t="n"/>
      <c r="V951" s="31" t="n"/>
      <c r="W951" s="31" t="n"/>
      <c r="X951" s="31" t="n"/>
      <c r="Y951" s="31" t="n"/>
    </row>
    <row r="952" ht="14.25" customHeight="1">
      <c r="A952" s="32" t="n"/>
      <c r="P952" s="31" t="n"/>
      <c r="Q952" s="31" t="n"/>
      <c r="R952" s="31" t="n"/>
      <c r="S952" s="31" t="n"/>
      <c r="T952" s="31" t="n"/>
      <c r="U952" s="31" t="n"/>
      <c r="V952" s="31" t="n"/>
      <c r="W952" s="31" t="n"/>
      <c r="X952" s="31" t="n"/>
      <c r="Y952" s="31" t="n"/>
    </row>
    <row r="953" ht="14.25" customHeight="1">
      <c r="A953" s="32" t="n"/>
      <c r="P953" s="31" t="n"/>
      <c r="Q953" s="31" t="n"/>
      <c r="R953" s="31" t="n"/>
      <c r="S953" s="31" t="n"/>
      <c r="T953" s="31" t="n"/>
      <c r="U953" s="31" t="n"/>
      <c r="V953" s="31" t="n"/>
      <c r="W953" s="31" t="n"/>
      <c r="X953" s="31" t="n"/>
      <c r="Y953" s="31" t="n"/>
    </row>
    <row r="954" ht="14.25" customHeight="1">
      <c r="A954" s="32" t="n"/>
      <c r="P954" s="31" t="n"/>
      <c r="Q954" s="31" t="n"/>
      <c r="R954" s="31" t="n"/>
      <c r="S954" s="31" t="n"/>
      <c r="T954" s="31" t="n"/>
      <c r="U954" s="31" t="n"/>
      <c r="V954" s="31" t="n"/>
      <c r="W954" s="31" t="n"/>
      <c r="X954" s="31" t="n"/>
      <c r="Y954" s="31" t="n"/>
    </row>
    <row r="955" ht="14.25" customHeight="1">
      <c r="A955" s="32" t="n"/>
      <c r="P955" s="31" t="n"/>
      <c r="Q955" s="31" t="n"/>
      <c r="R955" s="31" t="n"/>
      <c r="S955" s="31" t="n"/>
      <c r="T955" s="31" t="n"/>
      <c r="U955" s="31" t="n"/>
      <c r="V955" s="31" t="n"/>
      <c r="W955" s="31" t="n"/>
      <c r="X955" s="31" t="n"/>
      <c r="Y955" s="31" t="n"/>
    </row>
    <row r="956" ht="14.25" customHeight="1">
      <c r="A956" s="32" t="n"/>
      <c r="P956" s="31" t="n"/>
      <c r="Q956" s="31" t="n"/>
      <c r="R956" s="31" t="n"/>
      <c r="S956" s="31" t="n"/>
      <c r="T956" s="31" t="n"/>
      <c r="U956" s="31" t="n"/>
      <c r="V956" s="31" t="n"/>
      <c r="W956" s="31" t="n"/>
      <c r="X956" s="31" t="n"/>
      <c r="Y956" s="31" t="n"/>
    </row>
    <row r="957" ht="14.25" customHeight="1">
      <c r="A957" s="32" t="n"/>
      <c r="P957" s="31" t="n"/>
      <c r="Q957" s="31" t="n"/>
      <c r="R957" s="31" t="n"/>
      <c r="S957" s="31" t="n"/>
      <c r="T957" s="31" t="n"/>
      <c r="U957" s="31" t="n"/>
      <c r="V957" s="31" t="n"/>
      <c r="W957" s="31" t="n"/>
      <c r="X957" s="31" t="n"/>
      <c r="Y957" s="31" t="n"/>
    </row>
    <row r="958" ht="14.25" customHeight="1">
      <c r="A958" s="32" t="n"/>
      <c r="P958" s="31" t="n"/>
      <c r="Q958" s="31" t="n"/>
      <c r="R958" s="31" t="n"/>
      <c r="S958" s="31" t="n"/>
      <c r="T958" s="31" t="n"/>
      <c r="U958" s="31" t="n"/>
      <c r="V958" s="31" t="n"/>
      <c r="W958" s="31" t="n"/>
      <c r="X958" s="31" t="n"/>
      <c r="Y958" s="31" t="n"/>
    </row>
    <row r="959" ht="14.25" customHeight="1">
      <c r="A959" s="32" t="n"/>
      <c r="P959" s="31" t="n"/>
      <c r="Q959" s="31" t="n"/>
      <c r="R959" s="31" t="n"/>
      <c r="S959" s="31" t="n"/>
      <c r="T959" s="31" t="n"/>
      <c r="U959" s="31" t="n"/>
      <c r="V959" s="31" t="n"/>
      <c r="W959" s="31" t="n"/>
      <c r="X959" s="31" t="n"/>
      <c r="Y959" s="31" t="n"/>
    </row>
    <row r="960" ht="14.25" customHeight="1">
      <c r="A960" s="32" t="n"/>
      <c r="P960" s="31" t="n"/>
      <c r="Q960" s="31" t="n"/>
      <c r="R960" s="31" t="n"/>
      <c r="S960" s="31" t="n"/>
      <c r="T960" s="31" t="n"/>
      <c r="U960" s="31" t="n"/>
      <c r="V960" s="31" t="n"/>
      <c r="W960" s="31" t="n"/>
      <c r="X960" s="31" t="n"/>
      <c r="Y960" s="31" t="n"/>
    </row>
    <row r="961" ht="14.25" customHeight="1">
      <c r="A961" s="32" t="n"/>
      <c r="P961" s="31" t="n"/>
      <c r="Q961" s="31" t="n"/>
      <c r="R961" s="31" t="n"/>
      <c r="S961" s="31" t="n"/>
      <c r="T961" s="31" t="n"/>
      <c r="U961" s="31" t="n"/>
      <c r="V961" s="31" t="n"/>
      <c r="W961" s="31" t="n"/>
      <c r="X961" s="31" t="n"/>
      <c r="Y961" s="31" t="n"/>
    </row>
    <row r="962" ht="14.25" customHeight="1">
      <c r="A962" s="32" t="n"/>
      <c r="P962" s="31" t="n"/>
      <c r="Q962" s="31" t="n"/>
      <c r="R962" s="31" t="n"/>
      <c r="S962" s="31" t="n"/>
      <c r="T962" s="31" t="n"/>
      <c r="U962" s="31" t="n"/>
      <c r="V962" s="31" t="n"/>
      <c r="W962" s="31" t="n"/>
      <c r="X962" s="31" t="n"/>
      <c r="Y962" s="31" t="n"/>
    </row>
    <row r="963" ht="14.25" customHeight="1">
      <c r="A963" s="32" t="n"/>
      <c r="P963" s="31" t="n"/>
      <c r="Q963" s="31" t="n"/>
      <c r="R963" s="31" t="n"/>
      <c r="S963" s="31" t="n"/>
      <c r="T963" s="31" t="n"/>
      <c r="U963" s="31" t="n"/>
      <c r="V963" s="31" t="n"/>
      <c r="W963" s="31" t="n"/>
      <c r="X963" s="31" t="n"/>
      <c r="Y963" s="31" t="n"/>
    </row>
    <row r="964" ht="14.25" customHeight="1">
      <c r="A964" s="32" t="n"/>
      <c r="P964" s="31" t="n"/>
      <c r="Q964" s="31" t="n"/>
      <c r="R964" s="31" t="n"/>
      <c r="S964" s="31" t="n"/>
      <c r="T964" s="31" t="n"/>
      <c r="U964" s="31" t="n"/>
      <c r="V964" s="31" t="n"/>
      <c r="W964" s="31" t="n"/>
      <c r="X964" s="31" t="n"/>
      <c r="Y964" s="31" t="n"/>
    </row>
    <row r="965" ht="14.25" customHeight="1">
      <c r="A965" s="32" t="n"/>
      <c r="P965" s="31" t="n"/>
      <c r="Q965" s="31" t="n"/>
      <c r="R965" s="31" t="n"/>
      <c r="S965" s="31" t="n"/>
      <c r="T965" s="31" t="n"/>
      <c r="U965" s="31" t="n"/>
      <c r="V965" s="31" t="n"/>
      <c r="W965" s="31" t="n"/>
      <c r="X965" s="31" t="n"/>
      <c r="Y965" s="31" t="n"/>
    </row>
    <row r="966" ht="14.25" customHeight="1">
      <c r="A966" s="32" t="n"/>
      <c r="P966" s="31" t="n"/>
      <c r="Q966" s="31" t="n"/>
      <c r="R966" s="31" t="n"/>
      <c r="S966" s="31" t="n"/>
      <c r="T966" s="31" t="n"/>
      <c r="U966" s="31" t="n"/>
      <c r="V966" s="31" t="n"/>
      <c r="W966" s="31" t="n"/>
      <c r="X966" s="31" t="n"/>
      <c r="Y966" s="31" t="n"/>
    </row>
    <row r="967" ht="14.25" customHeight="1">
      <c r="A967" s="32" t="n"/>
      <c r="P967" s="31" t="n"/>
      <c r="Q967" s="31" t="n"/>
      <c r="R967" s="31" t="n"/>
      <c r="S967" s="31" t="n"/>
      <c r="T967" s="31" t="n"/>
      <c r="U967" s="31" t="n"/>
      <c r="V967" s="31" t="n"/>
      <c r="W967" s="31" t="n"/>
      <c r="X967" s="31" t="n"/>
      <c r="Y967" s="31" t="n"/>
    </row>
    <row r="968" ht="14.25" customHeight="1">
      <c r="A968" s="32" t="n"/>
      <c r="P968" s="31" t="n"/>
      <c r="Q968" s="31" t="n"/>
      <c r="R968" s="31" t="n"/>
      <c r="S968" s="31" t="n"/>
      <c r="T968" s="31" t="n"/>
      <c r="U968" s="31" t="n"/>
      <c r="V968" s="31" t="n"/>
      <c r="W968" s="31" t="n"/>
      <c r="X968" s="31" t="n"/>
      <c r="Y968" s="31" t="n"/>
    </row>
    <row r="969" ht="14.25" customHeight="1">
      <c r="A969" s="32" t="n"/>
      <c r="P969" s="31" t="n"/>
      <c r="Q969" s="31" t="n"/>
      <c r="R969" s="31" t="n"/>
      <c r="S969" s="31" t="n"/>
      <c r="T969" s="31" t="n"/>
      <c r="U969" s="31" t="n"/>
      <c r="V969" s="31" t="n"/>
      <c r="W969" s="31" t="n"/>
      <c r="X969" s="31" t="n"/>
      <c r="Y969" s="31" t="n"/>
    </row>
    <row r="970" ht="14.25" customHeight="1">
      <c r="A970" s="32" t="n"/>
      <c r="P970" s="31" t="n"/>
      <c r="Q970" s="31" t="n"/>
      <c r="R970" s="31" t="n"/>
      <c r="S970" s="31" t="n"/>
      <c r="T970" s="31" t="n"/>
      <c r="U970" s="31" t="n"/>
      <c r="V970" s="31" t="n"/>
      <c r="W970" s="31" t="n"/>
      <c r="X970" s="31" t="n"/>
      <c r="Y970" s="31" t="n"/>
    </row>
    <row r="971" ht="14.25" customHeight="1">
      <c r="A971" s="32" t="n"/>
      <c r="P971" s="31" t="n"/>
      <c r="Q971" s="31" t="n"/>
      <c r="R971" s="31" t="n"/>
      <c r="S971" s="31" t="n"/>
      <c r="T971" s="31" t="n"/>
      <c r="U971" s="31" t="n"/>
      <c r="V971" s="31" t="n"/>
      <c r="W971" s="31" t="n"/>
      <c r="X971" s="31" t="n"/>
      <c r="Y971" s="31" t="n"/>
    </row>
    <row r="972" ht="14.25" customHeight="1">
      <c r="A972" s="32" t="n"/>
      <c r="P972" s="31" t="n"/>
      <c r="Q972" s="31" t="n"/>
      <c r="R972" s="31" t="n"/>
      <c r="S972" s="31" t="n"/>
      <c r="T972" s="31" t="n"/>
      <c r="U972" s="31" t="n"/>
      <c r="V972" s="31" t="n"/>
      <c r="W972" s="31" t="n"/>
      <c r="X972" s="31" t="n"/>
      <c r="Y972" s="31" t="n"/>
    </row>
    <row r="973" ht="14.25" customHeight="1">
      <c r="A973" s="32" t="n"/>
      <c r="P973" s="31" t="n"/>
      <c r="Q973" s="31" t="n"/>
      <c r="R973" s="31" t="n"/>
      <c r="S973" s="31" t="n"/>
      <c r="T973" s="31" t="n"/>
      <c r="U973" s="31" t="n"/>
      <c r="V973" s="31" t="n"/>
      <c r="W973" s="31" t="n"/>
      <c r="X973" s="31" t="n"/>
      <c r="Y973" s="31" t="n"/>
    </row>
    <row r="974" ht="14.25" customHeight="1">
      <c r="A974" s="32" t="n"/>
      <c r="P974" s="31" t="n"/>
      <c r="Q974" s="31" t="n"/>
      <c r="R974" s="31" t="n"/>
      <c r="S974" s="31" t="n"/>
      <c r="T974" s="31" t="n"/>
      <c r="U974" s="31" t="n"/>
      <c r="V974" s="31" t="n"/>
      <c r="W974" s="31" t="n"/>
      <c r="X974" s="31" t="n"/>
      <c r="Y974" s="31" t="n"/>
    </row>
    <row r="975" ht="14.25" customHeight="1">
      <c r="A975" s="32" t="n"/>
      <c r="P975" s="31" t="n"/>
      <c r="Q975" s="31" t="n"/>
      <c r="R975" s="31" t="n"/>
      <c r="S975" s="31" t="n"/>
      <c r="T975" s="31" t="n"/>
      <c r="U975" s="31" t="n"/>
      <c r="V975" s="31" t="n"/>
      <c r="W975" s="31" t="n"/>
      <c r="X975" s="31" t="n"/>
      <c r="Y975" s="31" t="n"/>
    </row>
    <row r="976" ht="14.25" customHeight="1">
      <c r="A976" s="32" t="n"/>
      <c r="P976" s="31" t="n"/>
      <c r="Q976" s="31" t="n"/>
      <c r="R976" s="31" t="n"/>
      <c r="S976" s="31" t="n"/>
      <c r="T976" s="31" t="n"/>
      <c r="U976" s="31" t="n"/>
      <c r="V976" s="31" t="n"/>
      <c r="W976" s="31" t="n"/>
      <c r="X976" s="31" t="n"/>
      <c r="Y976" s="31" t="n"/>
    </row>
    <row r="977" ht="14.25" customHeight="1">
      <c r="A977" s="32" t="n"/>
      <c r="P977" s="31" t="n"/>
      <c r="Q977" s="31" t="n"/>
      <c r="R977" s="31" t="n"/>
      <c r="S977" s="31" t="n"/>
      <c r="T977" s="31" t="n"/>
      <c r="U977" s="31" t="n"/>
      <c r="V977" s="31" t="n"/>
      <c r="W977" s="31" t="n"/>
      <c r="X977" s="31" t="n"/>
      <c r="Y977" s="31" t="n"/>
    </row>
    <row r="978" ht="14.25" customHeight="1">
      <c r="A978" s="32" t="n"/>
      <c r="P978" s="31" t="n"/>
      <c r="Q978" s="31" t="n"/>
      <c r="R978" s="31" t="n"/>
      <c r="S978" s="31" t="n"/>
      <c r="T978" s="31" t="n"/>
      <c r="U978" s="31" t="n"/>
      <c r="V978" s="31" t="n"/>
      <c r="W978" s="31" t="n"/>
      <c r="X978" s="31" t="n"/>
      <c r="Y978" s="31" t="n"/>
    </row>
    <row r="979" ht="14.25" customHeight="1">
      <c r="A979" s="32" t="n"/>
      <c r="P979" s="31" t="n"/>
      <c r="Q979" s="31" t="n"/>
      <c r="R979" s="31" t="n"/>
      <c r="S979" s="31" t="n"/>
      <c r="T979" s="31" t="n"/>
      <c r="U979" s="31" t="n"/>
      <c r="V979" s="31" t="n"/>
      <c r="W979" s="31" t="n"/>
      <c r="X979" s="31" t="n"/>
      <c r="Y979" s="31" t="n"/>
    </row>
    <row r="980" ht="14.25" customHeight="1">
      <c r="A980" s="32" t="n"/>
      <c r="P980" s="31" t="n"/>
      <c r="Q980" s="31" t="n"/>
      <c r="R980" s="31" t="n"/>
      <c r="S980" s="31" t="n"/>
      <c r="T980" s="31" t="n"/>
      <c r="U980" s="31" t="n"/>
      <c r="V980" s="31" t="n"/>
      <c r="W980" s="31" t="n"/>
      <c r="X980" s="31" t="n"/>
      <c r="Y980" s="31" t="n"/>
    </row>
    <row r="981" ht="14.25" customHeight="1">
      <c r="A981" s="32" t="n"/>
      <c r="P981" s="31" t="n"/>
      <c r="Q981" s="31" t="n"/>
      <c r="R981" s="31" t="n"/>
      <c r="S981" s="31" t="n"/>
      <c r="T981" s="31" t="n"/>
      <c r="U981" s="31" t="n"/>
      <c r="V981" s="31" t="n"/>
      <c r="W981" s="31" t="n"/>
      <c r="X981" s="31" t="n"/>
      <c r="Y981" s="31" t="n"/>
    </row>
    <row r="982" ht="14.25" customHeight="1">
      <c r="A982" s="32" t="n"/>
      <c r="P982" s="31" t="n"/>
      <c r="Q982" s="31" t="n"/>
      <c r="R982" s="31" t="n"/>
      <c r="S982" s="31" t="n"/>
      <c r="T982" s="31" t="n"/>
      <c r="U982" s="31" t="n"/>
      <c r="V982" s="31" t="n"/>
      <c r="W982" s="31" t="n"/>
      <c r="X982" s="31" t="n"/>
      <c r="Y982" s="31" t="n"/>
    </row>
    <row r="983" ht="14.25" customHeight="1">
      <c r="A983" s="32" t="n"/>
      <c r="P983" s="31" t="n"/>
      <c r="Q983" s="31" t="n"/>
      <c r="R983" s="31" t="n"/>
      <c r="S983" s="31" t="n"/>
      <c r="T983" s="31" t="n"/>
      <c r="U983" s="31" t="n"/>
      <c r="V983" s="31" t="n"/>
      <c r="W983" s="31" t="n"/>
      <c r="X983" s="31" t="n"/>
      <c r="Y983" s="31" t="n"/>
    </row>
    <row r="984" ht="14.25" customHeight="1">
      <c r="A984" s="32" t="n"/>
      <c r="P984" s="31" t="n"/>
      <c r="Q984" s="31" t="n"/>
      <c r="R984" s="31" t="n"/>
      <c r="S984" s="31" t="n"/>
      <c r="T984" s="31" t="n"/>
      <c r="U984" s="31" t="n"/>
      <c r="V984" s="31" t="n"/>
      <c r="W984" s="31" t="n"/>
      <c r="X984" s="31" t="n"/>
      <c r="Y984" s="31" t="n"/>
    </row>
    <row r="985" ht="14.25" customHeight="1">
      <c r="A985" s="32" t="n"/>
      <c r="P985" s="31" t="n"/>
      <c r="Q985" s="31" t="n"/>
      <c r="R985" s="31" t="n"/>
      <c r="S985" s="31" t="n"/>
      <c r="T985" s="31" t="n"/>
      <c r="U985" s="31" t="n"/>
      <c r="V985" s="31" t="n"/>
      <c r="W985" s="31" t="n"/>
      <c r="X985" s="31" t="n"/>
      <c r="Y985" s="31" t="n"/>
    </row>
    <row r="986" ht="14.25" customHeight="1">
      <c r="A986" s="32" t="n"/>
      <c r="P986" s="31" t="n"/>
      <c r="Q986" s="31" t="n"/>
      <c r="R986" s="31" t="n"/>
      <c r="S986" s="31" t="n"/>
      <c r="T986" s="31" t="n"/>
      <c r="U986" s="31" t="n"/>
      <c r="V986" s="31" t="n"/>
      <c r="W986" s="31" t="n"/>
      <c r="X986" s="31" t="n"/>
      <c r="Y986" s="31" t="n"/>
    </row>
    <row r="987" ht="14.25" customHeight="1">
      <c r="A987" s="32" t="n"/>
      <c r="P987" s="31" t="n"/>
      <c r="Q987" s="31" t="n"/>
      <c r="R987" s="31" t="n"/>
      <c r="S987" s="31" t="n"/>
      <c r="T987" s="31" t="n"/>
      <c r="U987" s="31" t="n"/>
      <c r="V987" s="31" t="n"/>
      <c r="W987" s="31" t="n"/>
      <c r="X987" s="31" t="n"/>
      <c r="Y987" s="31" t="n"/>
    </row>
    <row r="988" ht="14.25" customHeight="1">
      <c r="A988" s="32" t="n"/>
      <c r="P988" s="31" t="n"/>
      <c r="Q988" s="31" t="n"/>
      <c r="R988" s="31" t="n"/>
      <c r="S988" s="31" t="n"/>
      <c r="T988" s="31" t="n"/>
      <c r="U988" s="31" t="n"/>
      <c r="V988" s="31" t="n"/>
      <c r="W988" s="31" t="n"/>
      <c r="X988" s="31" t="n"/>
      <c r="Y988" s="31" t="n"/>
    </row>
    <row r="989" ht="14.25" customHeight="1">
      <c r="A989" s="32" t="n"/>
      <c r="P989" s="31" t="n"/>
      <c r="Q989" s="31" t="n"/>
      <c r="R989" s="31" t="n"/>
      <c r="S989" s="31" t="n"/>
      <c r="T989" s="31" t="n"/>
      <c r="U989" s="31" t="n"/>
      <c r="V989" s="31" t="n"/>
      <c r="W989" s="31" t="n"/>
      <c r="X989" s="31" t="n"/>
      <c r="Y989" s="31" t="n"/>
    </row>
    <row r="990" ht="14.25" customHeight="1">
      <c r="A990" s="32" t="n"/>
      <c r="P990" s="31" t="n"/>
      <c r="Q990" s="31" t="n"/>
      <c r="R990" s="31" t="n"/>
      <c r="S990" s="31" t="n"/>
      <c r="T990" s="31" t="n"/>
      <c r="U990" s="31" t="n"/>
      <c r="V990" s="31" t="n"/>
      <c r="W990" s="31" t="n"/>
      <c r="X990" s="31" t="n"/>
      <c r="Y990" s="31" t="n"/>
    </row>
    <row r="991" ht="14.25" customHeight="1">
      <c r="A991" s="32" t="n"/>
      <c r="P991" s="31" t="n"/>
      <c r="Q991" s="31" t="n"/>
      <c r="R991" s="31" t="n"/>
      <c r="S991" s="31" t="n"/>
      <c r="T991" s="31" t="n"/>
      <c r="U991" s="31" t="n"/>
      <c r="V991" s="31" t="n"/>
      <c r="W991" s="31" t="n"/>
      <c r="X991" s="31" t="n"/>
      <c r="Y991" s="31" t="n"/>
    </row>
    <row r="992" ht="14.25" customHeight="1">
      <c r="A992" s="32" t="n"/>
      <c r="P992" s="31" t="n"/>
      <c r="Q992" s="31" t="n"/>
      <c r="R992" s="31" t="n"/>
      <c r="S992" s="31" t="n"/>
      <c r="T992" s="31" t="n"/>
      <c r="U992" s="31" t="n"/>
      <c r="V992" s="31" t="n"/>
      <c r="W992" s="31" t="n"/>
      <c r="X992" s="31" t="n"/>
      <c r="Y992" s="31" t="n"/>
    </row>
    <row r="993" ht="14.25" customHeight="1">
      <c r="A993" s="32" t="n"/>
      <c r="P993" s="31" t="n"/>
      <c r="Q993" s="31" t="n"/>
      <c r="R993" s="31" t="n"/>
      <c r="S993" s="31" t="n"/>
      <c r="T993" s="31" t="n"/>
      <c r="U993" s="31" t="n"/>
      <c r="V993" s="31" t="n"/>
      <c r="W993" s="31" t="n"/>
      <c r="X993" s="31" t="n"/>
      <c r="Y993" s="31" t="n"/>
    </row>
    <row r="994" ht="14.25" customHeight="1">
      <c r="A994" s="32" t="n"/>
      <c r="P994" s="31" t="n"/>
      <c r="Q994" s="31" t="n"/>
      <c r="R994" s="31" t="n"/>
      <c r="S994" s="31" t="n"/>
      <c r="T994" s="31" t="n"/>
      <c r="U994" s="31" t="n"/>
      <c r="V994" s="31" t="n"/>
      <c r="W994" s="31" t="n"/>
      <c r="X994" s="31" t="n"/>
      <c r="Y994" s="31" t="n"/>
    </row>
    <row r="995" ht="14.25" customHeight="1">
      <c r="A995" s="32" t="n"/>
      <c r="P995" s="31" t="n"/>
      <c r="Q995" s="31" t="n"/>
      <c r="R995" s="31" t="n"/>
      <c r="S995" s="31" t="n"/>
      <c r="T995" s="31" t="n"/>
      <c r="U995" s="31" t="n"/>
      <c r="V995" s="31" t="n"/>
      <c r="W995" s="31" t="n"/>
      <c r="X995" s="31" t="n"/>
      <c r="Y995" s="31" t="n"/>
    </row>
    <row r="996" ht="14.25" customHeight="1">
      <c r="A996" s="32" t="n"/>
      <c r="P996" s="31" t="n"/>
      <c r="Q996" s="31" t="n"/>
      <c r="R996" s="31" t="n"/>
      <c r="S996" s="31" t="n"/>
      <c r="T996" s="31" t="n"/>
      <c r="U996" s="31" t="n"/>
      <c r="V996" s="31" t="n"/>
      <c r="W996" s="31" t="n"/>
      <c r="X996" s="31" t="n"/>
      <c r="Y996" s="31" t="n"/>
    </row>
    <row r="997" ht="14.25" customHeight="1">
      <c r="A997" s="32" t="n"/>
      <c r="P997" s="31" t="n"/>
      <c r="Q997" s="31" t="n"/>
      <c r="R997" s="31" t="n"/>
      <c r="S997" s="31" t="n"/>
      <c r="T997" s="31" t="n"/>
      <c r="U997" s="31" t="n"/>
      <c r="V997" s="31" t="n"/>
      <c r="W997" s="31" t="n"/>
      <c r="X997" s="31" t="n"/>
      <c r="Y997" s="31" t="n"/>
    </row>
    <row r="998" ht="14.25" customHeight="1">
      <c r="A998" s="32" t="n"/>
      <c r="P998" s="31" t="n"/>
      <c r="Q998" s="31" t="n"/>
      <c r="R998" s="31" t="n"/>
      <c r="S998" s="31" t="n"/>
      <c r="T998" s="31" t="n"/>
      <c r="U998" s="31" t="n"/>
      <c r="V998" s="31" t="n"/>
      <c r="W998" s="31" t="n"/>
      <c r="X998" s="31" t="n"/>
      <c r="Y998" s="31" t="n"/>
    </row>
    <row r="999" ht="14.25" customHeight="1">
      <c r="A999" s="32" t="n"/>
      <c r="P999" s="31" t="n"/>
      <c r="Q999" s="31" t="n"/>
      <c r="R999" s="31" t="n"/>
      <c r="S999" s="31" t="n"/>
      <c r="T999" s="31" t="n"/>
      <c r="U999" s="31" t="n"/>
      <c r="V999" s="31" t="n"/>
      <c r="W999" s="31" t="n"/>
      <c r="X999" s="31" t="n"/>
      <c r="Y999" s="31" t="n"/>
    </row>
    <row r="1000" ht="14.25" customHeight="1">
      <c r="A1000" s="32" t="n"/>
      <c r="P1000" s="31" t="n"/>
      <c r="Q1000" s="31" t="n"/>
      <c r="R1000" s="31" t="n"/>
      <c r="S1000" s="31" t="n"/>
      <c r="T1000" s="31" t="n"/>
      <c r="U1000" s="31" t="n"/>
      <c r="V1000" s="31" t="n"/>
      <c r="W1000" s="31" t="n"/>
      <c r="X1000" s="31" t="n"/>
      <c r="Y1000" s="31" t="n"/>
    </row>
    <row r="1001" ht="14.25" customHeight="1">
      <c r="A1001" s="32" t="n"/>
      <c r="P1001" s="31" t="n"/>
      <c r="Q1001" s="31" t="n"/>
      <c r="R1001" s="31" t="n"/>
      <c r="S1001" s="31" t="n"/>
      <c r="T1001" s="31" t="n"/>
      <c r="U1001" s="31" t="n"/>
      <c r="V1001" s="31" t="n"/>
      <c r="W1001" s="31" t="n"/>
      <c r="X1001" s="31" t="n"/>
      <c r="Y1001" s="31" t="n"/>
    </row>
    <row r="1002" ht="14.25" customHeight="1">
      <c r="A1002" s="32" t="n"/>
      <c r="P1002" s="31" t="n"/>
      <c r="Q1002" s="31" t="n"/>
      <c r="R1002" s="31" t="n"/>
      <c r="S1002" s="31" t="n"/>
      <c r="T1002" s="31" t="n"/>
      <c r="U1002" s="31" t="n"/>
      <c r="V1002" s="31" t="n"/>
      <c r="W1002" s="31" t="n"/>
      <c r="X1002" s="31" t="n"/>
      <c r="Y1002" s="31" t="n"/>
    </row>
    <row r="1003" ht="14.25" customHeight="1">
      <c r="A1003" s="32" t="n"/>
      <c r="P1003" s="31" t="n"/>
      <c r="Q1003" s="31" t="n"/>
      <c r="R1003" s="31" t="n"/>
      <c r="S1003" s="31" t="n"/>
      <c r="T1003" s="31" t="n"/>
      <c r="U1003" s="31" t="n"/>
      <c r="V1003" s="31" t="n"/>
      <c r="W1003" s="31" t="n"/>
      <c r="X1003" s="31" t="n"/>
      <c r="Y1003" s="31" t="n"/>
    </row>
    <row r="1004" ht="14.25" customHeight="1">
      <c r="A1004" s="32" t="n"/>
      <c r="P1004" s="31" t="n"/>
      <c r="Q1004" s="31" t="n"/>
      <c r="R1004" s="31" t="n"/>
      <c r="S1004" s="31" t="n"/>
      <c r="T1004" s="31" t="n"/>
      <c r="U1004" s="31" t="n"/>
      <c r="V1004" s="31" t="n"/>
      <c r="W1004" s="31" t="n"/>
      <c r="X1004" s="31" t="n"/>
      <c r="Y1004" s="31" t="n"/>
    </row>
    <row r="1005" ht="14.25" customHeight="1">
      <c r="A1005" s="32" t="n"/>
      <c r="P1005" s="31" t="n"/>
      <c r="Q1005" s="31" t="n"/>
      <c r="R1005" s="31" t="n"/>
      <c r="S1005" s="31" t="n"/>
      <c r="T1005" s="31" t="n"/>
      <c r="U1005" s="31" t="n"/>
      <c r="V1005" s="31" t="n"/>
      <c r="W1005" s="31" t="n"/>
      <c r="X1005" s="31" t="n"/>
      <c r="Y1005" s="31" t="n"/>
    </row>
    <row r="1006" ht="14.25" customHeight="1">
      <c r="A1006" s="32" t="n"/>
      <c r="P1006" s="31" t="n"/>
      <c r="Q1006" s="31" t="n"/>
      <c r="R1006" s="31" t="n"/>
      <c r="S1006" s="31" t="n"/>
      <c r="T1006" s="31" t="n"/>
      <c r="U1006" s="31" t="n"/>
      <c r="V1006" s="31" t="n"/>
      <c r="W1006" s="31" t="n"/>
      <c r="X1006" s="31" t="n"/>
      <c r="Y1006" s="31" t="n"/>
    </row>
    <row r="1007" ht="14.25" customHeight="1">
      <c r="A1007" s="32" t="n"/>
      <c r="P1007" s="31" t="n"/>
      <c r="Q1007" s="31" t="n"/>
      <c r="R1007" s="31" t="n"/>
      <c r="S1007" s="31" t="n"/>
      <c r="T1007" s="31" t="n"/>
      <c r="U1007" s="31" t="n"/>
      <c r="V1007" s="31" t="n"/>
      <c r="W1007" s="31" t="n"/>
      <c r="X1007" s="31" t="n"/>
      <c r="Y1007" s="31" t="n"/>
    </row>
    <row r="1008" ht="14.25" customHeight="1">
      <c r="A1008" s="32" t="n"/>
      <c r="P1008" s="31" t="n"/>
      <c r="Q1008" s="31" t="n"/>
      <c r="R1008" s="31" t="n"/>
      <c r="S1008" s="31" t="n"/>
      <c r="T1008" s="31" t="n"/>
      <c r="U1008" s="31" t="n"/>
      <c r="V1008" s="31" t="n"/>
      <c r="W1008" s="31" t="n"/>
      <c r="X1008" s="31" t="n"/>
      <c r="Y1008" s="31" t="n"/>
    </row>
    <row r="1009" ht="14.25" customHeight="1">
      <c r="A1009" s="32" t="n"/>
      <c r="P1009" s="31" t="n"/>
      <c r="Q1009" s="31" t="n"/>
      <c r="R1009" s="31" t="n"/>
      <c r="S1009" s="31" t="n"/>
      <c r="T1009" s="31" t="n"/>
      <c r="U1009" s="31" t="n"/>
      <c r="V1009" s="31" t="n"/>
      <c r="W1009" s="31" t="n"/>
      <c r="X1009" s="31" t="n"/>
      <c r="Y1009" s="31" t="n"/>
    </row>
    <row r="1010" ht="14.25" customHeight="1">
      <c r="A1010" s="32" t="n"/>
      <c r="P1010" s="31" t="n"/>
      <c r="Q1010" s="31" t="n"/>
      <c r="R1010" s="31" t="n"/>
      <c r="S1010" s="31" t="n"/>
      <c r="T1010" s="31" t="n"/>
      <c r="U1010" s="31" t="n"/>
      <c r="V1010" s="31" t="n"/>
      <c r="W1010" s="31" t="n"/>
      <c r="X1010" s="31" t="n"/>
      <c r="Y1010" s="31" t="n"/>
    </row>
    <row r="1011" ht="14.25" customHeight="1">
      <c r="P1011" s="31" t="n"/>
      <c r="Q1011" s="31" t="n"/>
      <c r="R1011" s="31" t="n"/>
      <c r="S1011" s="31" t="n"/>
      <c r="T1011" s="31" t="n"/>
      <c r="U1011" s="31" t="n"/>
      <c r="V1011" s="31" t="n"/>
      <c r="W1011" s="31" t="n"/>
      <c r="X1011" s="31" t="n"/>
      <c r="Y1011" s="31" t="n"/>
    </row>
  </sheetData>
  <autoFilter ref="A1:K50"/>
  <conditionalFormatting sqref="A2:A48 A50:A54">
    <cfRule type="notContainsBlanks" priority="1" dxfId="0">
      <formula>LEN(TRIM(A2))&gt;0</formula>
    </cfRule>
  </conditionalFormatting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Z978"/>
  <sheetViews>
    <sheetView showGridLines="0" zoomScale="140" zoomScaleNormal="140" workbookViewId="0">
      <selection activeCell="B16" sqref="B16"/>
    </sheetView>
  </sheetViews>
  <sheetFormatPr baseColWidth="8" defaultColWidth="14.44140625" defaultRowHeight="15" customHeight="1"/>
  <cols>
    <col width="6.44140625" customWidth="1" min="1" max="1"/>
    <col width="34.33203125" customWidth="1" min="2" max="2"/>
    <col width="52.6640625" customWidth="1" min="3" max="3"/>
    <col width="18.33203125" customWidth="1" min="4" max="4"/>
    <col width="11.6640625" customWidth="1" min="5" max="5"/>
    <col width="16.6640625" customWidth="1" min="6" max="7"/>
    <col width="15.6640625" customWidth="1" min="8" max="8"/>
    <col width="11.44140625" customWidth="1" min="9" max="9"/>
    <col width="25.33203125" customWidth="1" min="10" max="10"/>
    <col width="9.5546875" customWidth="1" min="11" max="11"/>
    <col hidden="1" width="11.44140625" customWidth="1" min="12" max="12"/>
    <col hidden="1" width="10.6640625" customWidth="1" min="13" max="13"/>
    <col hidden="1" width="11.88671875" customWidth="1" min="14" max="14"/>
    <col hidden="1" width="10.6640625" customWidth="1" min="15" max="15"/>
    <col width="23.44140625" customWidth="1" min="16" max="16"/>
    <col width="10.6640625" customWidth="1" min="17" max="25"/>
  </cols>
  <sheetData>
    <row r="1" ht="23.25" customHeight="1">
      <c r="A1" s="23" t="inlineStr">
        <is>
          <t>No</t>
        </is>
      </c>
      <c r="B1" s="24" t="inlineStr">
        <is>
          <t>Nombre Y Apellido</t>
        </is>
      </c>
      <c r="C1" s="25" t="inlineStr">
        <is>
          <t>Cargo</t>
        </is>
      </c>
      <c r="D1" s="26" t="inlineStr">
        <is>
          <t>Ubicacion</t>
        </is>
      </c>
      <c r="E1" s="27" t="inlineStr">
        <is>
          <t>Número</t>
        </is>
      </c>
      <c r="F1" s="27" t="n"/>
      <c r="G1" s="27" t="inlineStr">
        <is>
          <t>Cod. Contrato</t>
        </is>
      </c>
      <c r="H1" s="27" t="inlineStr">
        <is>
          <t>No. Contrato</t>
        </is>
      </c>
      <c r="I1" s="28" t="inlineStr">
        <is>
          <t>Estado Contrato</t>
        </is>
      </c>
      <c r="J1" s="28" t="inlineStr">
        <is>
          <t>Empresa</t>
        </is>
      </c>
      <c r="K1" s="26" t="inlineStr">
        <is>
          <t>PLAN</t>
        </is>
      </c>
      <c r="L1" s="28" t="inlineStr">
        <is>
          <t>Actual</t>
        </is>
      </c>
      <c r="M1" s="28" t="inlineStr">
        <is>
          <t>Plan Actual</t>
        </is>
      </c>
      <c r="N1" s="29" t="n"/>
      <c r="O1" s="30" t="inlineStr">
        <is>
          <t>Monto de Subsidio por plan</t>
        </is>
      </c>
      <c r="P1" s="26" t="inlineStr">
        <is>
          <t>Equipo</t>
        </is>
      </c>
      <c r="Q1" s="31" t="n"/>
      <c r="R1" s="31" t="n"/>
      <c r="S1" s="31" t="n"/>
      <c r="T1" s="31" t="n"/>
      <c r="U1" s="31" t="n"/>
      <c r="V1" s="31" t="n"/>
      <c r="W1" s="31" t="n"/>
      <c r="X1" s="31" t="n"/>
      <c r="Y1" s="31" t="n"/>
    </row>
    <row r="2" ht="14.25" customHeight="1">
      <c r="A2" s="32" t="n">
        <v>1</v>
      </c>
      <c r="B2" s="33" t="inlineStr">
        <is>
          <t>Amin Omar Saballos</t>
        </is>
      </c>
      <c r="C2" s="34" t="inlineStr">
        <is>
          <t>Fiscal de Equipos</t>
        </is>
      </c>
      <c r="D2" s="34" t="inlineStr">
        <is>
          <t>Campuzano</t>
        </is>
      </c>
      <c r="E2" s="35" t="inlineStr">
        <is>
          <t>87086024</t>
        </is>
      </c>
      <c r="F2" s="37" t="n">
        <v>50587086024</v>
      </c>
      <c r="G2" s="37" t="n"/>
      <c r="H2" s="37">
        <f>VLOOKUP(F2,PLAN1,3,FALSE)</f>
        <v/>
      </c>
      <c r="I2" s="37" t="inlineStr">
        <is>
          <t>Activo</t>
        </is>
      </c>
      <c r="J2" s="37">
        <f>VLOOKUP(F2,PLAN1,4,FALSE)</f>
        <v/>
      </c>
      <c r="K2" s="38" t="n">
        <v>14.99</v>
      </c>
      <c r="L2" s="39" t="n"/>
      <c r="M2" s="39" t="n"/>
      <c r="N2" s="39" t="n"/>
      <c r="O2" s="40" t="n"/>
      <c r="P2" s="38" t="inlineStr">
        <is>
          <t>SAMSUNG A15</t>
        </is>
      </c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</row>
    <row r="3" ht="14.25" customHeight="1">
      <c r="A3" s="32" t="n">
        <v>2</v>
      </c>
      <c r="B3" s="102" t="inlineStr">
        <is>
          <t>Asistente Compras taller</t>
        </is>
      </c>
      <c r="C3" s="42" t="inlineStr">
        <is>
          <t>Asistente Compras Taller</t>
        </is>
      </c>
      <c r="D3" s="42" t="inlineStr">
        <is>
          <t>Of Bolonia</t>
        </is>
      </c>
      <c r="E3" s="35" t="inlineStr">
        <is>
          <t>87086031</t>
        </is>
      </c>
      <c r="F3" s="37" t="n">
        <v>50587086031</v>
      </c>
      <c r="G3" s="37" t="n"/>
      <c r="H3" s="37">
        <f>VLOOKUP(F3,PLAN1,3,FALSE)</f>
        <v/>
      </c>
      <c r="I3" s="37" t="inlineStr">
        <is>
          <t>Activo</t>
        </is>
      </c>
      <c r="J3" s="37">
        <f>VLOOKUP(F3,PLAN1,4,FALSE)</f>
        <v/>
      </c>
      <c r="K3" s="38" t="n">
        <v>14.99</v>
      </c>
      <c r="L3" s="58" t="n"/>
      <c r="M3" s="58" t="n"/>
      <c r="N3" s="58" t="n"/>
      <c r="O3" s="65" t="n"/>
      <c r="P3" s="38" t="inlineStr">
        <is>
          <t>SAMSUNG A33</t>
        </is>
      </c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</row>
    <row r="4" ht="14.25" customHeight="1">
      <c r="A4" s="32" t="n">
        <v>3</v>
      </c>
      <c r="B4" s="118" t="inlineStr">
        <is>
          <t>Ignacio Aguilar</t>
        </is>
      </c>
      <c r="C4" s="85" t="inlineStr">
        <is>
          <t>Maestro de Obras</t>
        </is>
      </c>
      <c r="D4" s="83" t="inlineStr">
        <is>
          <t>Bismark Martinez</t>
        </is>
      </c>
      <c r="E4" s="86" t="inlineStr">
        <is>
          <t>87086078</t>
        </is>
      </c>
      <c r="F4" s="88" t="n">
        <v>50587086078</v>
      </c>
      <c r="G4" s="88" t="n"/>
      <c r="H4" s="88">
        <f>VLOOKUP(F4,PLAN1,3,FALSE)</f>
        <v/>
      </c>
      <c r="I4" s="88" t="inlineStr">
        <is>
          <t>Activo</t>
        </is>
      </c>
      <c r="J4" s="88">
        <f>VLOOKUP(F4,PLAN1,4,FALSE)</f>
        <v/>
      </c>
      <c r="K4" s="89" t="n">
        <v>14.99</v>
      </c>
      <c r="L4" s="119" t="n"/>
      <c r="M4" s="119" t="n"/>
      <c r="N4" s="119" t="n"/>
      <c r="O4" s="120" t="n"/>
      <c r="P4" s="89" t="inlineStr">
        <is>
          <t>SAMSUNG A06</t>
        </is>
      </c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</row>
    <row r="5" ht="14.25" customHeight="1">
      <c r="A5" s="32" t="n">
        <v>4</v>
      </c>
      <c r="B5" s="121" t="inlineStr">
        <is>
          <t>Rodolfo Caceres</t>
        </is>
      </c>
      <c r="C5" s="85" t="inlineStr">
        <is>
          <t>Ingeniero Urbanizacion</t>
        </is>
      </c>
      <c r="D5" s="85" t="inlineStr">
        <is>
          <t>Campuzano</t>
        </is>
      </c>
      <c r="E5" s="86" t="inlineStr">
        <is>
          <t>87086090</t>
        </is>
      </c>
      <c r="F5" s="88" t="n">
        <v>50587086090</v>
      </c>
      <c r="G5" s="88" t="n"/>
      <c r="H5" s="88">
        <f>VLOOKUP(F5,PLAN1,3,FALSE)</f>
        <v/>
      </c>
      <c r="I5" s="88" t="inlineStr">
        <is>
          <t>Activo</t>
        </is>
      </c>
      <c r="J5" s="88">
        <f>VLOOKUP(F5,PLAN1,4,FALSE)</f>
        <v/>
      </c>
      <c r="K5" s="89" t="n">
        <v>14.99</v>
      </c>
      <c r="L5" s="119" t="n"/>
      <c r="M5" s="119" t="n"/>
      <c r="N5" s="119" t="n"/>
      <c r="O5" s="122" t="n"/>
      <c r="P5" s="89" t="inlineStr">
        <is>
          <t>SAMSUNG A34</t>
        </is>
      </c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</row>
    <row r="6" ht="14.25" customFormat="1" customHeight="1" s="225">
      <c r="A6" s="239" t="n">
        <v>5</v>
      </c>
      <c r="B6" s="226" t="inlineStr">
        <is>
          <t>Hugo Ortega</t>
        </is>
      </c>
      <c r="C6" s="227" t="inlineStr">
        <is>
          <t>Taller de Equipos</t>
        </is>
      </c>
      <c r="D6" s="227" t="inlineStr">
        <is>
          <t>Ciudad El Doral</t>
        </is>
      </c>
      <c r="E6" s="213" t="inlineStr">
        <is>
          <t>87086151</t>
        </is>
      </c>
      <c r="F6" s="214" t="n">
        <v>50587086151</v>
      </c>
      <c r="G6" s="214" t="n"/>
      <c r="H6" s="214">
        <f>VLOOKUP(F6,PLAN1,3,FALSE)</f>
        <v/>
      </c>
      <c r="I6" s="214" t="inlineStr">
        <is>
          <t>Activo</t>
        </is>
      </c>
      <c r="J6" s="214">
        <f>VLOOKUP(F6,PLAN1,4,FALSE)</f>
        <v/>
      </c>
      <c r="K6" s="215" t="n">
        <v>14.99</v>
      </c>
      <c r="L6" s="230" t="n"/>
      <c r="M6" s="230" t="n"/>
      <c r="N6" s="241" t="n"/>
      <c r="O6" s="242" t="n"/>
      <c r="P6" s="215" t="inlineStr">
        <is>
          <t>SAMSUNG S22</t>
        </is>
      </c>
      <c r="Q6" s="243" t="n"/>
      <c r="R6" s="243" t="n"/>
      <c r="S6" s="243" t="n"/>
      <c r="T6" s="243" t="n"/>
      <c r="U6" s="243" t="n"/>
      <c r="V6" s="243" t="n"/>
      <c r="W6" s="243" t="n"/>
      <c r="X6" s="243" t="n"/>
      <c r="Y6" s="243" t="n"/>
      <c r="Z6" s="248" t="n"/>
    </row>
    <row r="7" ht="14.25" customHeight="1">
      <c r="A7" s="32" t="n">
        <v>6</v>
      </c>
      <c r="B7" s="54" t="n"/>
      <c r="C7" s="54" t="n"/>
      <c r="D7" s="54" t="n"/>
      <c r="E7" s="55" t="n"/>
      <c r="F7" s="55" t="n"/>
      <c r="G7" s="55" t="n"/>
      <c r="H7" s="55" t="n"/>
      <c r="I7" s="55" t="n"/>
      <c r="J7" s="55" t="n"/>
      <c r="K7" s="55" t="n"/>
      <c r="L7" s="55" t="n"/>
      <c r="M7" s="55" t="n"/>
      <c r="N7" s="55" t="n"/>
      <c r="O7" s="55" t="n"/>
      <c r="P7" s="55" t="n"/>
      <c r="Q7" s="31" t="n"/>
      <c r="R7" s="31" t="n"/>
      <c r="S7" s="31" t="n"/>
      <c r="T7" s="31" t="n"/>
      <c r="U7" s="31" t="n"/>
      <c r="V7" s="31" t="n"/>
      <c r="W7" s="31" t="n"/>
      <c r="X7" s="31" t="n"/>
      <c r="Y7" s="31" t="n"/>
    </row>
    <row r="8" ht="13.5" customHeight="1">
      <c r="A8" s="32" t="n">
        <v>7</v>
      </c>
      <c r="B8" s="54" t="n"/>
      <c r="C8" s="42" t="n"/>
      <c r="D8" s="34" t="n"/>
      <c r="E8" s="35" t="n"/>
      <c r="F8" s="37" t="n"/>
      <c r="G8" s="37" t="n"/>
      <c r="H8" s="37" t="n"/>
      <c r="I8" s="37" t="n"/>
      <c r="J8" s="37" t="n"/>
      <c r="K8" s="38" t="n"/>
      <c r="L8" s="49" t="n"/>
      <c r="M8" s="49" t="n"/>
      <c r="N8" s="49" t="n"/>
      <c r="O8" s="50" t="n"/>
      <c r="P8" s="38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</row>
    <row r="9" ht="14.25" customHeight="1">
      <c r="A9" s="32" t="n">
        <v>8</v>
      </c>
      <c r="B9" s="51" t="n"/>
      <c r="C9" s="42" t="n"/>
      <c r="D9" s="34" t="n"/>
      <c r="E9" s="35" t="n"/>
      <c r="F9" s="37" t="n"/>
      <c r="G9" s="37" t="n"/>
      <c r="H9" s="37" t="n"/>
      <c r="I9" s="37" t="n"/>
      <c r="J9" s="37" t="n"/>
      <c r="K9" s="38" t="n"/>
      <c r="L9" s="39" t="n"/>
      <c r="M9" s="39" t="n"/>
      <c r="N9" s="39" t="n"/>
      <c r="O9" s="40" t="n"/>
      <c r="P9" s="38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</row>
    <row r="10" ht="14.25" customHeight="1">
      <c r="A10" s="32" t="n">
        <v>9</v>
      </c>
      <c r="B10" s="51" t="n"/>
      <c r="C10" s="42" t="n"/>
      <c r="D10" s="34" t="n"/>
      <c r="E10" s="35" t="n"/>
      <c r="F10" s="37" t="n"/>
      <c r="G10" s="37" t="n"/>
      <c r="H10" s="37" t="n"/>
      <c r="I10" s="37" t="n"/>
      <c r="J10" s="37" t="n"/>
      <c r="K10" s="38" t="n"/>
      <c r="L10" s="29" t="n"/>
      <c r="M10" s="29" t="n"/>
      <c r="N10" s="29" t="n"/>
      <c r="O10" s="46" t="n"/>
      <c r="P10" s="38" t="n"/>
      <c r="Q10" s="31" t="n"/>
      <c r="R10" s="31" t="n"/>
      <c r="S10" s="31" t="n"/>
      <c r="T10" s="31" t="n"/>
      <c r="U10" s="31" t="n"/>
      <c r="V10" s="31" t="n"/>
      <c r="W10" s="31" t="n"/>
      <c r="X10" s="31" t="n"/>
      <c r="Y10" s="31" t="n"/>
    </row>
    <row r="11" ht="14.25" customHeight="1">
      <c r="A11" s="32" t="n">
        <v>10</v>
      </c>
      <c r="B11" s="51" t="n"/>
      <c r="C11" s="42" t="n"/>
      <c r="D11" s="42" t="n"/>
      <c r="E11" s="35" t="n"/>
      <c r="F11" s="37" t="n"/>
      <c r="G11" s="37" t="n"/>
      <c r="H11" s="37" t="n"/>
      <c r="I11" s="37" t="n"/>
      <c r="J11" s="37" t="n"/>
      <c r="K11" s="38" t="n"/>
      <c r="L11" s="29" t="n"/>
      <c r="M11" s="29" t="n"/>
      <c r="N11" s="29" t="n"/>
      <c r="O11" s="46" t="n"/>
      <c r="P11" s="38" t="n"/>
      <c r="Q11" s="31" t="n"/>
      <c r="R11" s="31" t="n"/>
      <c r="S11" s="31" t="n"/>
      <c r="T11" s="31" t="n"/>
      <c r="U11" s="31" t="n"/>
      <c r="V11" s="31" t="n"/>
      <c r="W11" s="31" t="n"/>
      <c r="X11" s="31" t="n"/>
      <c r="Y11" s="31" t="n"/>
    </row>
    <row r="12" ht="14.25" customHeight="1">
      <c r="A12" s="32" t="n">
        <v>11</v>
      </c>
      <c r="B12" s="56" t="n"/>
      <c r="C12" s="42" t="n"/>
      <c r="D12" s="34" t="n"/>
      <c r="E12" s="35" t="n"/>
      <c r="F12" s="37" t="n"/>
      <c r="G12" s="37" t="n"/>
      <c r="H12" s="37" t="n"/>
      <c r="I12" s="37" t="n"/>
      <c r="J12" s="37" t="n"/>
      <c r="K12" s="38" t="n"/>
      <c r="L12" s="49" t="n"/>
      <c r="M12" s="49" t="n"/>
      <c r="N12" s="49" t="n"/>
      <c r="O12" s="50" t="n"/>
      <c r="P12" s="38" t="n"/>
      <c r="Q12" s="57" t="n"/>
      <c r="R12" s="57" t="n"/>
      <c r="S12" s="57" t="n"/>
      <c r="T12" s="57" t="n"/>
      <c r="U12" s="57" t="n"/>
      <c r="V12" s="57" t="n"/>
      <c r="W12" s="57" t="n"/>
      <c r="X12" s="57" t="n"/>
      <c r="Y12" s="57" t="n"/>
    </row>
    <row r="13" ht="14.25" customHeight="1">
      <c r="A13" s="32" t="n">
        <v>12</v>
      </c>
      <c r="B13" s="51" t="n"/>
      <c r="C13" s="42" t="n"/>
      <c r="D13" s="34" t="n"/>
      <c r="E13" s="35" t="n"/>
      <c r="F13" s="37" t="n"/>
      <c r="G13" s="37" t="n"/>
      <c r="H13" s="37" t="n"/>
      <c r="I13" s="37" t="n"/>
      <c r="J13" s="37" t="n"/>
      <c r="K13" s="38" t="n"/>
      <c r="L13" s="39" t="n"/>
      <c r="M13" s="39" t="n"/>
      <c r="N13" s="39" t="n"/>
      <c r="O13" s="40" t="n"/>
      <c r="P13" s="38" t="n"/>
      <c r="Q13" s="31" t="n"/>
      <c r="R13" s="31" t="n"/>
      <c r="S13" s="31" t="n"/>
      <c r="T13" s="31" t="n"/>
      <c r="U13" s="31" t="n"/>
      <c r="V13" s="31" t="n"/>
      <c r="W13" s="31" t="n"/>
      <c r="X13" s="31" t="n"/>
      <c r="Y13" s="31" t="n"/>
    </row>
    <row r="14" ht="14.25" customHeight="1">
      <c r="A14" s="32" t="n">
        <v>13</v>
      </c>
      <c r="B14" s="51" t="n"/>
      <c r="C14" s="42" t="n"/>
      <c r="D14" s="42" t="n"/>
      <c r="E14" s="35" t="n"/>
      <c r="F14" s="37" t="n"/>
      <c r="G14" s="37" t="n"/>
      <c r="H14" s="37" t="n"/>
      <c r="I14" s="37" t="n"/>
      <c r="J14" s="37" t="n"/>
      <c r="K14" s="38" t="n"/>
      <c r="L14" s="39" t="n"/>
      <c r="M14" s="39" t="n"/>
      <c r="N14" s="39" t="n"/>
      <c r="O14" s="40" t="n"/>
      <c r="P14" s="38" t="n"/>
      <c r="Q14" s="31" t="n"/>
      <c r="R14" s="31" t="n"/>
      <c r="S14" s="31" t="n"/>
      <c r="T14" s="31" t="n"/>
      <c r="U14" s="31" t="n"/>
      <c r="V14" s="31" t="n"/>
      <c r="W14" s="31" t="n"/>
      <c r="X14" s="31" t="n"/>
      <c r="Y14" s="31" t="n"/>
    </row>
    <row r="15" ht="14.25" customHeight="1">
      <c r="A15" s="32" t="n">
        <v>14</v>
      </c>
      <c r="B15" s="51" t="n"/>
      <c r="C15" s="42" t="n"/>
      <c r="D15" s="42" t="n"/>
      <c r="E15" s="35" t="n"/>
      <c r="F15" s="37" t="n"/>
      <c r="G15" s="37" t="n"/>
      <c r="H15" s="37" t="n"/>
      <c r="I15" s="37" t="n"/>
      <c r="J15" s="37" t="n"/>
      <c r="K15" s="38" t="n"/>
      <c r="L15" s="49" t="n"/>
      <c r="M15" s="49" t="n"/>
      <c r="N15" s="49" t="n"/>
      <c r="O15" s="50" t="n"/>
      <c r="P15" s="38" t="n"/>
      <c r="Q15" s="57" t="n"/>
      <c r="R15" s="57" t="n"/>
      <c r="S15" s="57" t="n"/>
      <c r="T15" s="57" t="n"/>
      <c r="U15" s="57" t="n"/>
      <c r="V15" s="57" t="n"/>
      <c r="W15" s="57" t="n"/>
      <c r="X15" s="57" t="n"/>
      <c r="Y15" s="57" t="n"/>
    </row>
    <row r="16" ht="14.25" customHeight="1">
      <c r="A16" s="32" t="n">
        <v>15</v>
      </c>
      <c r="B16" s="51" t="n"/>
      <c r="C16" s="42" t="n"/>
      <c r="D16" s="42" t="n"/>
      <c r="E16" s="35" t="n"/>
      <c r="F16" s="37" t="n"/>
      <c r="G16" s="37" t="n"/>
      <c r="H16" s="37" t="n"/>
      <c r="I16" s="37" t="n"/>
      <c r="J16" s="37" t="n"/>
      <c r="K16" s="38" t="n"/>
      <c r="L16" s="29" t="n"/>
      <c r="M16" s="29" t="n"/>
      <c r="N16" s="29" t="n"/>
      <c r="O16" s="46" t="n"/>
      <c r="P16" s="38" t="n"/>
      <c r="Q16" s="31" t="n"/>
      <c r="R16" s="31" t="n"/>
      <c r="S16" s="31" t="n"/>
      <c r="T16" s="31" t="n"/>
      <c r="U16" s="31" t="n"/>
      <c r="V16" s="31" t="n"/>
      <c r="W16" s="31" t="n"/>
      <c r="X16" s="31" t="n"/>
      <c r="Y16" s="31" t="n"/>
    </row>
    <row r="17" ht="14.25" customHeight="1">
      <c r="A17" s="32" t="n">
        <v>16</v>
      </c>
      <c r="B17" s="51" t="n"/>
      <c r="C17" s="42" t="n"/>
      <c r="D17" s="42" t="n"/>
      <c r="E17" s="35" t="n"/>
      <c r="F17" s="37" t="n"/>
      <c r="G17" s="37" t="n"/>
      <c r="H17" s="37" t="n"/>
      <c r="I17" s="37" t="n"/>
      <c r="J17" s="37" t="n"/>
      <c r="K17" s="38" t="n"/>
      <c r="L17" s="29" t="n"/>
      <c r="M17" s="29" t="n"/>
      <c r="N17" s="29" t="n"/>
      <c r="O17" s="46" t="n"/>
      <c r="P17" s="38" t="n"/>
      <c r="Q17" s="31" t="n"/>
      <c r="R17" s="31" t="n"/>
      <c r="S17" s="31" t="n"/>
      <c r="T17" s="31" t="n"/>
      <c r="U17" s="31" t="n"/>
      <c r="V17" s="31" t="n"/>
      <c r="W17" s="31" t="n"/>
      <c r="X17" s="31" t="n"/>
      <c r="Y17" s="31" t="n"/>
    </row>
    <row r="18" ht="14.25" customHeight="1">
      <c r="A18" s="32" t="n">
        <v>17</v>
      </c>
      <c r="B18" s="51" t="n"/>
      <c r="C18" s="42" t="n"/>
      <c r="D18" s="42" t="n"/>
      <c r="E18" s="35" t="n"/>
      <c r="F18" s="37" t="n"/>
      <c r="G18" s="37" t="n"/>
      <c r="H18" s="37" t="n"/>
      <c r="I18" s="37" t="n"/>
      <c r="J18" s="37" t="n"/>
      <c r="K18" s="38" t="n"/>
      <c r="L18" s="58" t="n"/>
      <c r="M18" s="58" t="n"/>
      <c r="N18" s="58" t="n"/>
      <c r="O18" s="59" t="n"/>
      <c r="P18" s="38" t="n"/>
      <c r="Q18" s="31" t="n"/>
      <c r="R18" s="31" t="n"/>
      <c r="S18" s="31" t="n"/>
      <c r="T18" s="31" t="n"/>
      <c r="U18" s="31" t="n"/>
      <c r="V18" s="31" t="n"/>
      <c r="W18" s="31" t="n"/>
      <c r="X18" s="31" t="n"/>
      <c r="Y18" s="31" t="n"/>
    </row>
    <row r="19" ht="14.25" customHeight="1">
      <c r="A19" s="32" t="n">
        <v>18</v>
      </c>
      <c r="B19" s="51" t="n"/>
      <c r="C19" s="42" t="n"/>
      <c r="D19" s="42" t="n"/>
      <c r="E19" s="35" t="n"/>
      <c r="F19" s="37" t="n"/>
      <c r="G19" s="37" t="n"/>
      <c r="H19" s="37" t="n"/>
      <c r="I19" s="37" t="n"/>
      <c r="J19" s="37" t="n"/>
      <c r="K19" s="38" t="n"/>
      <c r="L19" s="29" t="n"/>
      <c r="M19" s="29" t="n"/>
      <c r="N19" s="29" t="n"/>
      <c r="O19" s="46" t="n"/>
      <c r="P19" s="38" t="n"/>
      <c r="Q19" s="31" t="n"/>
      <c r="R19" s="31" t="n"/>
      <c r="S19" s="31" t="n"/>
      <c r="T19" s="31" t="n"/>
      <c r="U19" s="31" t="n"/>
      <c r="V19" s="31" t="n"/>
      <c r="W19" s="31" t="n"/>
      <c r="X19" s="31" t="n"/>
      <c r="Y19" s="31" t="n"/>
    </row>
    <row r="20" ht="14.25" customHeight="1">
      <c r="A20" s="32" t="n">
        <v>19</v>
      </c>
      <c r="B20" s="60" t="n"/>
      <c r="C20" s="61" t="n"/>
      <c r="D20" s="42" t="n"/>
      <c r="E20" s="62" t="n"/>
      <c r="F20" s="37" t="n"/>
      <c r="G20" s="37" t="n"/>
      <c r="H20" s="37" t="n"/>
      <c r="I20" s="37" t="n"/>
      <c r="J20" s="37" t="n"/>
      <c r="K20" s="64" t="n"/>
      <c r="L20" s="29" t="n"/>
      <c r="M20" s="29" t="n"/>
      <c r="N20" s="29" t="n"/>
      <c r="O20" s="46" t="n"/>
      <c r="P20" s="64" t="n"/>
      <c r="Q20" s="31" t="n"/>
      <c r="R20" s="31" t="n"/>
      <c r="S20" s="31" t="n"/>
      <c r="T20" s="31" t="n"/>
      <c r="U20" s="31" t="n"/>
      <c r="V20" s="31" t="n"/>
      <c r="W20" s="31" t="n"/>
      <c r="X20" s="31" t="n"/>
      <c r="Y20" s="31" t="n"/>
    </row>
    <row r="21" ht="12.75" customHeight="1">
      <c r="A21" s="32" t="n">
        <v>20</v>
      </c>
      <c r="B21" s="41" t="n"/>
      <c r="C21" s="42" t="n"/>
      <c r="D21" s="42" t="n"/>
      <c r="E21" s="35" t="n"/>
      <c r="F21" s="37" t="n"/>
      <c r="G21" s="37" t="n"/>
      <c r="H21" s="37" t="n"/>
      <c r="I21" s="37" t="n"/>
      <c r="J21" s="37" t="n"/>
      <c r="K21" s="38" t="n"/>
      <c r="L21" s="39" t="n"/>
      <c r="M21" s="39" t="n"/>
      <c r="N21" s="39" t="n"/>
      <c r="O21" s="40" t="n"/>
      <c r="P21" s="38" t="n"/>
      <c r="Q21" s="31" t="n"/>
      <c r="R21" s="31" t="n"/>
      <c r="S21" s="31" t="n"/>
      <c r="T21" s="31" t="n"/>
      <c r="U21" s="31" t="n"/>
      <c r="V21" s="31" t="n"/>
      <c r="W21" s="31" t="n"/>
      <c r="X21" s="31" t="n"/>
      <c r="Y21" s="31" t="n"/>
    </row>
    <row r="22" ht="12.75" customHeight="1">
      <c r="A22" s="32" t="n">
        <v>21</v>
      </c>
      <c r="B22" s="41" t="n"/>
      <c r="C22" s="42" t="n"/>
      <c r="D22" s="42" t="n"/>
      <c r="E22" s="35" t="n"/>
      <c r="F22" s="37" t="n"/>
      <c r="G22" s="37" t="n"/>
      <c r="H22" s="37" t="n"/>
      <c r="I22" s="37" t="n"/>
      <c r="J22" s="37" t="n"/>
      <c r="K22" s="38" t="n"/>
      <c r="L22" s="39" t="n"/>
      <c r="M22" s="39" t="n"/>
      <c r="N22" s="39" t="n"/>
      <c r="O22" s="40" t="n"/>
      <c r="P22" s="38" t="n"/>
      <c r="Q22" s="31" t="n"/>
      <c r="R22" s="31" t="n"/>
      <c r="S22" s="31" t="n"/>
      <c r="T22" s="31" t="n"/>
      <c r="U22" s="31" t="n"/>
      <c r="V22" s="31" t="n"/>
      <c r="W22" s="31" t="n"/>
      <c r="X22" s="31" t="n"/>
      <c r="Y22" s="31" t="n"/>
    </row>
    <row r="23" ht="14.25" customHeight="1">
      <c r="A23" s="32" t="n">
        <v>22</v>
      </c>
      <c r="B23" s="45" t="n"/>
      <c r="C23" s="45" t="n"/>
      <c r="D23" s="41" t="n"/>
      <c r="E23" s="35" t="n"/>
      <c r="F23" s="37" t="n"/>
      <c r="G23" s="37" t="n"/>
      <c r="H23" s="37" t="n"/>
      <c r="I23" s="37" t="n"/>
      <c r="J23" s="37" t="n"/>
      <c r="K23" s="38" t="n"/>
      <c r="L23" s="39" t="n"/>
      <c r="M23" s="39" t="n"/>
      <c r="N23" s="52" t="n"/>
      <c r="O23" s="53" t="n"/>
      <c r="P23" s="38" t="n"/>
      <c r="Q23" s="31" t="n"/>
      <c r="R23" s="31" t="n"/>
      <c r="S23" s="31" t="n"/>
      <c r="T23" s="31" t="n"/>
      <c r="U23" s="31" t="n"/>
      <c r="V23" s="31" t="n"/>
      <c r="W23" s="31" t="n"/>
      <c r="X23" s="31" t="n"/>
      <c r="Y23" s="31" t="n"/>
    </row>
    <row r="24" ht="14.25" customHeight="1">
      <c r="A24" s="32" t="n">
        <v>23</v>
      </c>
      <c r="B24" s="45" t="n"/>
      <c r="C24" s="45" t="n"/>
      <c r="D24" s="41" t="n"/>
      <c r="E24" s="35" t="n"/>
      <c r="F24" s="37" t="n"/>
      <c r="G24" s="37" t="n"/>
      <c r="H24" s="37" t="n"/>
      <c r="I24" s="37" t="n"/>
      <c r="J24" s="37" t="n"/>
      <c r="K24" s="38" t="n"/>
      <c r="L24" s="29" t="n"/>
      <c r="M24" s="29" t="n"/>
      <c r="N24" s="29" t="n"/>
      <c r="O24" s="46" t="n"/>
      <c r="P24" s="38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</row>
    <row r="25" ht="14.25" customHeight="1">
      <c r="A25" s="32" t="n">
        <v>24</v>
      </c>
      <c r="B25" s="45" t="n"/>
      <c r="C25" s="45" t="n"/>
      <c r="D25" s="41" t="n"/>
      <c r="E25" s="35" t="n"/>
      <c r="F25" s="37" t="n"/>
      <c r="G25" s="37" t="n"/>
      <c r="H25" s="37" t="n"/>
      <c r="I25" s="37" t="n"/>
      <c r="J25" s="37" t="n"/>
      <c r="K25" s="38" t="n"/>
      <c r="L25" s="39" t="n"/>
      <c r="M25" s="39" t="n"/>
      <c r="N25" s="39" t="n"/>
      <c r="O25" s="40" t="n"/>
      <c r="P25" s="38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</row>
    <row r="26" ht="14.25" customHeight="1">
      <c r="A26" s="32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</row>
    <row r="27" ht="14.25" customHeight="1">
      <c r="A27" s="32" t="n"/>
      <c r="B27" s="108" t="inlineStr">
        <is>
          <t>Asignados</t>
        </is>
      </c>
      <c r="C27" s="108">
        <f>+(C29-C28)</f>
        <v/>
      </c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</row>
    <row r="28" ht="14.25" customHeight="1">
      <c r="A28" s="32" t="n"/>
      <c r="B28" s="109" t="inlineStr">
        <is>
          <t>Disponibles</t>
        </is>
      </c>
      <c r="C28" s="110">
        <f>COUNTBLANK(B2:B6)</f>
        <v/>
      </c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</row>
    <row r="29" ht="14.25" customHeight="1">
      <c r="A29" s="32" t="n"/>
      <c r="B29" s="111" t="inlineStr">
        <is>
          <t>Total</t>
        </is>
      </c>
      <c r="C29" s="111" t="n">
        <v>5</v>
      </c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</row>
    <row r="30" ht="14.25" customHeight="1">
      <c r="A30" s="32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</row>
    <row r="31" ht="14.25" customHeight="1">
      <c r="A31" s="32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</row>
    <row r="32" ht="14.25" customHeight="1">
      <c r="A32" s="32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</row>
    <row r="33" ht="14.25" customHeight="1">
      <c r="A33" s="32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</row>
    <row r="34" ht="14.25" customHeight="1">
      <c r="A34" s="32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</row>
    <row r="35" ht="14.25" customHeight="1">
      <c r="A35" s="32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</row>
    <row r="36" ht="14.25" customHeight="1">
      <c r="A36" s="32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</row>
    <row r="37" ht="14.25" customHeight="1">
      <c r="A37" s="32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</row>
    <row r="38" ht="14.25" customHeight="1">
      <c r="A38" s="32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</row>
    <row r="39" ht="14.25" customHeight="1">
      <c r="A39" s="32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</row>
    <row r="40" ht="14.25" customHeight="1">
      <c r="A40" s="32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</row>
    <row r="41" ht="14.25" customHeight="1">
      <c r="A41" s="32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</row>
    <row r="42" ht="14.25" customHeight="1">
      <c r="A42" s="32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</row>
    <row r="43" ht="14.25" customHeight="1">
      <c r="A43" s="32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</row>
    <row r="44" ht="14.25" customHeight="1">
      <c r="A44" s="32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</row>
    <row r="45" ht="14.25" customHeight="1">
      <c r="A45" s="32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</row>
    <row r="46" ht="14.25" customHeight="1">
      <c r="A46" s="32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</row>
    <row r="47" ht="14.25" customHeight="1">
      <c r="A47" s="32" t="n"/>
      <c r="P47" s="31" t="n"/>
      <c r="Q47" s="31" t="n"/>
      <c r="R47" s="31" t="n"/>
      <c r="S47" s="31" t="n"/>
      <c r="T47" s="31" t="n"/>
      <c r="U47" s="31" t="n"/>
      <c r="V47" s="31" t="n"/>
      <c r="W47" s="31" t="n"/>
      <c r="X47" s="31" t="n"/>
      <c r="Y47" s="31" t="n"/>
    </row>
    <row r="48" ht="14.25" customHeight="1">
      <c r="A48" s="32" t="n"/>
      <c r="P48" s="31" t="n"/>
      <c r="Q48" s="31" t="n"/>
      <c r="R48" s="31" t="n"/>
      <c r="S48" s="31" t="n"/>
      <c r="T48" s="31" t="n"/>
      <c r="U48" s="31" t="n"/>
      <c r="V48" s="31" t="n"/>
      <c r="W48" s="31" t="n"/>
      <c r="X48" s="31" t="n"/>
      <c r="Y48" s="31" t="n"/>
    </row>
    <row r="49" ht="14.25" customHeight="1">
      <c r="A49" s="32" t="n"/>
      <c r="P49" s="31" t="n"/>
      <c r="Q49" s="31" t="n"/>
      <c r="R49" s="31" t="n"/>
      <c r="S49" s="31" t="n"/>
      <c r="T49" s="31" t="n"/>
      <c r="U49" s="31" t="n"/>
      <c r="V49" s="31" t="n"/>
      <c r="W49" s="31" t="n"/>
      <c r="X49" s="31" t="n"/>
      <c r="Y49" s="31" t="n"/>
    </row>
    <row r="50" ht="14.25" customHeight="1">
      <c r="A50" s="32" t="n"/>
      <c r="P50" s="31" t="n"/>
      <c r="Q50" s="31" t="n"/>
      <c r="R50" s="31" t="n"/>
      <c r="S50" s="31" t="n"/>
      <c r="T50" s="31" t="n"/>
      <c r="U50" s="31" t="n"/>
      <c r="V50" s="31" t="n"/>
      <c r="W50" s="31" t="n"/>
      <c r="X50" s="31" t="n"/>
      <c r="Y50" s="31" t="n"/>
    </row>
    <row r="51" ht="14.25" customHeight="1">
      <c r="A51" s="32" t="n"/>
      <c r="P51" s="31" t="n"/>
      <c r="Q51" s="31" t="n"/>
      <c r="R51" s="31" t="n"/>
      <c r="S51" s="31" t="n"/>
      <c r="T51" s="31" t="n"/>
      <c r="U51" s="31" t="n"/>
      <c r="V51" s="31" t="n"/>
      <c r="W51" s="31" t="n"/>
      <c r="X51" s="31" t="n"/>
      <c r="Y51" s="31" t="n"/>
    </row>
    <row r="52" ht="14.25" customHeight="1">
      <c r="A52" s="32" t="n"/>
      <c r="P52" s="31" t="n"/>
      <c r="Q52" s="31" t="n"/>
      <c r="R52" s="31" t="n"/>
      <c r="S52" s="31" t="n"/>
      <c r="T52" s="31" t="n"/>
      <c r="U52" s="31" t="n"/>
      <c r="V52" s="31" t="n"/>
      <c r="W52" s="31" t="n"/>
      <c r="X52" s="31" t="n"/>
      <c r="Y52" s="31" t="n"/>
    </row>
    <row r="53" ht="14.25" customHeight="1">
      <c r="A53" s="32" t="n"/>
      <c r="P53" s="31" t="n"/>
      <c r="Q53" s="31" t="n"/>
      <c r="R53" s="31" t="n"/>
      <c r="S53" s="31" t="n"/>
      <c r="T53" s="31" t="n"/>
      <c r="U53" s="31" t="n"/>
      <c r="V53" s="31" t="n"/>
      <c r="W53" s="31" t="n"/>
      <c r="X53" s="31" t="n"/>
      <c r="Y53" s="31" t="n"/>
    </row>
    <row r="54" ht="14.25" customHeight="1">
      <c r="A54" s="32" t="n"/>
      <c r="P54" s="31" t="n"/>
      <c r="Q54" s="31" t="n"/>
      <c r="R54" s="31" t="n"/>
      <c r="S54" s="31" t="n"/>
      <c r="T54" s="31" t="n"/>
      <c r="U54" s="31" t="n"/>
      <c r="V54" s="31" t="n"/>
      <c r="W54" s="31" t="n"/>
      <c r="X54" s="31" t="n"/>
      <c r="Y54" s="31" t="n"/>
    </row>
    <row r="55" ht="14.25" customHeight="1">
      <c r="A55" s="32" t="n"/>
      <c r="P55" s="31" t="n"/>
      <c r="Q55" s="31" t="n"/>
      <c r="R55" s="31" t="n"/>
      <c r="S55" s="31" t="n"/>
      <c r="T55" s="31" t="n"/>
      <c r="U55" s="31" t="n"/>
      <c r="V55" s="31" t="n"/>
      <c r="W55" s="31" t="n"/>
      <c r="X55" s="31" t="n"/>
      <c r="Y55" s="31" t="n"/>
    </row>
    <row r="56" ht="14.25" customHeight="1">
      <c r="A56" s="32" t="n"/>
      <c r="P56" s="31" t="n"/>
      <c r="Q56" s="31" t="n"/>
      <c r="R56" s="31" t="n"/>
      <c r="S56" s="31" t="n"/>
      <c r="T56" s="31" t="n"/>
      <c r="U56" s="31" t="n"/>
      <c r="V56" s="31" t="n"/>
      <c r="W56" s="31" t="n"/>
      <c r="X56" s="31" t="n"/>
      <c r="Y56" s="31" t="n"/>
    </row>
    <row r="57" ht="14.25" customHeight="1">
      <c r="A57" s="32" t="n"/>
      <c r="P57" s="31" t="n"/>
      <c r="Q57" s="31" t="n"/>
      <c r="R57" s="31" t="n"/>
      <c r="S57" s="31" t="n"/>
      <c r="T57" s="31" t="n"/>
      <c r="U57" s="31" t="n"/>
      <c r="V57" s="31" t="n"/>
      <c r="W57" s="31" t="n"/>
      <c r="X57" s="31" t="n"/>
      <c r="Y57" s="31" t="n"/>
    </row>
    <row r="58" ht="14.25" customHeight="1">
      <c r="A58" s="32" t="n"/>
      <c r="P58" s="31" t="n"/>
      <c r="Q58" s="31" t="n"/>
      <c r="R58" s="31" t="n"/>
      <c r="S58" s="31" t="n"/>
      <c r="T58" s="31" t="n"/>
      <c r="U58" s="31" t="n"/>
      <c r="V58" s="31" t="n"/>
      <c r="W58" s="31" t="n"/>
      <c r="X58" s="31" t="n"/>
      <c r="Y58" s="31" t="n"/>
    </row>
    <row r="59" ht="14.25" customHeight="1">
      <c r="A59" s="32" t="n"/>
      <c r="P59" s="31" t="n"/>
      <c r="Q59" s="31" t="n"/>
      <c r="R59" s="31" t="n"/>
      <c r="S59" s="31" t="n"/>
      <c r="T59" s="31" t="n"/>
      <c r="U59" s="31" t="n"/>
      <c r="V59" s="31" t="n"/>
      <c r="W59" s="31" t="n"/>
      <c r="X59" s="31" t="n"/>
      <c r="Y59" s="31" t="n"/>
    </row>
    <row r="60" ht="14.25" customHeight="1">
      <c r="A60" s="32" t="n"/>
      <c r="P60" s="31" t="n"/>
      <c r="Q60" s="31" t="n"/>
      <c r="R60" s="31" t="n"/>
      <c r="S60" s="31" t="n"/>
      <c r="T60" s="31" t="n"/>
      <c r="U60" s="31" t="n"/>
      <c r="V60" s="31" t="n"/>
      <c r="W60" s="31" t="n"/>
      <c r="X60" s="31" t="n"/>
      <c r="Y60" s="31" t="n"/>
    </row>
    <row r="61" ht="14.25" customHeight="1">
      <c r="A61" s="32" t="n"/>
      <c r="P61" s="31" t="n"/>
      <c r="Q61" s="31" t="n"/>
      <c r="R61" s="31" t="n"/>
      <c r="S61" s="31" t="n"/>
      <c r="T61" s="31" t="n"/>
      <c r="U61" s="31" t="n"/>
      <c r="V61" s="31" t="n"/>
      <c r="W61" s="31" t="n"/>
      <c r="X61" s="31" t="n"/>
      <c r="Y61" s="31" t="n"/>
    </row>
    <row r="62" ht="14.25" customHeight="1">
      <c r="A62" s="32" t="n"/>
      <c r="P62" s="31" t="n"/>
      <c r="Q62" s="31" t="n"/>
      <c r="R62" s="31" t="n"/>
      <c r="S62" s="31" t="n"/>
      <c r="T62" s="31" t="n"/>
      <c r="U62" s="31" t="n"/>
      <c r="V62" s="31" t="n"/>
      <c r="W62" s="31" t="n"/>
      <c r="X62" s="31" t="n"/>
      <c r="Y62" s="31" t="n"/>
    </row>
    <row r="63" ht="14.25" customHeight="1">
      <c r="A63" s="32" t="n"/>
      <c r="P63" s="31" t="n"/>
      <c r="Q63" s="31" t="n"/>
      <c r="R63" s="31" t="n"/>
      <c r="S63" s="31" t="n"/>
      <c r="T63" s="31" t="n"/>
      <c r="U63" s="31" t="n"/>
      <c r="V63" s="31" t="n"/>
      <c r="W63" s="31" t="n"/>
      <c r="X63" s="31" t="n"/>
      <c r="Y63" s="31" t="n"/>
    </row>
    <row r="64" ht="14.25" customHeight="1">
      <c r="A64" s="32" t="n"/>
      <c r="P64" s="31" t="n"/>
      <c r="Q64" s="31" t="n"/>
      <c r="R64" s="31" t="n"/>
      <c r="S64" s="31" t="n"/>
      <c r="T64" s="31" t="n"/>
      <c r="U64" s="31" t="n"/>
      <c r="V64" s="31" t="n"/>
      <c r="W64" s="31" t="n"/>
      <c r="X64" s="31" t="n"/>
      <c r="Y64" s="31" t="n"/>
    </row>
    <row r="65" ht="14.25" customHeight="1">
      <c r="A65" s="32" t="n"/>
      <c r="P65" s="31" t="n"/>
      <c r="Q65" s="31" t="n"/>
      <c r="R65" s="31" t="n"/>
      <c r="S65" s="31" t="n"/>
      <c r="T65" s="31" t="n"/>
      <c r="U65" s="31" t="n"/>
      <c r="V65" s="31" t="n"/>
      <c r="W65" s="31" t="n"/>
      <c r="X65" s="31" t="n"/>
      <c r="Y65" s="31" t="n"/>
    </row>
    <row r="66" ht="14.25" customHeight="1">
      <c r="A66" s="32" t="n"/>
      <c r="P66" s="31" t="n"/>
      <c r="Q66" s="31" t="n"/>
      <c r="R66" s="31" t="n"/>
      <c r="S66" s="31" t="n"/>
      <c r="T66" s="31" t="n"/>
      <c r="U66" s="31" t="n"/>
      <c r="V66" s="31" t="n"/>
      <c r="W66" s="31" t="n"/>
      <c r="X66" s="31" t="n"/>
      <c r="Y66" s="31" t="n"/>
    </row>
    <row r="67" ht="14.25" customHeight="1">
      <c r="A67" s="32" t="n"/>
      <c r="P67" s="31" t="n"/>
      <c r="Q67" s="31" t="n"/>
      <c r="R67" s="31" t="n"/>
      <c r="S67" s="31" t="n"/>
      <c r="T67" s="31" t="n"/>
      <c r="U67" s="31" t="n"/>
      <c r="V67" s="31" t="n"/>
      <c r="W67" s="31" t="n"/>
      <c r="X67" s="31" t="n"/>
      <c r="Y67" s="31" t="n"/>
    </row>
    <row r="68" ht="14.25" customHeight="1">
      <c r="A68" s="32" t="n"/>
      <c r="P68" s="31" t="n"/>
      <c r="Q68" s="31" t="n"/>
      <c r="R68" s="31" t="n"/>
      <c r="S68" s="31" t="n"/>
      <c r="T68" s="31" t="n"/>
      <c r="U68" s="31" t="n"/>
      <c r="V68" s="31" t="n"/>
      <c r="W68" s="31" t="n"/>
      <c r="X68" s="31" t="n"/>
      <c r="Y68" s="31" t="n"/>
    </row>
    <row r="69" ht="14.25" customHeight="1">
      <c r="A69" s="32" t="n"/>
      <c r="P69" s="31" t="n"/>
      <c r="Q69" s="31" t="n"/>
      <c r="R69" s="31" t="n"/>
      <c r="S69" s="31" t="n"/>
      <c r="T69" s="31" t="n"/>
      <c r="U69" s="31" t="n"/>
      <c r="V69" s="31" t="n"/>
      <c r="W69" s="31" t="n"/>
      <c r="X69" s="31" t="n"/>
      <c r="Y69" s="31" t="n"/>
    </row>
    <row r="70" ht="14.25" customHeight="1">
      <c r="A70" s="32" t="n"/>
      <c r="P70" s="31" t="n"/>
      <c r="Q70" s="31" t="n"/>
      <c r="R70" s="31" t="n"/>
      <c r="S70" s="31" t="n"/>
      <c r="T70" s="31" t="n"/>
      <c r="U70" s="31" t="n"/>
      <c r="V70" s="31" t="n"/>
      <c r="W70" s="31" t="n"/>
      <c r="X70" s="31" t="n"/>
      <c r="Y70" s="31" t="n"/>
    </row>
    <row r="71" ht="14.25" customHeight="1">
      <c r="A71" s="32" t="n"/>
      <c r="P71" s="31" t="n"/>
      <c r="Q71" s="31" t="n"/>
      <c r="R71" s="31" t="n"/>
      <c r="S71" s="31" t="n"/>
      <c r="T71" s="31" t="n"/>
      <c r="U71" s="31" t="n"/>
      <c r="V71" s="31" t="n"/>
      <c r="W71" s="31" t="n"/>
      <c r="X71" s="31" t="n"/>
      <c r="Y71" s="31" t="n"/>
    </row>
    <row r="72" ht="14.25" customHeight="1">
      <c r="A72" s="32" t="n"/>
      <c r="P72" s="31" t="n"/>
      <c r="Q72" s="31" t="n"/>
      <c r="R72" s="31" t="n"/>
      <c r="S72" s="31" t="n"/>
      <c r="T72" s="31" t="n"/>
      <c r="U72" s="31" t="n"/>
      <c r="V72" s="31" t="n"/>
      <c r="W72" s="31" t="n"/>
      <c r="X72" s="31" t="n"/>
      <c r="Y72" s="31" t="n"/>
    </row>
    <row r="73" ht="14.25" customHeight="1">
      <c r="A73" s="32" t="n"/>
      <c r="P73" s="31" t="n"/>
      <c r="Q73" s="31" t="n"/>
      <c r="R73" s="31" t="n"/>
      <c r="S73" s="31" t="n"/>
      <c r="T73" s="31" t="n"/>
      <c r="U73" s="31" t="n"/>
      <c r="V73" s="31" t="n"/>
      <c r="W73" s="31" t="n"/>
      <c r="X73" s="31" t="n"/>
      <c r="Y73" s="31" t="n"/>
    </row>
    <row r="74" ht="14.25" customHeight="1">
      <c r="A74" s="32" t="n"/>
      <c r="P74" s="31" t="n"/>
      <c r="Q74" s="31" t="n"/>
      <c r="R74" s="31" t="n"/>
      <c r="S74" s="31" t="n"/>
      <c r="T74" s="31" t="n"/>
      <c r="U74" s="31" t="n"/>
      <c r="V74" s="31" t="n"/>
      <c r="W74" s="31" t="n"/>
      <c r="X74" s="31" t="n"/>
      <c r="Y74" s="31" t="n"/>
    </row>
    <row r="75" ht="14.25" customHeight="1">
      <c r="A75" s="32" t="n"/>
      <c r="P75" s="31" t="n"/>
      <c r="Q75" s="31" t="n"/>
      <c r="R75" s="31" t="n"/>
      <c r="S75" s="31" t="n"/>
      <c r="T75" s="31" t="n"/>
      <c r="U75" s="31" t="n"/>
      <c r="V75" s="31" t="n"/>
      <c r="W75" s="31" t="n"/>
      <c r="X75" s="31" t="n"/>
      <c r="Y75" s="31" t="n"/>
    </row>
    <row r="76" ht="14.25" customHeight="1">
      <c r="A76" s="32" t="n"/>
      <c r="P76" s="31" t="n"/>
      <c r="Q76" s="31" t="n"/>
      <c r="R76" s="31" t="n"/>
      <c r="S76" s="31" t="n"/>
      <c r="T76" s="31" t="n"/>
      <c r="U76" s="31" t="n"/>
      <c r="V76" s="31" t="n"/>
      <c r="W76" s="31" t="n"/>
      <c r="X76" s="31" t="n"/>
      <c r="Y76" s="31" t="n"/>
    </row>
    <row r="77" ht="14.25" customHeight="1">
      <c r="A77" s="32" t="n"/>
      <c r="P77" s="31" t="n"/>
      <c r="Q77" s="31" t="n"/>
      <c r="R77" s="31" t="n"/>
      <c r="S77" s="31" t="n"/>
      <c r="T77" s="31" t="n"/>
      <c r="U77" s="31" t="n"/>
      <c r="V77" s="31" t="n"/>
      <c r="W77" s="31" t="n"/>
      <c r="X77" s="31" t="n"/>
      <c r="Y77" s="31" t="n"/>
    </row>
    <row r="78" ht="14.25" customHeight="1">
      <c r="A78" s="32" t="n"/>
      <c r="P78" s="31" t="n"/>
      <c r="Q78" s="31" t="n"/>
      <c r="R78" s="31" t="n"/>
      <c r="S78" s="31" t="n"/>
      <c r="T78" s="31" t="n"/>
      <c r="U78" s="31" t="n"/>
      <c r="V78" s="31" t="n"/>
      <c r="W78" s="31" t="n"/>
      <c r="X78" s="31" t="n"/>
      <c r="Y78" s="31" t="n"/>
    </row>
    <row r="79" ht="14.25" customHeight="1">
      <c r="A79" s="32" t="n"/>
      <c r="P79" s="31" t="n"/>
      <c r="Q79" s="31" t="n"/>
      <c r="R79" s="31" t="n"/>
      <c r="S79" s="31" t="n"/>
      <c r="T79" s="31" t="n"/>
      <c r="U79" s="31" t="n"/>
      <c r="V79" s="31" t="n"/>
      <c r="W79" s="31" t="n"/>
      <c r="X79" s="31" t="n"/>
      <c r="Y79" s="31" t="n"/>
    </row>
    <row r="80" ht="14.25" customHeight="1">
      <c r="A80" s="32" t="n"/>
      <c r="P80" s="31" t="n"/>
      <c r="Q80" s="31" t="n"/>
      <c r="R80" s="31" t="n"/>
      <c r="S80" s="31" t="n"/>
      <c r="T80" s="31" t="n"/>
      <c r="U80" s="31" t="n"/>
      <c r="V80" s="31" t="n"/>
      <c r="W80" s="31" t="n"/>
      <c r="X80" s="31" t="n"/>
      <c r="Y80" s="31" t="n"/>
    </row>
    <row r="81" ht="14.25" customHeight="1">
      <c r="A81" s="32" t="n"/>
      <c r="P81" s="31" t="n"/>
      <c r="Q81" s="31" t="n"/>
      <c r="R81" s="31" t="n"/>
      <c r="S81" s="31" t="n"/>
      <c r="T81" s="31" t="n"/>
      <c r="U81" s="31" t="n"/>
      <c r="V81" s="31" t="n"/>
      <c r="W81" s="31" t="n"/>
      <c r="X81" s="31" t="n"/>
      <c r="Y81" s="31" t="n"/>
    </row>
    <row r="82" ht="14.25" customHeight="1">
      <c r="A82" s="32" t="n"/>
      <c r="P82" s="31" t="n"/>
      <c r="Q82" s="31" t="n"/>
      <c r="R82" s="31" t="n"/>
      <c r="S82" s="31" t="n"/>
      <c r="T82" s="31" t="n"/>
      <c r="U82" s="31" t="n"/>
      <c r="V82" s="31" t="n"/>
      <c r="W82" s="31" t="n"/>
      <c r="X82" s="31" t="n"/>
      <c r="Y82" s="31" t="n"/>
    </row>
    <row r="83" ht="14.25" customHeight="1">
      <c r="A83" s="32" t="n"/>
      <c r="P83" s="31" t="n"/>
      <c r="Q83" s="31" t="n"/>
      <c r="R83" s="31" t="n"/>
      <c r="S83" s="31" t="n"/>
      <c r="T83" s="31" t="n"/>
      <c r="U83" s="31" t="n"/>
      <c r="V83" s="31" t="n"/>
      <c r="W83" s="31" t="n"/>
      <c r="X83" s="31" t="n"/>
      <c r="Y83" s="31" t="n"/>
    </row>
    <row r="84" ht="14.25" customHeight="1">
      <c r="A84" s="32" t="n"/>
      <c r="P84" s="31" t="n"/>
      <c r="Q84" s="31" t="n"/>
      <c r="R84" s="31" t="n"/>
      <c r="S84" s="31" t="n"/>
      <c r="T84" s="31" t="n"/>
      <c r="U84" s="31" t="n"/>
      <c r="V84" s="31" t="n"/>
      <c r="W84" s="31" t="n"/>
      <c r="X84" s="31" t="n"/>
      <c r="Y84" s="31" t="n"/>
    </row>
    <row r="85" ht="14.25" customHeight="1">
      <c r="A85" s="32" t="n"/>
      <c r="P85" s="31" t="n"/>
      <c r="Q85" s="31" t="n"/>
      <c r="R85" s="31" t="n"/>
      <c r="S85" s="31" t="n"/>
      <c r="T85" s="31" t="n"/>
      <c r="U85" s="31" t="n"/>
      <c r="V85" s="31" t="n"/>
      <c r="W85" s="31" t="n"/>
      <c r="X85" s="31" t="n"/>
      <c r="Y85" s="31" t="n"/>
    </row>
    <row r="86" ht="14.25" customHeight="1">
      <c r="A86" s="32" t="n"/>
      <c r="P86" s="31" t="n"/>
      <c r="Q86" s="31" t="n"/>
      <c r="R86" s="31" t="n"/>
      <c r="S86" s="31" t="n"/>
      <c r="T86" s="31" t="n"/>
      <c r="U86" s="31" t="n"/>
      <c r="V86" s="31" t="n"/>
      <c r="W86" s="31" t="n"/>
      <c r="X86" s="31" t="n"/>
      <c r="Y86" s="31" t="n"/>
    </row>
    <row r="87" ht="14.25" customHeight="1">
      <c r="A87" s="32" t="n"/>
      <c r="P87" s="31" t="n"/>
      <c r="Q87" s="31" t="n"/>
      <c r="R87" s="31" t="n"/>
      <c r="S87" s="31" t="n"/>
      <c r="T87" s="31" t="n"/>
      <c r="U87" s="31" t="n"/>
      <c r="V87" s="31" t="n"/>
      <c r="W87" s="31" t="n"/>
      <c r="X87" s="31" t="n"/>
      <c r="Y87" s="31" t="n"/>
    </row>
    <row r="88" ht="14.25" customHeight="1">
      <c r="A88" s="32" t="n"/>
      <c r="P88" s="31" t="n"/>
      <c r="Q88" s="31" t="n"/>
      <c r="R88" s="31" t="n"/>
      <c r="S88" s="31" t="n"/>
      <c r="T88" s="31" t="n"/>
      <c r="U88" s="31" t="n"/>
      <c r="V88" s="31" t="n"/>
      <c r="W88" s="31" t="n"/>
      <c r="X88" s="31" t="n"/>
      <c r="Y88" s="31" t="n"/>
    </row>
    <row r="89" ht="14.25" customHeight="1">
      <c r="A89" s="32" t="n"/>
      <c r="P89" s="31" t="n"/>
      <c r="Q89" s="31" t="n"/>
      <c r="R89" s="31" t="n"/>
      <c r="S89" s="31" t="n"/>
      <c r="T89" s="31" t="n"/>
      <c r="U89" s="31" t="n"/>
      <c r="V89" s="31" t="n"/>
      <c r="W89" s="31" t="n"/>
      <c r="X89" s="31" t="n"/>
      <c r="Y89" s="31" t="n"/>
    </row>
    <row r="90" ht="14.25" customHeight="1">
      <c r="A90" s="32" t="n"/>
      <c r="P90" s="31" t="n"/>
      <c r="Q90" s="31" t="n"/>
      <c r="R90" s="31" t="n"/>
      <c r="S90" s="31" t="n"/>
      <c r="T90" s="31" t="n"/>
      <c r="U90" s="31" t="n"/>
      <c r="V90" s="31" t="n"/>
      <c r="W90" s="31" t="n"/>
      <c r="X90" s="31" t="n"/>
      <c r="Y90" s="31" t="n"/>
    </row>
    <row r="91" ht="14.25" customHeight="1">
      <c r="A91" s="32" t="n"/>
      <c r="P91" s="31" t="n"/>
      <c r="Q91" s="31" t="n"/>
      <c r="R91" s="31" t="n"/>
      <c r="S91" s="31" t="n"/>
      <c r="T91" s="31" t="n"/>
      <c r="U91" s="31" t="n"/>
      <c r="V91" s="31" t="n"/>
      <c r="W91" s="31" t="n"/>
      <c r="X91" s="31" t="n"/>
      <c r="Y91" s="31" t="n"/>
    </row>
    <row r="92" ht="14.25" customHeight="1">
      <c r="A92" s="32" t="n"/>
      <c r="P92" s="31" t="n"/>
      <c r="Q92" s="31" t="n"/>
      <c r="R92" s="31" t="n"/>
      <c r="S92" s="31" t="n"/>
      <c r="T92" s="31" t="n"/>
      <c r="U92" s="31" t="n"/>
      <c r="V92" s="31" t="n"/>
      <c r="W92" s="31" t="n"/>
      <c r="X92" s="31" t="n"/>
      <c r="Y92" s="31" t="n"/>
    </row>
    <row r="93" ht="14.25" customHeight="1">
      <c r="A93" s="32" t="n"/>
      <c r="P93" s="31" t="n"/>
      <c r="Q93" s="31" t="n"/>
      <c r="R93" s="31" t="n"/>
      <c r="S93" s="31" t="n"/>
      <c r="T93" s="31" t="n"/>
      <c r="U93" s="31" t="n"/>
      <c r="V93" s="31" t="n"/>
      <c r="W93" s="31" t="n"/>
      <c r="X93" s="31" t="n"/>
      <c r="Y93" s="31" t="n"/>
    </row>
    <row r="94" ht="14.25" customHeight="1">
      <c r="A94" s="32" t="n"/>
      <c r="P94" s="31" t="n"/>
      <c r="Q94" s="31" t="n"/>
      <c r="R94" s="31" t="n"/>
      <c r="S94" s="31" t="n"/>
      <c r="T94" s="31" t="n"/>
      <c r="U94" s="31" t="n"/>
      <c r="V94" s="31" t="n"/>
      <c r="W94" s="31" t="n"/>
      <c r="X94" s="31" t="n"/>
      <c r="Y94" s="31" t="n"/>
    </row>
    <row r="95" ht="14.25" customHeight="1">
      <c r="A95" s="32" t="n"/>
      <c r="P95" s="31" t="n"/>
      <c r="Q95" s="31" t="n"/>
      <c r="R95" s="31" t="n"/>
      <c r="S95" s="31" t="n"/>
      <c r="T95" s="31" t="n"/>
      <c r="U95" s="31" t="n"/>
      <c r="V95" s="31" t="n"/>
      <c r="W95" s="31" t="n"/>
      <c r="X95" s="31" t="n"/>
      <c r="Y95" s="31" t="n"/>
    </row>
    <row r="96" ht="14.25" customHeight="1">
      <c r="A96" s="32" t="n"/>
      <c r="P96" s="31" t="n"/>
      <c r="Q96" s="31" t="n"/>
      <c r="R96" s="31" t="n"/>
      <c r="S96" s="31" t="n"/>
      <c r="T96" s="31" t="n"/>
      <c r="U96" s="31" t="n"/>
      <c r="V96" s="31" t="n"/>
      <c r="W96" s="31" t="n"/>
      <c r="X96" s="31" t="n"/>
      <c r="Y96" s="31" t="n"/>
    </row>
    <row r="97" ht="14.25" customHeight="1">
      <c r="A97" s="32" t="n"/>
      <c r="P97" s="31" t="n"/>
      <c r="Q97" s="31" t="n"/>
      <c r="R97" s="31" t="n"/>
      <c r="S97" s="31" t="n"/>
      <c r="T97" s="31" t="n"/>
      <c r="U97" s="31" t="n"/>
      <c r="V97" s="31" t="n"/>
      <c r="W97" s="31" t="n"/>
      <c r="X97" s="31" t="n"/>
      <c r="Y97" s="31" t="n"/>
    </row>
    <row r="98" ht="14.25" customHeight="1">
      <c r="A98" s="32" t="n"/>
      <c r="P98" s="31" t="n"/>
      <c r="Q98" s="31" t="n"/>
      <c r="R98" s="31" t="n"/>
      <c r="S98" s="31" t="n"/>
      <c r="T98" s="31" t="n"/>
      <c r="U98" s="31" t="n"/>
      <c r="V98" s="31" t="n"/>
      <c r="W98" s="31" t="n"/>
      <c r="X98" s="31" t="n"/>
      <c r="Y98" s="31" t="n"/>
    </row>
    <row r="99" ht="14.25" customHeight="1">
      <c r="A99" s="32" t="n"/>
      <c r="P99" s="31" t="n"/>
      <c r="Q99" s="31" t="n"/>
      <c r="R99" s="31" t="n"/>
      <c r="S99" s="31" t="n"/>
      <c r="T99" s="31" t="n"/>
      <c r="U99" s="31" t="n"/>
      <c r="V99" s="31" t="n"/>
      <c r="W99" s="31" t="n"/>
      <c r="X99" s="31" t="n"/>
      <c r="Y99" s="31" t="n"/>
    </row>
    <row r="100" ht="14.25" customHeight="1">
      <c r="A100" s="32" t="n"/>
      <c r="P100" s="31" t="n"/>
      <c r="Q100" s="31" t="n"/>
      <c r="R100" s="31" t="n"/>
      <c r="S100" s="31" t="n"/>
      <c r="T100" s="31" t="n"/>
      <c r="U100" s="31" t="n"/>
      <c r="V100" s="31" t="n"/>
      <c r="W100" s="31" t="n"/>
      <c r="X100" s="31" t="n"/>
      <c r="Y100" s="31" t="n"/>
    </row>
    <row r="101" ht="14.25" customHeight="1">
      <c r="A101" s="32" t="n"/>
      <c r="P101" s="31" t="n"/>
      <c r="Q101" s="31" t="n"/>
      <c r="R101" s="31" t="n"/>
      <c r="S101" s="31" t="n"/>
      <c r="T101" s="31" t="n"/>
      <c r="U101" s="31" t="n"/>
      <c r="V101" s="31" t="n"/>
      <c r="W101" s="31" t="n"/>
      <c r="X101" s="31" t="n"/>
      <c r="Y101" s="31" t="n"/>
    </row>
    <row r="102" ht="14.25" customHeight="1">
      <c r="A102" s="32" t="n"/>
      <c r="P102" s="31" t="n"/>
      <c r="Q102" s="31" t="n"/>
      <c r="R102" s="31" t="n"/>
      <c r="S102" s="31" t="n"/>
      <c r="T102" s="31" t="n"/>
      <c r="U102" s="31" t="n"/>
      <c r="V102" s="31" t="n"/>
      <c r="W102" s="31" t="n"/>
      <c r="X102" s="31" t="n"/>
      <c r="Y102" s="31" t="n"/>
    </row>
    <row r="103" ht="14.25" customHeight="1">
      <c r="A103" s="32" t="n"/>
      <c r="P103" s="31" t="n"/>
      <c r="Q103" s="31" t="n"/>
      <c r="R103" s="31" t="n"/>
      <c r="S103" s="31" t="n"/>
      <c r="T103" s="31" t="n"/>
      <c r="U103" s="31" t="n"/>
      <c r="V103" s="31" t="n"/>
      <c r="W103" s="31" t="n"/>
      <c r="X103" s="31" t="n"/>
      <c r="Y103" s="31" t="n"/>
    </row>
    <row r="104" ht="14.25" customHeight="1">
      <c r="A104" s="32" t="n"/>
      <c r="P104" s="31" t="n"/>
      <c r="Q104" s="31" t="n"/>
      <c r="R104" s="31" t="n"/>
      <c r="S104" s="31" t="n"/>
      <c r="T104" s="31" t="n"/>
      <c r="U104" s="31" t="n"/>
      <c r="V104" s="31" t="n"/>
      <c r="W104" s="31" t="n"/>
      <c r="X104" s="31" t="n"/>
      <c r="Y104" s="31" t="n"/>
    </row>
    <row r="105" ht="14.25" customHeight="1">
      <c r="A105" s="32" t="n"/>
      <c r="P105" s="31" t="n"/>
      <c r="Q105" s="31" t="n"/>
      <c r="R105" s="31" t="n"/>
      <c r="S105" s="31" t="n"/>
      <c r="T105" s="31" t="n"/>
      <c r="U105" s="31" t="n"/>
      <c r="V105" s="31" t="n"/>
      <c r="W105" s="31" t="n"/>
      <c r="X105" s="31" t="n"/>
      <c r="Y105" s="31" t="n"/>
    </row>
    <row r="106" ht="14.25" customHeight="1">
      <c r="A106" s="32" t="n"/>
      <c r="P106" s="31" t="n"/>
      <c r="Q106" s="31" t="n"/>
      <c r="R106" s="31" t="n"/>
      <c r="S106" s="31" t="n"/>
      <c r="T106" s="31" t="n"/>
      <c r="U106" s="31" t="n"/>
      <c r="V106" s="31" t="n"/>
      <c r="W106" s="31" t="n"/>
      <c r="X106" s="31" t="n"/>
      <c r="Y106" s="31" t="n"/>
    </row>
    <row r="107" ht="14.25" customHeight="1">
      <c r="A107" s="32" t="n"/>
      <c r="P107" s="31" t="n"/>
      <c r="Q107" s="31" t="n"/>
      <c r="R107" s="31" t="n"/>
      <c r="S107" s="31" t="n"/>
      <c r="T107" s="31" t="n"/>
      <c r="U107" s="31" t="n"/>
      <c r="V107" s="31" t="n"/>
      <c r="W107" s="31" t="n"/>
      <c r="X107" s="31" t="n"/>
      <c r="Y107" s="31" t="n"/>
    </row>
    <row r="108" ht="14.25" customHeight="1">
      <c r="A108" s="32" t="n"/>
      <c r="P108" s="31" t="n"/>
      <c r="Q108" s="31" t="n"/>
      <c r="R108" s="31" t="n"/>
      <c r="S108" s="31" t="n"/>
      <c r="T108" s="31" t="n"/>
      <c r="U108" s="31" t="n"/>
      <c r="V108" s="31" t="n"/>
      <c r="W108" s="31" t="n"/>
      <c r="X108" s="31" t="n"/>
      <c r="Y108" s="31" t="n"/>
    </row>
    <row r="109" ht="14.25" customHeight="1">
      <c r="A109" s="32" t="n"/>
      <c r="P109" s="31" t="n"/>
      <c r="Q109" s="31" t="n"/>
      <c r="R109" s="31" t="n"/>
      <c r="S109" s="31" t="n"/>
      <c r="T109" s="31" t="n"/>
      <c r="U109" s="31" t="n"/>
      <c r="V109" s="31" t="n"/>
      <c r="W109" s="31" t="n"/>
      <c r="X109" s="31" t="n"/>
      <c r="Y109" s="31" t="n"/>
    </row>
    <row r="110" ht="14.25" customHeight="1">
      <c r="A110" s="32" t="n"/>
      <c r="P110" s="31" t="n"/>
      <c r="Q110" s="31" t="n"/>
      <c r="R110" s="31" t="n"/>
      <c r="S110" s="31" t="n"/>
      <c r="T110" s="31" t="n"/>
      <c r="U110" s="31" t="n"/>
      <c r="V110" s="31" t="n"/>
      <c r="W110" s="31" t="n"/>
      <c r="X110" s="31" t="n"/>
      <c r="Y110" s="31" t="n"/>
    </row>
    <row r="111" ht="14.25" customHeight="1">
      <c r="A111" s="32" t="n"/>
      <c r="P111" s="31" t="n"/>
      <c r="Q111" s="31" t="n"/>
      <c r="R111" s="31" t="n"/>
      <c r="S111" s="31" t="n"/>
      <c r="T111" s="31" t="n"/>
      <c r="U111" s="31" t="n"/>
      <c r="V111" s="31" t="n"/>
      <c r="W111" s="31" t="n"/>
      <c r="X111" s="31" t="n"/>
      <c r="Y111" s="31" t="n"/>
    </row>
    <row r="112" ht="14.25" customHeight="1">
      <c r="A112" s="32" t="n"/>
      <c r="P112" s="31" t="n"/>
      <c r="Q112" s="31" t="n"/>
      <c r="R112" s="31" t="n"/>
      <c r="S112" s="31" t="n"/>
      <c r="T112" s="31" t="n"/>
      <c r="U112" s="31" t="n"/>
      <c r="V112" s="31" t="n"/>
      <c r="W112" s="31" t="n"/>
      <c r="X112" s="31" t="n"/>
      <c r="Y112" s="31" t="n"/>
    </row>
    <row r="113" ht="14.25" customHeight="1">
      <c r="A113" s="32" t="n"/>
      <c r="P113" s="31" t="n"/>
      <c r="Q113" s="31" t="n"/>
      <c r="R113" s="31" t="n"/>
      <c r="S113" s="31" t="n"/>
      <c r="T113" s="31" t="n"/>
      <c r="U113" s="31" t="n"/>
      <c r="V113" s="31" t="n"/>
      <c r="W113" s="31" t="n"/>
      <c r="X113" s="31" t="n"/>
      <c r="Y113" s="31" t="n"/>
    </row>
    <row r="114" ht="14.25" customHeight="1">
      <c r="A114" s="32" t="n"/>
      <c r="P114" s="31" t="n"/>
      <c r="Q114" s="31" t="n"/>
      <c r="R114" s="31" t="n"/>
      <c r="S114" s="31" t="n"/>
      <c r="T114" s="31" t="n"/>
      <c r="U114" s="31" t="n"/>
      <c r="V114" s="31" t="n"/>
      <c r="W114" s="31" t="n"/>
      <c r="X114" s="31" t="n"/>
      <c r="Y114" s="31" t="n"/>
    </row>
    <row r="115" ht="14.25" customHeight="1">
      <c r="A115" s="32" t="n"/>
      <c r="P115" s="31" t="n"/>
      <c r="Q115" s="31" t="n"/>
      <c r="R115" s="31" t="n"/>
      <c r="S115" s="31" t="n"/>
      <c r="T115" s="31" t="n"/>
      <c r="U115" s="31" t="n"/>
      <c r="V115" s="31" t="n"/>
      <c r="W115" s="31" t="n"/>
      <c r="X115" s="31" t="n"/>
      <c r="Y115" s="31" t="n"/>
    </row>
    <row r="116" ht="14.25" customHeight="1">
      <c r="A116" s="32" t="n"/>
      <c r="P116" s="31" t="n"/>
      <c r="Q116" s="31" t="n"/>
      <c r="R116" s="31" t="n"/>
      <c r="S116" s="31" t="n"/>
      <c r="T116" s="31" t="n"/>
      <c r="U116" s="31" t="n"/>
      <c r="V116" s="31" t="n"/>
      <c r="W116" s="31" t="n"/>
      <c r="X116" s="31" t="n"/>
      <c r="Y116" s="31" t="n"/>
    </row>
    <row r="117" ht="14.25" customHeight="1">
      <c r="A117" s="32" t="n"/>
      <c r="P117" s="31" t="n"/>
      <c r="Q117" s="31" t="n"/>
      <c r="R117" s="31" t="n"/>
      <c r="S117" s="31" t="n"/>
      <c r="T117" s="31" t="n"/>
      <c r="U117" s="31" t="n"/>
      <c r="V117" s="31" t="n"/>
      <c r="W117" s="31" t="n"/>
      <c r="X117" s="31" t="n"/>
      <c r="Y117" s="31" t="n"/>
    </row>
    <row r="118" ht="14.25" customHeight="1">
      <c r="A118" s="32" t="n"/>
      <c r="P118" s="31" t="n"/>
      <c r="Q118" s="31" t="n"/>
      <c r="R118" s="31" t="n"/>
      <c r="S118" s="31" t="n"/>
      <c r="T118" s="31" t="n"/>
      <c r="U118" s="31" t="n"/>
      <c r="V118" s="31" t="n"/>
      <c r="W118" s="31" t="n"/>
      <c r="X118" s="31" t="n"/>
      <c r="Y118" s="31" t="n"/>
    </row>
    <row r="119" ht="14.25" customHeight="1">
      <c r="A119" s="32" t="n"/>
      <c r="P119" s="31" t="n"/>
      <c r="Q119" s="31" t="n"/>
      <c r="R119" s="31" t="n"/>
      <c r="S119" s="31" t="n"/>
      <c r="T119" s="31" t="n"/>
      <c r="U119" s="31" t="n"/>
      <c r="V119" s="31" t="n"/>
      <c r="W119" s="31" t="n"/>
      <c r="X119" s="31" t="n"/>
      <c r="Y119" s="31" t="n"/>
    </row>
    <row r="120" ht="14.25" customHeight="1">
      <c r="A120" s="32" t="n"/>
      <c r="P120" s="31" t="n"/>
      <c r="Q120" s="31" t="n"/>
      <c r="R120" s="31" t="n"/>
      <c r="S120" s="31" t="n"/>
      <c r="T120" s="31" t="n"/>
      <c r="U120" s="31" t="n"/>
      <c r="V120" s="31" t="n"/>
      <c r="W120" s="31" t="n"/>
      <c r="X120" s="31" t="n"/>
      <c r="Y120" s="31" t="n"/>
    </row>
    <row r="121" ht="14.25" customHeight="1">
      <c r="A121" s="32" t="n"/>
      <c r="P121" s="31" t="n"/>
      <c r="Q121" s="31" t="n"/>
      <c r="R121" s="31" t="n"/>
      <c r="S121" s="31" t="n"/>
      <c r="T121" s="31" t="n"/>
      <c r="U121" s="31" t="n"/>
      <c r="V121" s="31" t="n"/>
      <c r="W121" s="31" t="n"/>
      <c r="X121" s="31" t="n"/>
      <c r="Y121" s="31" t="n"/>
    </row>
    <row r="122" ht="14.25" customHeight="1">
      <c r="A122" s="32" t="n"/>
      <c r="P122" s="31" t="n"/>
      <c r="Q122" s="31" t="n"/>
      <c r="R122" s="31" t="n"/>
      <c r="S122" s="31" t="n"/>
      <c r="T122" s="31" t="n"/>
      <c r="U122" s="31" t="n"/>
      <c r="V122" s="31" t="n"/>
      <c r="W122" s="31" t="n"/>
      <c r="X122" s="31" t="n"/>
      <c r="Y122" s="31" t="n"/>
    </row>
    <row r="123" ht="14.25" customHeight="1">
      <c r="A123" s="32" t="n"/>
      <c r="P123" s="31" t="n"/>
      <c r="Q123" s="31" t="n"/>
      <c r="R123" s="31" t="n"/>
      <c r="S123" s="31" t="n"/>
      <c r="T123" s="31" t="n"/>
      <c r="U123" s="31" t="n"/>
      <c r="V123" s="31" t="n"/>
      <c r="W123" s="31" t="n"/>
      <c r="X123" s="31" t="n"/>
      <c r="Y123" s="31" t="n"/>
    </row>
    <row r="124" ht="14.25" customHeight="1">
      <c r="A124" s="32" t="n"/>
      <c r="P124" s="31" t="n"/>
      <c r="Q124" s="31" t="n"/>
      <c r="R124" s="31" t="n"/>
      <c r="S124" s="31" t="n"/>
      <c r="T124" s="31" t="n"/>
      <c r="U124" s="31" t="n"/>
      <c r="V124" s="31" t="n"/>
      <c r="W124" s="31" t="n"/>
      <c r="X124" s="31" t="n"/>
      <c r="Y124" s="31" t="n"/>
    </row>
    <row r="125" ht="14.25" customHeight="1">
      <c r="A125" s="32" t="n"/>
      <c r="P125" s="31" t="n"/>
      <c r="Q125" s="31" t="n"/>
      <c r="R125" s="31" t="n"/>
      <c r="S125" s="31" t="n"/>
      <c r="T125" s="31" t="n"/>
      <c r="U125" s="31" t="n"/>
      <c r="V125" s="31" t="n"/>
      <c r="W125" s="31" t="n"/>
      <c r="X125" s="31" t="n"/>
      <c r="Y125" s="31" t="n"/>
    </row>
    <row r="126" ht="14.25" customHeight="1">
      <c r="A126" s="32" t="n"/>
      <c r="P126" s="31" t="n"/>
      <c r="Q126" s="31" t="n"/>
      <c r="R126" s="31" t="n"/>
      <c r="S126" s="31" t="n"/>
      <c r="T126" s="31" t="n"/>
      <c r="U126" s="31" t="n"/>
      <c r="V126" s="31" t="n"/>
      <c r="W126" s="31" t="n"/>
      <c r="X126" s="31" t="n"/>
      <c r="Y126" s="31" t="n"/>
    </row>
    <row r="127" ht="14.25" customHeight="1">
      <c r="A127" s="32" t="n"/>
      <c r="P127" s="31" t="n"/>
      <c r="Q127" s="31" t="n"/>
      <c r="R127" s="31" t="n"/>
      <c r="S127" s="31" t="n"/>
      <c r="T127" s="31" t="n"/>
      <c r="U127" s="31" t="n"/>
      <c r="V127" s="31" t="n"/>
      <c r="W127" s="31" t="n"/>
      <c r="X127" s="31" t="n"/>
      <c r="Y127" s="31" t="n"/>
    </row>
    <row r="128" ht="14.25" customHeight="1">
      <c r="A128" s="32" t="n"/>
      <c r="P128" s="31" t="n"/>
      <c r="Q128" s="31" t="n"/>
      <c r="R128" s="31" t="n"/>
      <c r="S128" s="31" t="n"/>
      <c r="T128" s="31" t="n"/>
      <c r="U128" s="31" t="n"/>
      <c r="V128" s="31" t="n"/>
      <c r="W128" s="31" t="n"/>
      <c r="X128" s="31" t="n"/>
      <c r="Y128" s="31" t="n"/>
    </row>
    <row r="129" ht="14.25" customHeight="1">
      <c r="A129" s="32" t="n"/>
      <c r="P129" s="31" t="n"/>
      <c r="Q129" s="31" t="n"/>
      <c r="R129" s="31" t="n"/>
      <c r="S129" s="31" t="n"/>
      <c r="T129" s="31" t="n"/>
      <c r="U129" s="31" t="n"/>
      <c r="V129" s="31" t="n"/>
      <c r="W129" s="31" t="n"/>
      <c r="X129" s="31" t="n"/>
      <c r="Y129" s="31" t="n"/>
    </row>
    <row r="130" ht="14.25" customHeight="1">
      <c r="A130" s="32" t="n"/>
      <c r="P130" s="31" t="n"/>
      <c r="Q130" s="31" t="n"/>
      <c r="R130" s="31" t="n"/>
      <c r="S130" s="31" t="n"/>
      <c r="T130" s="31" t="n"/>
      <c r="U130" s="31" t="n"/>
      <c r="V130" s="31" t="n"/>
      <c r="W130" s="31" t="n"/>
      <c r="X130" s="31" t="n"/>
      <c r="Y130" s="31" t="n"/>
    </row>
    <row r="131" ht="14.25" customHeight="1">
      <c r="A131" s="32" t="n"/>
      <c r="P131" s="31" t="n"/>
      <c r="Q131" s="31" t="n"/>
      <c r="R131" s="31" t="n"/>
      <c r="S131" s="31" t="n"/>
      <c r="T131" s="31" t="n"/>
      <c r="U131" s="31" t="n"/>
      <c r="V131" s="31" t="n"/>
      <c r="W131" s="31" t="n"/>
      <c r="X131" s="31" t="n"/>
      <c r="Y131" s="31" t="n"/>
    </row>
    <row r="132" ht="14.25" customHeight="1">
      <c r="A132" s="32" t="n"/>
      <c r="P132" s="31" t="n"/>
      <c r="Q132" s="31" t="n"/>
      <c r="R132" s="31" t="n"/>
      <c r="S132" s="31" t="n"/>
      <c r="T132" s="31" t="n"/>
      <c r="U132" s="31" t="n"/>
      <c r="V132" s="31" t="n"/>
      <c r="W132" s="31" t="n"/>
      <c r="X132" s="31" t="n"/>
      <c r="Y132" s="31" t="n"/>
    </row>
    <row r="133" ht="14.25" customHeight="1">
      <c r="A133" s="32" t="n"/>
      <c r="P133" s="31" t="n"/>
      <c r="Q133" s="31" t="n"/>
      <c r="R133" s="31" t="n"/>
      <c r="S133" s="31" t="n"/>
      <c r="T133" s="31" t="n"/>
      <c r="U133" s="31" t="n"/>
      <c r="V133" s="31" t="n"/>
      <c r="W133" s="31" t="n"/>
      <c r="X133" s="31" t="n"/>
      <c r="Y133" s="31" t="n"/>
    </row>
    <row r="134" ht="14.25" customHeight="1">
      <c r="A134" s="32" t="n"/>
      <c r="P134" s="31" t="n"/>
      <c r="Q134" s="31" t="n"/>
      <c r="R134" s="31" t="n"/>
      <c r="S134" s="31" t="n"/>
      <c r="T134" s="31" t="n"/>
      <c r="U134" s="31" t="n"/>
      <c r="V134" s="31" t="n"/>
      <c r="W134" s="31" t="n"/>
      <c r="X134" s="31" t="n"/>
      <c r="Y134" s="31" t="n"/>
    </row>
    <row r="135" ht="14.25" customHeight="1">
      <c r="A135" s="32" t="n"/>
      <c r="P135" s="31" t="n"/>
      <c r="Q135" s="31" t="n"/>
      <c r="R135" s="31" t="n"/>
      <c r="S135" s="31" t="n"/>
      <c r="T135" s="31" t="n"/>
      <c r="U135" s="31" t="n"/>
      <c r="V135" s="31" t="n"/>
      <c r="W135" s="31" t="n"/>
      <c r="X135" s="31" t="n"/>
      <c r="Y135" s="31" t="n"/>
    </row>
    <row r="136" ht="14.25" customHeight="1">
      <c r="A136" s="32" t="n"/>
      <c r="P136" s="31" t="n"/>
      <c r="Q136" s="31" t="n"/>
      <c r="R136" s="31" t="n"/>
      <c r="S136" s="31" t="n"/>
      <c r="T136" s="31" t="n"/>
      <c r="U136" s="31" t="n"/>
      <c r="V136" s="31" t="n"/>
      <c r="W136" s="31" t="n"/>
      <c r="X136" s="31" t="n"/>
      <c r="Y136" s="31" t="n"/>
    </row>
    <row r="137" ht="14.25" customHeight="1">
      <c r="A137" s="32" t="n"/>
      <c r="P137" s="31" t="n"/>
      <c r="Q137" s="31" t="n"/>
      <c r="R137" s="31" t="n"/>
      <c r="S137" s="31" t="n"/>
      <c r="T137" s="31" t="n"/>
      <c r="U137" s="31" t="n"/>
      <c r="V137" s="31" t="n"/>
      <c r="W137" s="31" t="n"/>
      <c r="X137" s="31" t="n"/>
      <c r="Y137" s="31" t="n"/>
    </row>
    <row r="138" ht="14.25" customHeight="1">
      <c r="A138" s="32" t="n"/>
      <c r="P138" s="31" t="n"/>
      <c r="Q138" s="31" t="n"/>
      <c r="R138" s="31" t="n"/>
      <c r="S138" s="31" t="n"/>
      <c r="T138" s="31" t="n"/>
      <c r="U138" s="31" t="n"/>
      <c r="V138" s="31" t="n"/>
      <c r="W138" s="31" t="n"/>
      <c r="X138" s="31" t="n"/>
      <c r="Y138" s="31" t="n"/>
    </row>
    <row r="139" ht="14.25" customHeight="1">
      <c r="A139" s="32" t="n"/>
      <c r="P139" s="31" t="n"/>
      <c r="Q139" s="31" t="n"/>
      <c r="R139" s="31" t="n"/>
      <c r="S139" s="31" t="n"/>
      <c r="T139" s="31" t="n"/>
      <c r="U139" s="31" t="n"/>
      <c r="V139" s="31" t="n"/>
      <c r="W139" s="31" t="n"/>
      <c r="X139" s="31" t="n"/>
      <c r="Y139" s="31" t="n"/>
    </row>
    <row r="140" ht="14.25" customHeight="1">
      <c r="A140" s="32" t="n"/>
      <c r="P140" s="31" t="n"/>
      <c r="Q140" s="31" t="n"/>
      <c r="R140" s="31" t="n"/>
      <c r="S140" s="31" t="n"/>
      <c r="T140" s="31" t="n"/>
      <c r="U140" s="31" t="n"/>
      <c r="V140" s="31" t="n"/>
      <c r="W140" s="31" t="n"/>
      <c r="X140" s="31" t="n"/>
      <c r="Y140" s="31" t="n"/>
    </row>
    <row r="141" ht="14.25" customHeight="1">
      <c r="A141" s="32" t="n"/>
      <c r="P141" s="31" t="n"/>
      <c r="Q141" s="31" t="n"/>
      <c r="R141" s="31" t="n"/>
      <c r="S141" s="31" t="n"/>
      <c r="T141" s="31" t="n"/>
      <c r="U141" s="31" t="n"/>
      <c r="V141" s="31" t="n"/>
      <c r="W141" s="31" t="n"/>
      <c r="X141" s="31" t="n"/>
      <c r="Y141" s="31" t="n"/>
    </row>
    <row r="142" ht="14.25" customHeight="1">
      <c r="A142" s="32" t="n"/>
      <c r="P142" s="31" t="n"/>
      <c r="Q142" s="31" t="n"/>
      <c r="R142" s="31" t="n"/>
      <c r="S142" s="31" t="n"/>
      <c r="T142" s="31" t="n"/>
      <c r="U142" s="31" t="n"/>
      <c r="V142" s="31" t="n"/>
      <c r="W142" s="31" t="n"/>
      <c r="X142" s="31" t="n"/>
      <c r="Y142" s="31" t="n"/>
    </row>
    <row r="143" ht="14.25" customHeight="1">
      <c r="A143" s="32" t="n"/>
      <c r="P143" s="31" t="n"/>
      <c r="Q143" s="31" t="n"/>
      <c r="R143" s="31" t="n"/>
      <c r="S143" s="31" t="n"/>
      <c r="T143" s="31" t="n"/>
      <c r="U143" s="31" t="n"/>
      <c r="V143" s="31" t="n"/>
      <c r="W143" s="31" t="n"/>
      <c r="X143" s="31" t="n"/>
      <c r="Y143" s="31" t="n"/>
    </row>
    <row r="144" ht="14.25" customHeight="1">
      <c r="A144" s="32" t="n"/>
      <c r="P144" s="31" t="n"/>
      <c r="Q144" s="31" t="n"/>
      <c r="R144" s="31" t="n"/>
      <c r="S144" s="31" t="n"/>
      <c r="T144" s="31" t="n"/>
      <c r="U144" s="31" t="n"/>
      <c r="V144" s="31" t="n"/>
      <c r="W144" s="31" t="n"/>
      <c r="X144" s="31" t="n"/>
      <c r="Y144" s="31" t="n"/>
    </row>
    <row r="145" ht="14.25" customHeight="1">
      <c r="A145" s="32" t="n"/>
      <c r="P145" s="31" t="n"/>
      <c r="Q145" s="31" t="n"/>
      <c r="R145" s="31" t="n"/>
      <c r="S145" s="31" t="n"/>
      <c r="T145" s="31" t="n"/>
      <c r="U145" s="31" t="n"/>
      <c r="V145" s="31" t="n"/>
      <c r="W145" s="31" t="n"/>
      <c r="X145" s="31" t="n"/>
      <c r="Y145" s="31" t="n"/>
    </row>
    <row r="146" ht="14.25" customHeight="1">
      <c r="A146" s="32" t="n"/>
      <c r="P146" s="31" t="n"/>
      <c r="Q146" s="31" t="n"/>
      <c r="R146" s="31" t="n"/>
      <c r="S146" s="31" t="n"/>
      <c r="T146" s="31" t="n"/>
      <c r="U146" s="31" t="n"/>
      <c r="V146" s="31" t="n"/>
      <c r="W146" s="31" t="n"/>
      <c r="X146" s="31" t="n"/>
      <c r="Y146" s="31" t="n"/>
    </row>
    <row r="147" ht="14.25" customHeight="1">
      <c r="A147" s="32" t="n"/>
      <c r="P147" s="31" t="n"/>
      <c r="Q147" s="31" t="n"/>
      <c r="R147" s="31" t="n"/>
      <c r="S147" s="31" t="n"/>
      <c r="T147" s="31" t="n"/>
      <c r="U147" s="31" t="n"/>
      <c r="V147" s="31" t="n"/>
      <c r="W147" s="31" t="n"/>
      <c r="X147" s="31" t="n"/>
      <c r="Y147" s="31" t="n"/>
    </row>
    <row r="148" ht="14.25" customHeight="1">
      <c r="A148" s="32" t="n"/>
      <c r="P148" s="31" t="n"/>
      <c r="Q148" s="31" t="n"/>
      <c r="R148" s="31" t="n"/>
      <c r="S148" s="31" t="n"/>
      <c r="T148" s="31" t="n"/>
      <c r="U148" s="31" t="n"/>
      <c r="V148" s="31" t="n"/>
      <c r="W148" s="31" t="n"/>
      <c r="X148" s="31" t="n"/>
      <c r="Y148" s="31" t="n"/>
    </row>
    <row r="149" ht="14.25" customHeight="1">
      <c r="A149" s="32" t="n"/>
      <c r="P149" s="31" t="n"/>
      <c r="Q149" s="31" t="n"/>
      <c r="R149" s="31" t="n"/>
      <c r="S149" s="31" t="n"/>
      <c r="T149" s="31" t="n"/>
      <c r="U149" s="31" t="n"/>
      <c r="V149" s="31" t="n"/>
      <c r="W149" s="31" t="n"/>
      <c r="X149" s="31" t="n"/>
      <c r="Y149" s="31" t="n"/>
    </row>
    <row r="150" ht="14.25" customHeight="1">
      <c r="A150" s="32" t="n"/>
      <c r="P150" s="31" t="n"/>
      <c r="Q150" s="31" t="n"/>
      <c r="R150" s="31" t="n"/>
      <c r="S150" s="31" t="n"/>
      <c r="T150" s="31" t="n"/>
      <c r="U150" s="31" t="n"/>
      <c r="V150" s="31" t="n"/>
      <c r="W150" s="31" t="n"/>
      <c r="X150" s="31" t="n"/>
      <c r="Y150" s="31" t="n"/>
    </row>
    <row r="151" ht="14.25" customHeight="1">
      <c r="A151" s="32" t="n"/>
      <c r="P151" s="31" t="n"/>
      <c r="Q151" s="31" t="n"/>
      <c r="R151" s="31" t="n"/>
      <c r="S151" s="31" t="n"/>
      <c r="T151" s="31" t="n"/>
      <c r="U151" s="31" t="n"/>
      <c r="V151" s="31" t="n"/>
      <c r="W151" s="31" t="n"/>
      <c r="X151" s="31" t="n"/>
      <c r="Y151" s="31" t="n"/>
    </row>
    <row r="152" ht="14.25" customHeight="1">
      <c r="A152" s="32" t="n"/>
      <c r="P152" s="31" t="n"/>
      <c r="Q152" s="31" t="n"/>
      <c r="R152" s="31" t="n"/>
      <c r="S152" s="31" t="n"/>
      <c r="T152" s="31" t="n"/>
      <c r="U152" s="31" t="n"/>
      <c r="V152" s="31" t="n"/>
      <c r="W152" s="31" t="n"/>
      <c r="X152" s="31" t="n"/>
      <c r="Y152" s="31" t="n"/>
    </row>
    <row r="153" ht="14.25" customHeight="1">
      <c r="A153" s="32" t="n"/>
      <c r="P153" s="31" t="n"/>
      <c r="Q153" s="31" t="n"/>
      <c r="R153" s="31" t="n"/>
      <c r="S153" s="31" t="n"/>
      <c r="T153" s="31" t="n"/>
      <c r="U153" s="31" t="n"/>
      <c r="V153" s="31" t="n"/>
      <c r="W153" s="31" t="n"/>
      <c r="X153" s="31" t="n"/>
      <c r="Y153" s="31" t="n"/>
    </row>
    <row r="154" ht="14.25" customHeight="1">
      <c r="A154" s="32" t="n"/>
      <c r="P154" s="31" t="n"/>
      <c r="Q154" s="31" t="n"/>
      <c r="R154" s="31" t="n"/>
      <c r="S154" s="31" t="n"/>
      <c r="T154" s="31" t="n"/>
      <c r="U154" s="31" t="n"/>
      <c r="V154" s="31" t="n"/>
      <c r="W154" s="31" t="n"/>
      <c r="X154" s="31" t="n"/>
      <c r="Y154" s="31" t="n"/>
    </row>
    <row r="155" ht="14.25" customHeight="1">
      <c r="A155" s="32" t="n"/>
      <c r="P155" s="31" t="n"/>
      <c r="Q155" s="31" t="n"/>
      <c r="R155" s="31" t="n"/>
      <c r="S155" s="31" t="n"/>
      <c r="T155" s="31" t="n"/>
      <c r="U155" s="31" t="n"/>
      <c r="V155" s="31" t="n"/>
      <c r="W155" s="31" t="n"/>
      <c r="X155" s="31" t="n"/>
      <c r="Y155" s="31" t="n"/>
    </row>
    <row r="156" ht="14.25" customHeight="1">
      <c r="A156" s="32" t="n"/>
      <c r="P156" s="31" t="n"/>
      <c r="Q156" s="31" t="n"/>
      <c r="R156" s="31" t="n"/>
      <c r="S156" s="31" t="n"/>
      <c r="T156" s="31" t="n"/>
      <c r="U156" s="31" t="n"/>
      <c r="V156" s="31" t="n"/>
      <c r="W156" s="31" t="n"/>
      <c r="X156" s="31" t="n"/>
      <c r="Y156" s="31" t="n"/>
    </row>
    <row r="157" ht="14.25" customHeight="1">
      <c r="A157" s="32" t="n"/>
      <c r="P157" s="31" t="n"/>
      <c r="Q157" s="31" t="n"/>
      <c r="R157" s="31" t="n"/>
      <c r="S157" s="31" t="n"/>
      <c r="T157" s="31" t="n"/>
      <c r="U157" s="31" t="n"/>
      <c r="V157" s="31" t="n"/>
      <c r="W157" s="31" t="n"/>
      <c r="X157" s="31" t="n"/>
      <c r="Y157" s="31" t="n"/>
    </row>
    <row r="158" ht="14.25" customHeight="1">
      <c r="A158" s="32" t="n"/>
      <c r="P158" s="31" t="n"/>
      <c r="Q158" s="31" t="n"/>
      <c r="R158" s="31" t="n"/>
      <c r="S158" s="31" t="n"/>
      <c r="T158" s="31" t="n"/>
      <c r="U158" s="31" t="n"/>
      <c r="V158" s="31" t="n"/>
      <c r="W158" s="31" t="n"/>
      <c r="X158" s="31" t="n"/>
      <c r="Y158" s="31" t="n"/>
    </row>
    <row r="159" ht="14.25" customHeight="1">
      <c r="A159" s="32" t="n"/>
      <c r="P159" s="31" t="n"/>
      <c r="Q159" s="31" t="n"/>
      <c r="R159" s="31" t="n"/>
      <c r="S159" s="31" t="n"/>
      <c r="T159" s="31" t="n"/>
      <c r="U159" s="31" t="n"/>
      <c r="V159" s="31" t="n"/>
      <c r="W159" s="31" t="n"/>
      <c r="X159" s="31" t="n"/>
      <c r="Y159" s="31" t="n"/>
    </row>
    <row r="160" ht="14.25" customHeight="1">
      <c r="A160" s="32" t="n"/>
      <c r="P160" s="31" t="n"/>
      <c r="Q160" s="31" t="n"/>
      <c r="R160" s="31" t="n"/>
      <c r="S160" s="31" t="n"/>
      <c r="T160" s="31" t="n"/>
      <c r="U160" s="31" t="n"/>
      <c r="V160" s="31" t="n"/>
      <c r="W160" s="31" t="n"/>
      <c r="X160" s="31" t="n"/>
      <c r="Y160" s="31" t="n"/>
    </row>
    <row r="161" ht="14.25" customHeight="1">
      <c r="A161" s="32" t="n"/>
      <c r="P161" s="31" t="n"/>
      <c r="Q161" s="31" t="n"/>
      <c r="R161" s="31" t="n"/>
      <c r="S161" s="31" t="n"/>
      <c r="T161" s="31" t="n"/>
      <c r="U161" s="31" t="n"/>
      <c r="V161" s="31" t="n"/>
      <c r="W161" s="31" t="n"/>
      <c r="X161" s="31" t="n"/>
      <c r="Y161" s="31" t="n"/>
    </row>
    <row r="162" ht="14.25" customHeight="1">
      <c r="A162" s="32" t="n"/>
      <c r="P162" s="31" t="n"/>
      <c r="Q162" s="31" t="n"/>
      <c r="R162" s="31" t="n"/>
      <c r="S162" s="31" t="n"/>
      <c r="T162" s="31" t="n"/>
      <c r="U162" s="31" t="n"/>
      <c r="V162" s="31" t="n"/>
      <c r="W162" s="31" t="n"/>
      <c r="X162" s="31" t="n"/>
      <c r="Y162" s="31" t="n"/>
    </row>
    <row r="163" ht="14.25" customHeight="1">
      <c r="A163" s="32" t="n"/>
      <c r="P163" s="31" t="n"/>
      <c r="Q163" s="31" t="n"/>
      <c r="R163" s="31" t="n"/>
      <c r="S163" s="31" t="n"/>
      <c r="T163" s="31" t="n"/>
      <c r="U163" s="31" t="n"/>
      <c r="V163" s="31" t="n"/>
      <c r="W163" s="31" t="n"/>
      <c r="X163" s="31" t="n"/>
      <c r="Y163" s="31" t="n"/>
    </row>
    <row r="164" ht="14.25" customHeight="1">
      <c r="A164" s="32" t="n"/>
      <c r="P164" s="31" t="n"/>
      <c r="Q164" s="31" t="n"/>
      <c r="R164" s="31" t="n"/>
      <c r="S164" s="31" t="n"/>
      <c r="T164" s="31" t="n"/>
      <c r="U164" s="31" t="n"/>
      <c r="V164" s="31" t="n"/>
      <c r="W164" s="31" t="n"/>
      <c r="X164" s="31" t="n"/>
      <c r="Y164" s="31" t="n"/>
    </row>
    <row r="165" ht="14.25" customHeight="1">
      <c r="A165" s="32" t="n"/>
      <c r="P165" s="31" t="n"/>
      <c r="Q165" s="31" t="n"/>
      <c r="R165" s="31" t="n"/>
      <c r="S165" s="31" t="n"/>
      <c r="T165" s="31" t="n"/>
      <c r="U165" s="31" t="n"/>
      <c r="V165" s="31" t="n"/>
      <c r="W165" s="31" t="n"/>
      <c r="X165" s="31" t="n"/>
      <c r="Y165" s="31" t="n"/>
    </row>
    <row r="166" ht="14.25" customHeight="1">
      <c r="A166" s="32" t="n"/>
      <c r="P166" s="31" t="n"/>
      <c r="Q166" s="31" t="n"/>
      <c r="R166" s="31" t="n"/>
      <c r="S166" s="31" t="n"/>
      <c r="T166" s="31" t="n"/>
      <c r="U166" s="31" t="n"/>
      <c r="V166" s="31" t="n"/>
      <c r="W166" s="31" t="n"/>
      <c r="X166" s="31" t="n"/>
      <c r="Y166" s="31" t="n"/>
    </row>
    <row r="167" ht="14.25" customHeight="1">
      <c r="A167" s="32" t="n"/>
      <c r="P167" s="31" t="n"/>
      <c r="Q167" s="31" t="n"/>
      <c r="R167" s="31" t="n"/>
      <c r="S167" s="31" t="n"/>
      <c r="T167" s="31" t="n"/>
      <c r="U167" s="31" t="n"/>
      <c r="V167" s="31" t="n"/>
      <c r="W167" s="31" t="n"/>
      <c r="X167" s="31" t="n"/>
      <c r="Y167" s="31" t="n"/>
    </row>
    <row r="168" ht="14.25" customHeight="1">
      <c r="A168" s="32" t="n"/>
      <c r="P168" s="31" t="n"/>
      <c r="Q168" s="31" t="n"/>
      <c r="R168" s="31" t="n"/>
      <c r="S168" s="31" t="n"/>
      <c r="T168" s="31" t="n"/>
      <c r="U168" s="31" t="n"/>
      <c r="V168" s="31" t="n"/>
      <c r="W168" s="31" t="n"/>
      <c r="X168" s="31" t="n"/>
      <c r="Y168" s="31" t="n"/>
    </row>
    <row r="169" ht="14.25" customHeight="1">
      <c r="A169" s="32" t="n"/>
      <c r="P169" s="31" t="n"/>
      <c r="Q169" s="31" t="n"/>
      <c r="R169" s="31" t="n"/>
      <c r="S169" s="31" t="n"/>
      <c r="T169" s="31" t="n"/>
      <c r="U169" s="31" t="n"/>
      <c r="V169" s="31" t="n"/>
      <c r="W169" s="31" t="n"/>
      <c r="X169" s="31" t="n"/>
      <c r="Y169" s="31" t="n"/>
    </row>
    <row r="170" ht="14.25" customHeight="1">
      <c r="A170" s="32" t="n"/>
      <c r="P170" s="31" t="n"/>
      <c r="Q170" s="31" t="n"/>
      <c r="R170" s="31" t="n"/>
      <c r="S170" s="31" t="n"/>
      <c r="T170" s="31" t="n"/>
      <c r="U170" s="31" t="n"/>
      <c r="V170" s="31" t="n"/>
      <c r="W170" s="31" t="n"/>
      <c r="X170" s="31" t="n"/>
      <c r="Y170" s="31" t="n"/>
    </row>
    <row r="171" ht="14.25" customHeight="1">
      <c r="A171" s="32" t="n"/>
      <c r="P171" s="31" t="n"/>
      <c r="Q171" s="31" t="n"/>
      <c r="R171" s="31" t="n"/>
      <c r="S171" s="31" t="n"/>
      <c r="T171" s="31" t="n"/>
      <c r="U171" s="31" t="n"/>
      <c r="V171" s="31" t="n"/>
      <c r="W171" s="31" t="n"/>
      <c r="X171" s="31" t="n"/>
      <c r="Y171" s="31" t="n"/>
    </row>
    <row r="172" ht="14.25" customHeight="1">
      <c r="A172" s="32" t="n"/>
      <c r="P172" s="31" t="n"/>
      <c r="Q172" s="31" t="n"/>
      <c r="R172" s="31" t="n"/>
      <c r="S172" s="31" t="n"/>
      <c r="T172" s="31" t="n"/>
      <c r="U172" s="31" t="n"/>
      <c r="V172" s="31" t="n"/>
      <c r="W172" s="31" t="n"/>
      <c r="X172" s="31" t="n"/>
      <c r="Y172" s="31" t="n"/>
    </row>
    <row r="173" ht="14.25" customHeight="1">
      <c r="A173" s="32" t="n"/>
      <c r="P173" s="31" t="n"/>
      <c r="Q173" s="31" t="n"/>
      <c r="R173" s="31" t="n"/>
      <c r="S173" s="31" t="n"/>
      <c r="T173" s="31" t="n"/>
      <c r="U173" s="31" t="n"/>
      <c r="V173" s="31" t="n"/>
      <c r="W173" s="31" t="n"/>
      <c r="X173" s="31" t="n"/>
      <c r="Y173" s="31" t="n"/>
    </row>
    <row r="174" ht="14.25" customHeight="1">
      <c r="A174" s="32" t="n"/>
      <c r="P174" s="31" t="n"/>
      <c r="Q174" s="31" t="n"/>
      <c r="R174" s="31" t="n"/>
      <c r="S174" s="31" t="n"/>
      <c r="T174" s="31" t="n"/>
      <c r="U174" s="31" t="n"/>
      <c r="V174" s="31" t="n"/>
      <c r="W174" s="31" t="n"/>
      <c r="X174" s="31" t="n"/>
      <c r="Y174" s="31" t="n"/>
    </row>
    <row r="175" ht="14.25" customHeight="1">
      <c r="A175" s="32" t="n"/>
      <c r="P175" s="31" t="n"/>
      <c r="Q175" s="31" t="n"/>
      <c r="R175" s="31" t="n"/>
      <c r="S175" s="31" t="n"/>
      <c r="T175" s="31" t="n"/>
      <c r="U175" s="31" t="n"/>
      <c r="V175" s="31" t="n"/>
      <c r="W175" s="31" t="n"/>
      <c r="X175" s="31" t="n"/>
      <c r="Y175" s="31" t="n"/>
    </row>
    <row r="176" ht="14.25" customHeight="1">
      <c r="A176" s="32" t="n"/>
      <c r="P176" s="31" t="n"/>
      <c r="Q176" s="31" t="n"/>
      <c r="R176" s="31" t="n"/>
      <c r="S176" s="31" t="n"/>
      <c r="T176" s="31" t="n"/>
      <c r="U176" s="31" t="n"/>
      <c r="V176" s="31" t="n"/>
      <c r="W176" s="31" t="n"/>
      <c r="X176" s="31" t="n"/>
      <c r="Y176" s="31" t="n"/>
    </row>
    <row r="177" ht="14.25" customHeight="1">
      <c r="A177" s="32" t="n"/>
      <c r="P177" s="31" t="n"/>
      <c r="Q177" s="31" t="n"/>
      <c r="R177" s="31" t="n"/>
      <c r="S177" s="31" t="n"/>
      <c r="T177" s="31" t="n"/>
      <c r="U177" s="31" t="n"/>
      <c r="V177" s="31" t="n"/>
      <c r="W177" s="31" t="n"/>
      <c r="X177" s="31" t="n"/>
      <c r="Y177" s="31" t="n"/>
    </row>
    <row r="178" ht="14.25" customHeight="1">
      <c r="A178" s="32" t="n"/>
      <c r="P178" s="31" t="n"/>
      <c r="Q178" s="31" t="n"/>
      <c r="R178" s="31" t="n"/>
      <c r="S178" s="31" t="n"/>
      <c r="T178" s="31" t="n"/>
      <c r="U178" s="31" t="n"/>
      <c r="V178" s="31" t="n"/>
      <c r="W178" s="31" t="n"/>
      <c r="X178" s="31" t="n"/>
      <c r="Y178" s="31" t="n"/>
    </row>
    <row r="179" ht="14.25" customHeight="1">
      <c r="A179" s="32" t="n"/>
      <c r="P179" s="31" t="n"/>
      <c r="Q179" s="31" t="n"/>
      <c r="R179" s="31" t="n"/>
      <c r="S179" s="31" t="n"/>
      <c r="T179" s="31" t="n"/>
      <c r="U179" s="31" t="n"/>
      <c r="V179" s="31" t="n"/>
      <c r="W179" s="31" t="n"/>
      <c r="X179" s="31" t="n"/>
      <c r="Y179" s="31" t="n"/>
    </row>
    <row r="180" ht="14.25" customHeight="1">
      <c r="A180" s="32" t="n"/>
      <c r="P180" s="31" t="n"/>
      <c r="Q180" s="31" t="n"/>
      <c r="R180" s="31" t="n"/>
      <c r="S180" s="31" t="n"/>
      <c r="T180" s="31" t="n"/>
      <c r="U180" s="31" t="n"/>
      <c r="V180" s="31" t="n"/>
      <c r="W180" s="31" t="n"/>
      <c r="X180" s="31" t="n"/>
      <c r="Y180" s="31" t="n"/>
    </row>
    <row r="181" ht="14.25" customHeight="1">
      <c r="A181" s="32" t="n"/>
      <c r="P181" s="31" t="n"/>
      <c r="Q181" s="31" t="n"/>
      <c r="R181" s="31" t="n"/>
      <c r="S181" s="31" t="n"/>
      <c r="T181" s="31" t="n"/>
      <c r="U181" s="31" t="n"/>
      <c r="V181" s="31" t="n"/>
      <c r="W181" s="31" t="n"/>
      <c r="X181" s="31" t="n"/>
      <c r="Y181" s="31" t="n"/>
    </row>
    <row r="182" ht="14.25" customHeight="1">
      <c r="A182" s="32" t="n"/>
      <c r="P182" s="31" t="n"/>
      <c r="Q182" s="31" t="n"/>
      <c r="R182" s="31" t="n"/>
      <c r="S182" s="31" t="n"/>
      <c r="T182" s="31" t="n"/>
      <c r="U182" s="31" t="n"/>
      <c r="V182" s="31" t="n"/>
      <c r="W182" s="31" t="n"/>
      <c r="X182" s="31" t="n"/>
      <c r="Y182" s="31" t="n"/>
    </row>
    <row r="183" ht="14.25" customHeight="1">
      <c r="A183" s="32" t="n"/>
      <c r="P183" s="31" t="n"/>
      <c r="Q183" s="31" t="n"/>
      <c r="R183" s="31" t="n"/>
      <c r="S183" s="31" t="n"/>
      <c r="T183" s="31" t="n"/>
      <c r="U183" s="31" t="n"/>
      <c r="V183" s="31" t="n"/>
      <c r="W183" s="31" t="n"/>
      <c r="X183" s="31" t="n"/>
      <c r="Y183" s="31" t="n"/>
    </row>
    <row r="184" ht="14.25" customHeight="1">
      <c r="A184" s="32" t="n"/>
      <c r="P184" s="31" t="n"/>
      <c r="Q184" s="31" t="n"/>
      <c r="R184" s="31" t="n"/>
      <c r="S184" s="31" t="n"/>
      <c r="T184" s="31" t="n"/>
      <c r="U184" s="31" t="n"/>
      <c r="V184" s="31" t="n"/>
      <c r="W184" s="31" t="n"/>
      <c r="X184" s="31" t="n"/>
      <c r="Y184" s="31" t="n"/>
    </row>
    <row r="185" ht="14.25" customHeight="1">
      <c r="A185" s="32" t="n"/>
      <c r="P185" s="31" t="n"/>
      <c r="Q185" s="31" t="n"/>
      <c r="R185" s="31" t="n"/>
      <c r="S185" s="31" t="n"/>
      <c r="T185" s="31" t="n"/>
      <c r="U185" s="31" t="n"/>
      <c r="V185" s="31" t="n"/>
      <c r="W185" s="31" t="n"/>
      <c r="X185" s="31" t="n"/>
      <c r="Y185" s="31" t="n"/>
    </row>
    <row r="186" ht="14.25" customHeight="1">
      <c r="A186" s="32" t="n"/>
      <c r="P186" s="31" t="n"/>
      <c r="Q186" s="31" t="n"/>
      <c r="R186" s="31" t="n"/>
      <c r="S186" s="31" t="n"/>
      <c r="T186" s="31" t="n"/>
      <c r="U186" s="31" t="n"/>
      <c r="V186" s="31" t="n"/>
      <c r="W186" s="31" t="n"/>
      <c r="X186" s="31" t="n"/>
      <c r="Y186" s="31" t="n"/>
    </row>
    <row r="187" ht="14.25" customHeight="1">
      <c r="A187" s="32" t="n"/>
      <c r="P187" s="31" t="n"/>
      <c r="Q187" s="31" t="n"/>
      <c r="R187" s="31" t="n"/>
      <c r="S187" s="31" t="n"/>
      <c r="T187" s="31" t="n"/>
      <c r="U187" s="31" t="n"/>
      <c r="V187" s="31" t="n"/>
      <c r="W187" s="31" t="n"/>
      <c r="X187" s="31" t="n"/>
      <c r="Y187" s="31" t="n"/>
    </row>
    <row r="188" ht="14.25" customHeight="1">
      <c r="A188" s="32" t="n"/>
      <c r="P188" s="31" t="n"/>
      <c r="Q188" s="31" t="n"/>
      <c r="R188" s="31" t="n"/>
      <c r="S188" s="31" t="n"/>
      <c r="T188" s="31" t="n"/>
      <c r="U188" s="31" t="n"/>
      <c r="V188" s="31" t="n"/>
      <c r="W188" s="31" t="n"/>
      <c r="X188" s="31" t="n"/>
      <c r="Y188" s="31" t="n"/>
    </row>
    <row r="189" ht="14.25" customHeight="1">
      <c r="A189" s="32" t="n"/>
      <c r="P189" s="31" t="n"/>
      <c r="Q189" s="31" t="n"/>
      <c r="R189" s="31" t="n"/>
      <c r="S189" s="31" t="n"/>
      <c r="T189" s="31" t="n"/>
      <c r="U189" s="31" t="n"/>
      <c r="V189" s="31" t="n"/>
      <c r="W189" s="31" t="n"/>
      <c r="X189" s="31" t="n"/>
      <c r="Y189" s="31" t="n"/>
    </row>
    <row r="190" ht="14.25" customHeight="1">
      <c r="A190" s="32" t="n"/>
      <c r="P190" s="31" t="n"/>
      <c r="Q190" s="31" t="n"/>
      <c r="R190" s="31" t="n"/>
      <c r="S190" s="31" t="n"/>
      <c r="T190" s="31" t="n"/>
      <c r="U190" s="31" t="n"/>
      <c r="V190" s="31" t="n"/>
      <c r="W190" s="31" t="n"/>
      <c r="X190" s="31" t="n"/>
      <c r="Y190" s="31" t="n"/>
    </row>
    <row r="191" ht="14.25" customHeight="1">
      <c r="A191" s="32" t="n"/>
      <c r="P191" s="31" t="n"/>
      <c r="Q191" s="31" t="n"/>
      <c r="R191" s="31" t="n"/>
      <c r="S191" s="31" t="n"/>
      <c r="T191" s="31" t="n"/>
      <c r="U191" s="31" t="n"/>
      <c r="V191" s="31" t="n"/>
      <c r="W191" s="31" t="n"/>
      <c r="X191" s="31" t="n"/>
      <c r="Y191" s="31" t="n"/>
    </row>
    <row r="192" ht="14.25" customHeight="1">
      <c r="A192" s="32" t="n"/>
      <c r="P192" s="31" t="n"/>
      <c r="Q192" s="31" t="n"/>
      <c r="R192" s="31" t="n"/>
      <c r="S192" s="31" t="n"/>
      <c r="T192" s="31" t="n"/>
      <c r="U192" s="31" t="n"/>
      <c r="V192" s="31" t="n"/>
      <c r="W192" s="31" t="n"/>
      <c r="X192" s="31" t="n"/>
      <c r="Y192" s="31" t="n"/>
    </row>
    <row r="193" ht="14.25" customHeight="1">
      <c r="A193" s="32" t="n"/>
      <c r="P193" s="31" t="n"/>
      <c r="Q193" s="31" t="n"/>
      <c r="R193" s="31" t="n"/>
      <c r="S193" s="31" t="n"/>
      <c r="T193" s="31" t="n"/>
      <c r="U193" s="31" t="n"/>
      <c r="V193" s="31" t="n"/>
      <c r="W193" s="31" t="n"/>
      <c r="X193" s="31" t="n"/>
      <c r="Y193" s="31" t="n"/>
    </row>
    <row r="194" ht="14.25" customHeight="1">
      <c r="A194" s="32" t="n"/>
      <c r="P194" s="31" t="n"/>
      <c r="Q194" s="31" t="n"/>
      <c r="R194" s="31" t="n"/>
      <c r="S194" s="31" t="n"/>
      <c r="T194" s="31" t="n"/>
      <c r="U194" s="31" t="n"/>
      <c r="V194" s="31" t="n"/>
      <c r="W194" s="31" t="n"/>
      <c r="X194" s="31" t="n"/>
      <c r="Y194" s="31" t="n"/>
    </row>
    <row r="195" ht="14.25" customHeight="1">
      <c r="A195" s="32" t="n"/>
      <c r="P195" s="31" t="n"/>
      <c r="Q195" s="31" t="n"/>
      <c r="R195" s="31" t="n"/>
      <c r="S195" s="31" t="n"/>
      <c r="T195" s="31" t="n"/>
      <c r="U195" s="31" t="n"/>
      <c r="V195" s="31" t="n"/>
      <c r="W195" s="31" t="n"/>
      <c r="X195" s="31" t="n"/>
      <c r="Y195" s="31" t="n"/>
    </row>
    <row r="196" ht="14.25" customHeight="1">
      <c r="A196" s="32" t="n"/>
      <c r="P196" s="31" t="n"/>
      <c r="Q196" s="31" t="n"/>
      <c r="R196" s="31" t="n"/>
      <c r="S196" s="31" t="n"/>
      <c r="T196" s="31" t="n"/>
      <c r="U196" s="31" t="n"/>
      <c r="V196" s="31" t="n"/>
      <c r="W196" s="31" t="n"/>
      <c r="X196" s="31" t="n"/>
      <c r="Y196" s="31" t="n"/>
    </row>
    <row r="197" ht="14.25" customHeight="1">
      <c r="A197" s="32" t="n"/>
      <c r="P197" s="31" t="n"/>
      <c r="Q197" s="31" t="n"/>
      <c r="R197" s="31" t="n"/>
      <c r="S197" s="31" t="n"/>
      <c r="T197" s="31" t="n"/>
      <c r="U197" s="31" t="n"/>
      <c r="V197" s="31" t="n"/>
      <c r="W197" s="31" t="n"/>
      <c r="X197" s="31" t="n"/>
      <c r="Y197" s="31" t="n"/>
    </row>
    <row r="198" ht="14.25" customHeight="1">
      <c r="A198" s="32" t="n"/>
      <c r="P198" s="31" t="n"/>
      <c r="Q198" s="31" t="n"/>
      <c r="R198" s="31" t="n"/>
      <c r="S198" s="31" t="n"/>
      <c r="T198" s="31" t="n"/>
      <c r="U198" s="31" t="n"/>
      <c r="V198" s="31" t="n"/>
      <c r="W198" s="31" t="n"/>
      <c r="X198" s="31" t="n"/>
      <c r="Y198" s="31" t="n"/>
    </row>
    <row r="199" ht="14.25" customHeight="1">
      <c r="A199" s="32" t="n"/>
      <c r="P199" s="31" t="n"/>
      <c r="Q199" s="31" t="n"/>
      <c r="R199" s="31" t="n"/>
      <c r="S199" s="31" t="n"/>
      <c r="T199" s="31" t="n"/>
      <c r="U199" s="31" t="n"/>
      <c r="V199" s="31" t="n"/>
      <c r="W199" s="31" t="n"/>
      <c r="X199" s="31" t="n"/>
      <c r="Y199" s="31" t="n"/>
    </row>
    <row r="200" ht="14.25" customHeight="1">
      <c r="A200" s="32" t="n"/>
      <c r="P200" s="31" t="n"/>
      <c r="Q200" s="31" t="n"/>
      <c r="R200" s="31" t="n"/>
      <c r="S200" s="31" t="n"/>
      <c r="T200" s="31" t="n"/>
      <c r="U200" s="31" t="n"/>
      <c r="V200" s="31" t="n"/>
      <c r="W200" s="31" t="n"/>
      <c r="X200" s="31" t="n"/>
      <c r="Y200" s="31" t="n"/>
    </row>
    <row r="201" ht="14.25" customHeight="1">
      <c r="A201" s="32" t="n"/>
      <c r="P201" s="31" t="n"/>
      <c r="Q201" s="31" t="n"/>
      <c r="R201" s="31" t="n"/>
      <c r="S201" s="31" t="n"/>
      <c r="T201" s="31" t="n"/>
      <c r="U201" s="31" t="n"/>
      <c r="V201" s="31" t="n"/>
      <c r="W201" s="31" t="n"/>
      <c r="X201" s="31" t="n"/>
      <c r="Y201" s="31" t="n"/>
    </row>
    <row r="202" ht="14.25" customHeight="1">
      <c r="A202" s="32" t="n"/>
      <c r="P202" s="31" t="n"/>
      <c r="Q202" s="31" t="n"/>
      <c r="R202" s="31" t="n"/>
      <c r="S202" s="31" t="n"/>
      <c r="T202" s="31" t="n"/>
      <c r="U202" s="31" t="n"/>
      <c r="V202" s="31" t="n"/>
      <c r="W202" s="31" t="n"/>
      <c r="X202" s="31" t="n"/>
      <c r="Y202" s="31" t="n"/>
    </row>
    <row r="203" ht="14.25" customHeight="1">
      <c r="A203" s="32" t="n"/>
      <c r="P203" s="31" t="n"/>
      <c r="Q203" s="31" t="n"/>
      <c r="R203" s="31" t="n"/>
      <c r="S203" s="31" t="n"/>
      <c r="T203" s="31" t="n"/>
      <c r="U203" s="31" t="n"/>
      <c r="V203" s="31" t="n"/>
      <c r="W203" s="31" t="n"/>
      <c r="X203" s="31" t="n"/>
      <c r="Y203" s="31" t="n"/>
    </row>
    <row r="204" ht="14.25" customHeight="1">
      <c r="A204" s="32" t="n"/>
      <c r="P204" s="31" t="n"/>
      <c r="Q204" s="31" t="n"/>
      <c r="R204" s="31" t="n"/>
      <c r="S204" s="31" t="n"/>
      <c r="T204" s="31" t="n"/>
      <c r="U204" s="31" t="n"/>
      <c r="V204" s="31" t="n"/>
      <c r="W204" s="31" t="n"/>
      <c r="X204" s="31" t="n"/>
      <c r="Y204" s="31" t="n"/>
    </row>
    <row r="205" ht="14.25" customHeight="1">
      <c r="A205" s="32" t="n"/>
      <c r="P205" s="31" t="n"/>
      <c r="Q205" s="31" t="n"/>
      <c r="R205" s="31" t="n"/>
      <c r="S205" s="31" t="n"/>
      <c r="T205" s="31" t="n"/>
      <c r="U205" s="31" t="n"/>
      <c r="V205" s="31" t="n"/>
      <c r="W205" s="31" t="n"/>
      <c r="X205" s="31" t="n"/>
      <c r="Y205" s="31" t="n"/>
    </row>
    <row r="206" ht="14.25" customHeight="1">
      <c r="A206" s="32" t="n"/>
      <c r="P206" s="31" t="n"/>
      <c r="Q206" s="31" t="n"/>
      <c r="R206" s="31" t="n"/>
      <c r="S206" s="31" t="n"/>
      <c r="T206" s="31" t="n"/>
      <c r="U206" s="31" t="n"/>
      <c r="V206" s="31" t="n"/>
      <c r="W206" s="31" t="n"/>
      <c r="X206" s="31" t="n"/>
      <c r="Y206" s="31" t="n"/>
    </row>
    <row r="207" ht="14.25" customHeight="1">
      <c r="A207" s="32" t="n"/>
      <c r="P207" s="31" t="n"/>
      <c r="Q207" s="31" t="n"/>
      <c r="R207" s="31" t="n"/>
      <c r="S207" s="31" t="n"/>
      <c r="T207" s="31" t="n"/>
      <c r="U207" s="31" t="n"/>
      <c r="V207" s="31" t="n"/>
      <c r="W207" s="31" t="n"/>
      <c r="X207" s="31" t="n"/>
      <c r="Y207" s="31" t="n"/>
    </row>
    <row r="208" ht="14.25" customHeight="1">
      <c r="A208" s="32" t="n"/>
      <c r="P208" s="31" t="n"/>
      <c r="Q208" s="31" t="n"/>
      <c r="R208" s="31" t="n"/>
      <c r="S208" s="31" t="n"/>
      <c r="T208" s="31" t="n"/>
      <c r="U208" s="31" t="n"/>
      <c r="V208" s="31" t="n"/>
      <c r="W208" s="31" t="n"/>
      <c r="X208" s="31" t="n"/>
      <c r="Y208" s="31" t="n"/>
    </row>
    <row r="209" ht="14.25" customHeight="1">
      <c r="A209" s="32" t="n"/>
      <c r="P209" s="31" t="n"/>
      <c r="Q209" s="31" t="n"/>
      <c r="R209" s="31" t="n"/>
      <c r="S209" s="31" t="n"/>
      <c r="T209" s="31" t="n"/>
      <c r="U209" s="31" t="n"/>
      <c r="V209" s="31" t="n"/>
      <c r="W209" s="31" t="n"/>
      <c r="X209" s="31" t="n"/>
      <c r="Y209" s="31" t="n"/>
    </row>
    <row r="210" ht="14.25" customHeight="1">
      <c r="A210" s="32" t="n"/>
      <c r="P210" s="31" t="n"/>
      <c r="Q210" s="31" t="n"/>
      <c r="R210" s="31" t="n"/>
      <c r="S210" s="31" t="n"/>
      <c r="T210" s="31" t="n"/>
      <c r="U210" s="31" t="n"/>
      <c r="V210" s="31" t="n"/>
      <c r="W210" s="31" t="n"/>
      <c r="X210" s="31" t="n"/>
      <c r="Y210" s="31" t="n"/>
    </row>
    <row r="211" ht="14.25" customHeight="1">
      <c r="A211" s="32" t="n"/>
      <c r="P211" s="31" t="n"/>
      <c r="Q211" s="31" t="n"/>
      <c r="R211" s="31" t="n"/>
      <c r="S211" s="31" t="n"/>
      <c r="T211" s="31" t="n"/>
      <c r="U211" s="31" t="n"/>
      <c r="V211" s="31" t="n"/>
      <c r="W211" s="31" t="n"/>
      <c r="X211" s="31" t="n"/>
      <c r="Y211" s="31" t="n"/>
    </row>
    <row r="212" ht="14.25" customHeight="1">
      <c r="A212" s="32" t="n"/>
      <c r="P212" s="31" t="n"/>
      <c r="Q212" s="31" t="n"/>
      <c r="R212" s="31" t="n"/>
      <c r="S212" s="31" t="n"/>
      <c r="T212" s="31" t="n"/>
      <c r="U212" s="31" t="n"/>
      <c r="V212" s="31" t="n"/>
      <c r="W212" s="31" t="n"/>
      <c r="X212" s="31" t="n"/>
      <c r="Y212" s="31" t="n"/>
    </row>
    <row r="213" ht="14.25" customHeight="1">
      <c r="A213" s="32" t="n"/>
      <c r="P213" s="31" t="n"/>
      <c r="Q213" s="31" t="n"/>
      <c r="R213" s="31" t="n"/>
      <c r="S213" s="31" t="n"/>
      <c r="T213" s="31" t="n"/>
      <c r="U213" s="31" t="n"/>
      <c r="V213" s="31" t="n"/>
      <c r="W213" s="31" t="n"/>
      <c r="X213" s="31" t="n"/>
      <c r="Y213" s="31" t="n"/>
    </row>
    <row r="214" ht="14.25" customHeight="1">
      <c r="A214" s="32" t="n"/>
      <c r="P214" s="31" t="n"/>
      <c r="Q214" s="31" t="n"/>
      <c r="R214" s="31" t="n"/>
      <c r="S214" s="31" t="n"/>
      <c r="T214" s="31" t="n"/>
      <c r="U214" s="31" t="n"/>
      <c r="V214" s="31" t="n"/>
      <c r="W214" s="31" t="n"/>
      <c r="X214" s="31" t="n"/>
      <c r="Y214" s="31" t="n"/>
    </row>
    <row r="215" ht="14.25" customHeight="1">
      <c r="A215" s="32" t="n"/>
      <c r="P215" s="31" t="n"/>
      <c r="Q215" s="31" t="n"/>
      <c r="R215" s="31" t="n"/>
      <c r="S215" s="31" t="n"/>
      <c r="T215" s="31" t="n"/>
      <c r="U215" s="31" t="n"/>
      <c r="V215" s="31" t="n"/>
      <c r="W215" s="31" t="n"/>
      <c r="X215" s="31" t="n"/>
      <c r="Y215" s="31" t="n"/>
    </row>
    <row r="216" ht="14.25" customHeight="1">
      <c r="A216" s="32" t="n"/>
      <c r="P216" s="31" t="n"/>
      <c r="Q216" s="31" t="n"/>
      <c r="R216" s="31" t="n"/>
      <c r="S216" s="31" t="n"/>
      <c r="T216" s="31" t="n"/>
      <c r="U216" s="31" t="n"/>
      <c r="V216" s="31" t="n"/>
      <c r="W216" s="31" t="n"/>
      <c r="X216" s="31" t="n"/>
      <c r="Y216" s="31" t="n"/>
    </row>
    <row r="217" ht="14.25" customHeight="1">
      <c r="A217" s="32" t="n"/>
      <c r="P217" s="31" t="n"/>
      <c r="Q217" s="31" t="n"/>
      <c r="R217" s="31" t="n"/>
      <c r="S217" s="31" t="n"/>
      <c r="T217" s="31" t="n"/>
      <c r="U217" s="31" t="n"/>
      <c r="V217" s="31" t="n"/>
      <c r="W217" s="31" t="n"/>
      <c r="X217" s="31" t="n"/>
      <c r="Y217" s="31" t="n"/>
    </row>
    <row r="218" ht="14.25" customHeight="1">
      <c r="A218" s="32" t="n"/>
      <c r="P218" s="31" t="n"/>
      <c r="Q218" s="31" t="n"/>
      <c r="R218" s="31" t="n"/>
      <c r="S218" s="31" t="n"/>
      <c r="T218" s="31" t="n"/>
      <c r="U218" s="31" t="n"/>
      <c r="V218" s="31" t="n"/>
      <c r="W218" s="31" t="n"/>
      <c r="X218" s="31" t="n"/>
      <c r="Y218" s="31" t="n"/>
    </row>
    <row r="219" ht="14.25" customHeight="1">
      <c r="A219" s="32" t="n"/>
      <c r="P219" s="31" t="n"/>
      <c r="Q219" s="31" t="n"/>
      <c r="R219" s="31" t="n"/>
      <c r="S219" s="31" t="n"/>
      <c r="T219" s="31" t="n"/>
      <c r="U219" s="31" t="n"/>
      <c r="V219" s="31" t="n"/>
      <c r="W219" s="31" t="n"/>
      <c r="X219" s="31" t="n"/>
      <c r="Y219" s="31" t="n"/>
    </row>
    <row r="220" ht="14.25" customHeight="1">
      <c r="A220" s="32" t="n"/>
      <c r="P220" s="31" t="n"/>
      <c r="Q220" s="31" t="n"/>
      <c r="R220" s="31" t="n"/>
      <c r="S220" s="31" t="n"/>
      <c r="T220" s="31" t="n"/>
      <c r="U220" s="31" t="n"/>
      <c r="V220" s="31" t="n"/>
      <c r="W220" s="31" t="n"/>
      <c r="X220" s="31" t="n"/>
      <c r="Y220" s="31" t="n"/>
    </row>
    <row r="221" ht="14.25" customHeight="1">
      <c r="A221" s="32" t="n"/>
      <c r="P221" s="31" t="n"/>
      <c r="Q221" s="31" t="n"/>
      <c r="R221" s="31" t="n"/>
      <c r="S221" s="31" t="n"/>
      <c r="T221" s="31" t="n"/>
      <c r="U221" s="31" t="n"/>
      <c r="V221" s="31" t="n"/>
      <c r="W221" s="31" t="n"/>
      <c r="X221" s="31" t="n"/>
      <c r="Y221" s="31" t="n"/>
    </row>
    <row r="222" ht="14.25" customHeight="1">
      <c r="A222" s="32" t="n"/>
      <c r="P222" s="31" t="n"/>
      <c r="Q222" s="31" t="n"/>
      <c r="R222" s="31" t="n"/>
      <c r="S222" s="31" t="n"/>
      <c r="T222" s="31" t="n"/>
      <c r="U222" s="31" t="n"/>
      <c r="V222" s="31" t="n"/>
      <c r="W222" s="31" t="n"/>
      <c r="X222" s="31" t="n"/>
      <c r="Y222" s="31" t="n"/>
    </row>
    <row r="223" ht="14.25" customHeight="1">
      <c r="A223" s="32" t="n"/>
      <c r="P223" s="31" t="n"/>
      <c r="Q223" s="31" t="n"/>
      <c r="R223" s="31" t="n"/>
      <c r="S223" s="31" t="n"/>
      <c r="T223" s="31" t="n"/>
      <c r="U223" s="31" t="n"/>
      <c r="V223" s="31" t="n"/>
      <c r="W223" s="31" t="n"/>
      <c r="X223" s="31" t="n"/>
      <c r="Y223" s="31" t="n"/>
    </row>
    <row r="224" ht="14.25" customHeight="1">
      <c r="A224" s="32" t="n"/>
      <c r="P224" s="31" t="n"/>
      <c r="Q224" s="31" t="n"/>
      <c r="R224" s="31" t="n"/>
      <c r="S224" s="31" t="n"/>
      <c r="T224" s="31" t="n"/>
      <c r="U224" s="31" t="n"/>
      <c r="V224" s="31" t="n"/>
      <c r="W224" s="31" t="n"/>
      <c r="X224" s="31" t="n"/>
      <c r="Y224" s="31" t="n"/>
    </row>
    <row r="225" ht="14.25" customHeight="1">
      <c r="A225" s="32" t="n"/>
      <c r="P225" s="31" t="n"/>
      <c r="Q225" s="31" t="n"/>
      <c r="R225" s="31" t="n"/>
      <c r="S225" s="31" t="n"/>
      <c r="T225" s="31" t="n"/>
      <c r="U225" s="31" t="n"/>
      <c r="V225" s="31" t="n"/>
      <c r="W225" s="31" t="n"/>
      <c r="X225" s="31" t="n"/>
      <c r="Y225" s="31" t="n"/>
    </row>
    <row r="226" ht="14.25" customHeight="1">
      <c r="A226" s="32" t="n"/>
      <c r="P226" s="31" t="n"/>
      <c r="Q226" s="31" t="n"/>
      <c r="R226" s="31" t="n"/>
      <c r="S226" s="31" t="n"/>
      <c r="T226" s="31" t="n"/>
      <c r="U226" s="31" t="n"/>
      <c r="V226" s="31" t="n"/>
      <c r="W226" s="31" t="n"/>
      <c r="X226" s="31" t="n"/>
      <c r="Y226" s="31" t="n"/>
    </row>
    <row r="227" ht="14.25" customHeight="1">
      <c r="A227" s="32" t="n"/>
      <c r="P227" s="31" t="n"/>
      <c r="Q227" s="31" t="n"/>
      <c r="R227" s="31" t="n"/>
      <c r="S227" s="31" t="n"/>
      <c r="T227" s="31" t="n"/>
      <c r="U227" s="31" t="n"/>
      <c r="V227" s="31" t="n"/>
      <c r="W227" s="31" t="n"/>
      <c r="X227" s="31" t="n"/>
      <c r="Y227" s="31" t="n"/>
    </row>
    <row r="228" ht="14.25" customHeight="1">
      <c r="A228" s="32" t="n"/>
      <c r="P228" s="31" t="n"/>
      <c r="Q228" s="31" t="n"/>
      <c r="R228" s="31" t="n"/>
      <c r="S228" s="31" t="n"/>
      <c r="T228" s="31" t="n"/>
      <c r="U228" s="31" t="n"/>
      <c r="V228" s="31" t="n"/>
      <c r="W228" s="31" t="n"/>
      <c r="X228" s="31" t="n"/>
      <c r="Y228" s="31" t="n"/>
    </row>
    <row r="229" ht="14.25" customHeight="1">
      <c r="A229" s="32" t="n"/>
      <c r="P229" s="31" t="n"/>
      <c r="Q229" s="31" t="n"/>
      <c r="R229" s="31" t="n"/>
      <c r="S229" s="31" t="n"/>
      <c r="T229" s="31" t="n"/>
      <c r="U229" s="31" t="n"/>
      <c r="V229" s="31" t="n"/>
      <c r="W229" s="31" t="n"/>
      <c r="X229" s="31" t="n"/>
      <c r="Y229" s="31" t="n"/>
    </row>
    <row r="230" ht="14.25" customHeight="1">
      <c r="A230" s="32" t="n"/>
      <c r="P230" s="31" t="n"/>
      <c r="Q230" s="31" t="n"/>
      <c r="R230" s="31" t="n"/>
      <c r="S230" s="31" t="n"/>
      <c r="T230" s="31" t="n"/>
      <c r="U230" s="31" t="n"/>
      <c r="V230" s="31" t="n"/>
      <c r="W230" s="31" t="n"/>
      <c r="X230" s="31" t="n"/>
      <c r="Y230" s="31" t="n"/>
    </row>
    <row r="231" ht="14.25" customHeight="1">
      <c r="A231" s="32" t="n"/>
      <c r="P231" s="31" t="n"/>
      <c r="Q231" s="31" t="n"/>
      <c r="R231" s="31" t="n"/>
      <c r="S231" s="31" t="n"/>
      <c r="T231" s="31" t="n"/>
      <c r="U231" s="31" t="n"/>
      <c r="V231" s="31" t="n"/>
      <c r="W231" s="31" t="n"/>
      <c r="X231" s="31" t="n"/>
      <c r="Y231" s="31" t="n"/>
    </row>
    <row r="232" ht="14.25" customHeight="1">
      <c r="A232" s="32" t="n"/>
      <c r="P232" s="31" t="n"/>
      <c r="Q232" s="31" t="n"/>
      <c r="R232" s="31" t="n"/>
      <c r="S232" s="31" t="n"/>
      <c r="T232" s="31" t="n"/>
      <c r="U232" s="31" t="n"/>
      <c r="V232" s="31" t="n"/>
      <c r="W232" s="31" t="n"/>
      <c r="X232" s="31" t="n"/>
      <c r="Y232" s="31" t="n"/>
    </row>
    <row r="233" ht="14.25" customHeight="1">
      <c r="A233" s="32" t="n"/>
      <c r="P233" s="31" t="n"/>
      <c r="Q233" s="31" t="n"/>
      <c r="R233" s="31" t="n"/>
      <c r="S233" s="31" t="n"/>
      <c r="T233" s="31" t="n"/>
      <c r="U233" s="31" t="n"/>
      <c r="V233" s="31" t="n"/>
      <c r="W233" s="31" t="n"/>
      <c r="X233" s="31" t="n"/>
      <c r="Y233" s="31" t="n"/>
    </row>
    <row r="234" ht="14.25" customHeight="1">
      <c r="A234" s="32" t="n"/>
      <c r="P234" s="31" t="n"/>
      <c r="Q234" s="31" t="n"/>
      <c r="R234" s="31" t="n"/>
      <c r="S234" s="31" t="n"/>
      <c r="T234" s="31" t="n"/>
      <c r="U234" s="31" t="n"/>
      <c r="V234" s="31" t="n"/>
      <c r="W234" s="31" t="n"/>
      <c r="X234" s="31" t="n"/>
      <c r="Y234" s="31" t="n"/>
    </row>
    <row r="235" ht="14.25" customHeight="1">
      <c r="A235" s="32" t="n"/>
      <c r="P235" s="31" t="n"/>
      <c r="Q235" s="31" t="n"/>
      <c r="R235" s="31" t="n"/>
      <c r="S235" s="31" t="n"/>
      <c r="T235" s="31" t="n"/>
      <c r="U235" s="31" t="n"/>
      <c r="V235" s="31" t="n"/>
      <c r="W235" s="31" t="n"/>
      <c r="X235" s="31" t="n"/>
      <c r="Y235" s="31" t="n"/>
    </row>
    <row r="236" ht="14.25" customHeight="1">
      <c r="A236" s="32" t="n"/>
      <c r="P236" s="31" t="n"/>
      <c r="Q236" s="31" t="n"/>
      <c r="R236" s="31" t="n"/>
      <c r="S236" s="31" t="n"/>
      <c r="T236" s="31" t="n"/>
      <c r="U236" s="31" t="n"/>
      <c r="V236" s="31" t="n"/>
      <c r="W236" s="31" t="n"/>
      <c r="X236" s="31" t="n"/>
      <c r="Y236" s="31" t="n"/>
    </row>
    <row r="237" ht="14.25" customHeight="1">
      <c r="A237" s="32" t="n"/>
      <c r="P237" s="31" t="n"/>
      <c r="Q237" s="31" t="n"/>
      <c r="R237" s="31" t="n"/>
      <c r="S237" s="31" t="n"/>
      <c r="T237" s="31" t="n"/>
      <c r="U237" s="31" t="n"/>
      <c r="V237" s="31" t="n"/>
      <c r="W237" s="31" t="n"/>
      <c r="X237" s="31" t="n"/>
      <c r="Y237" s="31" t="n"/>
    </row>
    <row r="238" ht="14.25" customHeight="1">
      <c r="A238" s="32" t="n"/>
      <c r="P238" s="31" t="n"/>
      <c r="Q238" s="31" t="n"/>
      <c r="R238" s="31" t="n"/>
      <c r="S238" s="31" t="n"/>
      <c r="T238" s="31" t="n"/>
      <c r="U238" s="31" t="n"/>
      <c r="V238" s="31" t="n"/>
      <c r="W238" s="31" t="n"/>
      <c r="X238" s="31" t="n"/>
      <c r="Y238" s="31" t="n"/>
    </row>
    <row r="239" ht="14.25" customHeight="1">
      <c r="A239" s="32" t="n"/>
      <c r="P239" s="31" t="n"/>
      <c r="Q239" s="31" t="n"/>
      <c r="R239" s="31" t="n"/>
      <c r="S239" s="31" t="n"/>
      <c r="T239" s="31" t="n"/>
      <c r="U239" s="31" t="n"/>
      <c r="V239" s="31" t="n"/>
      <c r="W239" s="31" t="n"/>
      <c r="X239" s="31" t="n"/>
      <c r="Y239" s="31" t="n"/>
    </row>
    <row r="240" ht="14.25" customHeight="1">
      <c r="A240" s="32" t="n"/>
      <c r="P240" s="31" t="n"/>
      <c r="Q240" s="31" t="n"/>
      <c r="R240" s="31" t="n"/>
      <c r="S240" s="31" t="n"/>
      <c r="T240" s="31" t="n"/>
      <c r="U240" s="31" t="n"/>
      <c r="V240" s="31" t="n"/>
      <c r="W240" s="31" t="n"/>
      <c r="X240" s="31" t="n"/>
      <c r="Y240" s="31" t="n"/>
    </row>
    <row r="241" ht="14.25" customHeight="1">
      <c r="A241" s="32" t="n"/>
      <c r="P241" s="31" t="n"/>
      <c r="Q241" s="31" t="n"/>
      <c r="R241" s="31" t="n"/>
      <c r="S241" s="31" t="n"/>
      <c r="T241" s="31" t="n"/>
      <c r="U241" s="31" t="n"/>
      <c r="V241" s="31" t="n"/>
      <c r="W241" s="31" t="n"/>
      <c r="X241" s="31" t="n"/>
      <c r="Y241" s="31" t="n"/>
    </row>
    <row r="242" ht="14.25" customHeight="1">
      <c r="A242" s="32" t="n"/>
      <c r="P242" s="31" t="n"/>
      <c r="Q242" s="31" t="n"/>
      <c r="R242" s="31" t="n"/>
      <c r="S242" s="31" t="n"/>
      <c r="T242" s="31" t="n"/>
      <c r="U242" s="31" t="n"/>
      <c r="V242" s="31" t="n"/>
      <c r="W242" s="31" t="n"/>
      <c r="X242" s="31" t="n"/>
      <c r="Y242" s="31" t="n"/>
    </row>
    <row r="243" ht="14.25" customHeight="1">
      <c r="A243" s="32" t="n"/>
      <c r="P243" s="31" t="n"/>
      <c r="Q243" s="31" t="n"/>
      <c r="R243" s="31" t="n"/>
      <c r="S243" s="31" t="n"/>
      <c r="T243" s="31" t="n"/>
      <c r="U243" s="31" t="n"/>
      <c r="V243" s="31" t="n"/>
      <c r="W243" s="31" t="n"/>
      <c r="X243" s="31" t="n"/>
      <c r="Y243" s="31" t="n"/>
    </row>
    <row r="244" ht="14.25" customHeight="1">
      <c r="A244" s="32" t="n"/>
      <c r="P244" s="31" t="n"/>
      <c r="Q244" s="31" t="n"/>
      <c r="R244" s="31" t="n"/>
      <c r="S244" s="31" t="n"/>
      <c r="T244" s="31" t="n"/>
      <c r="U244" s="31" t="n"/>
      <c r="V244" s="31" t="n"/>
      <c r="W244" s="31" t="n"/>
      <c r="X244" s="31" t="n"/>
      <c r="Y244" s="31" t="n"/>
    </row>
    <row r="245" ht="14.25" customHeight="1">
      <c r="A245" s="32" t="n"/>
      <c r="P245" s="31" t="n"/>
      <c r="Q245" s="31" t="n"/>
      <c r="R245" s="31" t="n"/>
      <c r="S245" s="31" t="n"/>
      <c r="T245" s="31" t="n"/>
      <c r="U245" s="31" t="n"/>
      <c r="V245" s="31" t="n"/>
      <c r="W245" s="31" t="n"/>
      <c r="X245" s="31" t="n"/>
      <c r="Y245" s="31" t="n"/>
    </row>
    <row r="246" ht="14.25" customHeight="1">
      <c r="A246" s="32" t="n"/>
      <c r="P246" s="31" t="n"/>
      <c r="Q246" s="31" t="n"/>
      <c r="R246" s="31" t="n"/>
      <c r="S246" s="31" t="n"/>
      <c r="T246" s="31" t="n"/>
      <c r="U246" s="31" t="n"/>
      <c r="V246" s="31" t="n"/>
      <c r="W246" s="31" t="n"/>
      <c r="X246" s="31" t="n"/>
      <c r="Y246" s="31" t="n"/>
    </row>
    <row r="247" ht="14.25" customHeight="1">
      <c r="A247" s="32" t="n"/>
      <c r="P247" s="31" t="n"/>
      <c r="Q247" s="31" t="n"/>
      <c r="R247" s="31" t="n"/>
      <c r="S247" s="31" t="n"/>
      <c r="T247" s="31" t="n"/>
      <c r="U247" s="31" t="n"/>
      <c r="V247" s="31" t="n"/>
      <c r="W247" s="31" t="n"/>
      <c r="X247" s="31" t="n"/>
      <c r="Y247" s="31" t="n"/>
    </row>
    <row r="248" ht="14.25" customHeight="1">
      <c r="A248" s="32" t="n"/>
      <c r="P248" s="31" t="n"/>
      <c r="Q248" s="31" t="n"/>
      <c r="R248" s="31" t="n"/>
      <c r="S248" s="31" t="n"/>
      <c r="T248" s="31" t="n"/>
      <c r="U248" s="31" t="n"/>
      <c r="V248" s="31" t="n"/>
      <c r="W248" s="31" t="n"/>
      <c r="X248" s="31" t="n"/>
      <c r="Y248" s="31" t="n"/>
    </row>
    <row r="249" ht="14.25" customHeight="1">
      <c r="A249" s="32" t="n"/>
      <c r="P249" s="31" t="n"/>
      <c r="Q249" s="31" t="n"/>
      <c r="R249" s="31" t="n"/>
      <c r="S249" s="31" t="n"/>
      <c r="T249" s="31" t="n"/>
      <c r="U249" s="31" t="n"/>
      <c r="V249" s="31" t="n"/>
      <c r="W249" s="31" t="n"/>
      <c r="X249" s="31" t="n"/>
      <c r="Y249" s="31" t="n"/>
    </row>
    <row r="250" ht="14.25" customHeight="1">
      <c r="A250" s="32" t="n"/>
      <c r="P250" s="31" t="n"/>
      <c r="Q250" s="31" t="n"/>
      <c r="R250" s="31" t="n"/>
      <c r="S250" s="31" t="n"/>
      <c r="T250" s="31" t="n"/>
      <c r="U250" s="31" t="n"/>
      <c r="V250" s="31" t="n"/>
      <c r="W250" s="31" t="n"/>
      <c r="X250" s="31" t="n"/>
      <c r="Y250" s="31" t="n"/>
    </row>
    <row r="251" ht="14.25" customHeight="1">
      <c r="A251" s="32" t="n"/>
      <c r="P251" s="31" t="n"/>
      <c r="Q251" s="31" t="n"/>
      <c r="R251" s="31" t="n"/>
      <c r="S251" s="31" t="n"/>
      <c r="T251" s="31" t="n"/>
      <c r="U251" s="31" t="n"/>
      <c r="V251" s="31" t="n"/>
      <c r="W251" s="31" t="n"/>
      <c r="X251" s="31" t="n"/>
      <c r="Y251" s="31" t="n"/>
    </row>
    <row r="252" ht="14.25" customHeight="1">
      <c r="A252" s="32" t="n"/>
      <c r="P252" s="31" t="n"/>
      <c r="Q252" s="31" t="n"/>
      <c r="R252" s="31" t="n"/>
      <c r="S252" s="31" t="n"/>
      <c r="T252" s="31" t="n"/>
      <c r="U252" s="31" t="n"/>
      <c r="V252" s="31" t="n"/>
      <c r="W252" s="31" t="n"/>
      <c r="X252" s="31" t="n"/>
      <c r="Y252" s="31" t="n"/>
    </row>
    <row r="253" ht="14.25" customHeight="1">
      <c r="A253" s="32" t="n"/>
      <c r="P253" s="31" t="n"/>
      <c r="Q253" s="31" t="n"/>
      <c r="R253" s="31" t="n"/>
      <c r="S253" s="31" t="n"/>
      <c r="T253" s="31" t="n"/>
      <c r="U253" s="31" t="n"/>
      <c r="V253" s="31" t="n"/>
      <c r="W253" s="31" t="n"/>
      <c r="X253" s="31" t="n"/>
      <c r="Y253" s="31" t="n"/>
    </row>
    <row r="254" ht="14.25" customHeight="1">
      <c r="A254" s="32" t="n"/>
      <c r="P254" s="31" t="n"/>
      <c r="Q254" s="31" t="n"/>
      <c r="R254" s="31" t="n"/>
      <c r="S254" s="31" t="n"/>
      <c r="T254" s="31" t="n"/>
      <c r="U254" s="31" t="n"/>
      <c r="V254" s="31" t="n"/>
      <c r="W254" s="31" t="n"/>
      <c r="X254" s="31" t="n"/>
      <c r="Y254" s="31" t="n"/>
    </row>
    <row r="255" ht="14.25" customHeight="1">
      <c r="A255" s="32" t="n"/>
      <c r="P255" s="31" t="n"/>
      <c r="Q255" s="31" t="n"/>
      <c r="R255" s="31" t="n"/>
      <c r="S255" s="31" t="n"/>
      <c r="T255" s="31" t="n"/>
      <c r="U255" s="31" t="n"/>
      <c r="V255" s="31" t="n"/>
      <c r="W255" s="31" t="n"/>
      <c r="X255" s="31" t="n"/>
      <c r="Y255" s="31" t="n"/>
    </row>
    <row r="256" ht="14.25" customHeight="1">
      <c r="A256" s="32" t="n"/>
      <c r="P256" s="31" t="n"/>
      <c r="Q256" s="31" t="n"/>
      <c r="R256" s="31" t="n"/>
      <c r="S256" s="31" t="n"/>
      <c r="T256" s="31" t="n"/>
      <c r="U256" s="31" t="n"/>
      <c r="V256" s="31" t="n"/>
      <c r="W256" s="31" t="n"/>
      <c r="X256" s="31" t="n"/>
      <c r="Y256" s="31" t="n"/>
    </row>
    <row r="257" ht="14.25" customHeight="1">
      <c r="A257" s="32" t="n"/>
      <c r="P257" s="31" t="n"/>
      <c r="Q257" s="31" t="n"/>
      <c r="R257" s="31" t="n"/>
      <c r="S257" s="31" t="n"/>
      <c r="T257" s="31" t="n"/>
      <c r="U257" s="31" t="n"/>
      <c r="V257" s="31" t="n"/>
      <c r="W257" s="31" t="n"/>
      <c r="X257" s="31" t="n"/>
      <c r="Y257" s="31" t="n"/>
    </row>
    <row r="258" ht="14.25" customHeight="1">
      <c r="A258" s="32" t="n"/>
      <c r="P258" s="31" t="n"/>
      <c r="Q258" s="31" t="n"/>
      <c r="R258" s="31" t="n"/>
      <c r="S258" s="31" t="n"/>
      <c r="T258" s="31" t="n"/>
      <c r="U258" s="31" t="n"/>
      <c r="V258" s="31" t="n"/>
      <c r="W258" s="31" t="n"/>
      <c r="X258" s="31" t="n"/>
      <c r="Y258" s="31" t="n"/>
    </row>
    <row r="259" ht="14.25" customHeight="1">
      <c r="A259" s="32" t="n"/>
      <c r="P259" s="31" t="n"/>
      <c r="Q259" s="31" t="n"/>
      <c r="R259" s="31" t="n"/>
      <c r="S259" s="31" t="n"/>
      <c r="T259" s="31" t="n"/>
      <c r="U259" s="31" t="n"/>
      <c r="V259" s="31" t="n"/>
      <c r="W259" s="31" t="n"/>
      <c r="X259" s="31" t="n"/>
      <c r="Y259" s="31" t="n"/>
    </row>
    <row r="260" ht="14.25" customHeight="1">
      <c r="A260" s="32" t="n"/>
      <c r="P260" s="31" t="n"/>
      <c r="Q260" s="31" t="n"/>
      <c r="R260" s="31" t="n"/>
      <c r="S260" s="31" t="n"/>
      <c r="T260" s="31" t="n"/>
      <c r="U260" s="31" t="n"/>
      <c r="V260" s="31" t="n"/>
      <c r="W260" s="31" t="n"/>
      <c r="X260" s="31" t="n"/>
      <c r="Y260" s="31" t="n"/>
    </row>
    <row r="261" ht="14.25" customHeight="1">
      <c r="A261" s="32" t="n"/>
      <c r="P261" s="31" t="n"/>
      <c r="Q261" s="31" t="n"/>
      <c r="R261" s="31" t="n"/>
      <c r="S261" s="31" t="n"/>
      <c r="T261" s="31" t="n"/>
      <c r="U261" s="31" t="n"/>
      <c r="V261" s="31" t="n"/>
      <c r="W261" s="31" t="n"/>
      <c r="X261" s="31" t="n"/>
      <c r="Y261" s="31" t="n"/>
    </row>
    <row r="262" ht="14.25" customHeight="1">
      <c r="A262" s="32" t="n"/>
      <c r="P262" s="31" t="n"/>
      <c r="Q262" s="31" t="n"/>
      <c r="R262" s="31" t="n"/>
      <c r="S262" s="31" t="n"/>
      <c r="T262" s="31" t="n"/>
      <c r="U262" s="31" t="n"/>
      <c r="V262" s="31" t="n"/>
      <c r="W262" s="31" t="n"/>
      <c r="X262" s="31" t="n"/>
      <c r="Y262" s="31" t="n"/>
    </row>
    <row r="263" ht="14.25" customHeight="1">
      <c r="A263" s="32" t="n"/>
      <c r="P263" s="31" t="n"/>
      <c r="Q263" s="31" t="n"/>
      <c r="R263" s="31" t="n"/>
      <c r="S263" s="31" t="n"/>
      <c r="T263" s="31" t="n"/>
      <c r="U263" s="31" t="n"/>
      <c r="V263" s="31" t="n"/>
      <c r="W263" s="31" t="n"/>
      <c r="X263" s="31" t="n"/>
      <c r="Y263" s="31" t="n"/>
    </row>
    <row r="264" ht="14.25" customHeight="1">
      <c r="A264" s="32" t="n"/>
      <c r="P264" s="31" t="n"/>
      <c r="Q264" s="31" t="n"/>
      <c r="R264" s="31" t="n"/>
      <c r="S264" s="31" t="n"/>
      <c r="T264" s="31" t="n"/>
      <c r="U264" s="31" t="n"/>
      <c r="V264" s="31" t="n"/>
      <c r="W264" s="31" t="n"/>
      <c r="X264" s="31" t="n"/>
      <c r="Y264" s="31" t="n"/>
    </row>
    <row r="265" ht="14.25" customHeight="1">
      <c r="A265" s="32" t="n"/>
      <c r="P265" s="31" t="n"/>
      <c r="Q265" s="31" t="n"/>
      <c r="R265" s="31" t="n"/>
      <c r="S265" s="31" t="n"/>
      <c r="T265" s="31" t="n"/>
      <c r="U265" s="31" t="n"/>
      <c r="V265" s="31" t="n"/>
      <c r="W265" s="31" t="n"/>
      <c r="X265" s="31" t="n"/>
      <c r="Y265" s="31" t="n"/>
    </row>
    <row r="266" ht="14.25" customHeight="1">
      <c r="A266" s="32" t="n"/>
      <c r="P266" s="31" t="n"/>
      <c r="Q266" s="31" t="n"/>
      <c r="R266" s="31" t="n"/>
      <c r="S266" s="31" t="n"/>
      <c r="T266" s="31" t="n"/>
      <c r="U266" s="31" t="n"/>
      <c r="V266" s="31" t="n"/>
      <c r="W266" s="31" t="n"/>
      <c r="X266" s="31" t="n"/>
      <c r="Y266" s="31" t="n"/>
    </row>
    <row r="267" ht="14.25" customHeight="1">
      <c r="A267" s="32" t="n"/>
      <c r="P267" s="31" t="n"/>
      <c r="Q267" s="31" t="n"/>
      <c r="R267" s="31" t="n"/>
      <c r="S267" s="31" t="n"/>
      <c r="T267" s="31" t="n"/>
      <c r="U267" s="31" t="n"/>
      <c r="V267" s="31" t="n"/>
      <c r="W267" s="31" t="n"/>
      <c r="X267" s="31" t="n"/>
      <c r="Y267" s="31" t="n"/>
    </row>
    <row r="268" ht="14.25" customHeight="1">
      <c r="A268" s="32" t="n"/>
      <c r="P268" s="31" t="n"/>
      <c r="Q268" s="31" t="n"/>
      <c r="R268" s="31" t="n"/>
      <c r="S268" s="31" t="n"/>
      <c r="T268" s="31" t="n"/>
      <c r="U268" s="31" t="n"/>
      <c r="V268" s="31" t="n"/>
      <c r="W268" s="31" t="n"/>
      <c r="X268" s="31" t="n"/>
      <c r="Y268" s="31" t="n"/>
    </row>
    <row r="269" ht="14.25" customHeight="1">
      <c r="A269" s="32" t="n"/>
      <c r="P269" s="31" t="n"/>
      <c r="Q269" s="31" t="n"/>
      <c r="R269" s="31" t="n"/>
      <c r="S269" s="31" t="n"/>
      <c r="T269" s="31" t="n"/>
      <c r="U269" s="31" t="n"/>
      <c r="V269" s="31" t="n"/>
      <c r="W269" s="31" t="n"/>
      <c r="X269" s="31" t="n"/>
      <c r="Y269" s="31" t="n"/>
    </row>
    <row r="270" ht="14.25" customHeight="1">
      <c r="A270" s="32" t="n"/>
      <c r="P270" s="31" t="n"/>
      <c r="Q270" s="31" t="n"/>
      <c r="R270" s="31" t="n"/>
      <c r="S270" s="31" t="n"/>
      <c r="T270" s="31" t="n"/>
      <c r="U270" s="31" t="n"/>
      <c r="V270" s="31" t="n"/>
      <c r="W270" s="31" t="n"/>
      <c r="X270" s="31" t="n"/>
      <c r="Y270" s="31" t="n"/>
    </row>
    <row r="271" ht="14.25" customHeight="1">
      <c r="A271" s="32" t="n"/>
      <c r="P271" s="31" t="n"/>
      <c r="Q271" s="31" t="n"/>
      <c r="R271" s="31" t="n"/>
      <c r="S271" s="31" t="n"/>
      <c r="T271" s="31" t="n"/>
      <c r="U271" s="31" t="n"/>
      <c r="V271" s="31" t="n"/>
      <c r="W271" s="31" t="n"/>
      <c r="X271" s="31" t="n"/>
      <c r="Y271" s="31" t="n"/>
    </row>
    <row r="272" ht="14.25" customHeight="1">
      <c r="A272" s="32" t="n"/>
      <c r="P272" s="31" t="n"/>
      <c r="Q272" s="31" t="n"/>
      <c r="R272" s="31" t="n"/>
      <c r="S272" s="31" t="n"/>
      <c r="T272" s="31" t="n"/>
      <c r="U272" s="31" t="n"/>
      <c r="V272" s="31" t="n"/>
      <c r="W272" s="31" t="n"/>
      <c r="X272" s="31" t="n"/>
      <c r="Y272" s="31" t="n"/>
    </row>
    <row r="273" ht="14.25" customHeight="1">
      <c r="A273" s="32" t="n"/>
      <c r="P273" s="31" t="n"/>
      <c r="Q273" s="31" t="n"/>
      <c r="R273" s="31" t="n"/>
      <c r="S273" s="31" t="n"/>
      <c r="T273" s="31" t="n"/>
      <c r="U273" s="31" t="n"/>
      <c r="V273" s="31" t="n"/>
      <c r="W273" s="31" t="n"/>
      <c r="X273" s="31" t="n"/>
      <c r="Y273" s="31" t="n"/>
    </row>
    <row r="274" ht="14.25" customHeight="1">
      <c r="A274" s="32" t="n"/>
      <c r="P274" s="31" t="n"/>
      <c r="Q274" s="31" t="n"/>
      <c r="R274" s="31" t="n"/>
      <c r="S274" s="31" t="n"/>
      <c r="T274" s="31" t="n"/>
      <c r="U274" s="31" t="n"/>
      <c r="V274" s="31" t="n"/>
      <c r="W274" s="31" t="n"/>
      <c r="X274" s="31" t="n"/>
      <c r="Y274" s="31" t="n"/>
    </row>
    <row r="275" ht="14.25" customHeight="1">
      <c r="A275" s="32" t="n"/>
      <c r="P275" s="31" t="n"/>
      <c r="Q275" s="31" t="n"/>
      <c r="R275" s="31" t="n"/>
      <c r="S275" s="31" t="n"/>
      <c r="T275" s="31" t="n"/>
      <c r="U275" s="31" t="n"/>
      <c r="V275" s="31" t="n"/>
      <c r="W275" s="31" t="n"/>
      <c r="X275" s="31" t="n"/>
      <c r="Y275" s="31" t="n"/>
    </row>
    <row r="276" ht="14.25" customHeight="1">
      <c r="A276" s="32" t="n"/>
      <c r="P276" s="31" t="n"/>
      <c r="Q276" s="31" t="n"/>
      <c r="R276" s="31" t="n"/>
      <c r="S276" s="31" t="n"/>
      <c r="T276" s="31" t="n"/>
      <c r="U276" s="31" t="n"/>
      <c r="V276" s="31" t="n"/>
      <c r="W276" s="31" t="n"/>
      <c r="X276" s="31" t="n"/>
      <c r="Y276" s="31" t="n"/>
    </row>
    <row r="277" ht="14.25" customHeight="1">
      <c r="A277" s="32" t="n"/>
      <c r="P277" s="31" t="n"/>
      <c r="Q277" s="31" t="n"/>
      <c r="R277" s="31" t="n"/>
      <c r="S277" s="31" t="n"/>
      <c r="T277" s="31" t="n"/>
      <c r="U277" s="31" t="n"/>
      <c r="V277" s="31" t="n"/>
      <c r="W277" s="31" t="n"/>
      <c r="X277" s="31" t="n"/>
      <c r="Y277" s="31" t="n"/>
    </row>
    <row r="278" ht="14.25" customHeight="1">
      <c r="A278" s="32" t="n"/>
      <c r="P278" s="31" t="n"/>
      <c r="Q278" s="31" t="n"/>
      <c r="R278" s="31" t="n"/>
      <c r="S278" s="31" t="n"/>
      <c r="T278" s="31" t="n"/>
      <c r="U278" s="31" t="n"/>
      <c r="V278" s="31" t="n"/>
      <c r="W278" s="31" t="n"/>
      <c r="X278" s="31" t="n"/>
      <c r="Y278" s="31" t="n"/>
    </row>
    <row r="279" ht="14.25" customHeight="1">
      <c r="A279" s="32" t="n"/>
      <c r="P279" s="31" t="n"/>
      <c r="Q279" s="31" t="n"/>
      <c r="R279" s="31" t="n"/>
      <c r="S279" s="31" t="n"/>
      <c r="T279" s="31" t="n"/>
      <c r="U279" s="31" t="n"/>
      <c r="V279" s="31" t="n"/>
      <c r="W279" s="31" t="n"/>
      <c r="X279" s="31" t="n"/>
      <c r="Y279" s="31" t="n"/>
    </row>
    <row r="280" ht="14.25" customHeight="1">
      <c r="A280" s="32" t="n"/>
      <c r="P280" s="31" t="n"/>
      <c r="Q280" s="31" t="n"/>
      <c r="R280" s="31" t="n"/>
      <c r="S280" s="31" t="n"/>
      <c r="T280" s="31" t="n"/>
      <c r="U280" s="31" t="n"/>
      <c r="V280" s="31" t="n"/>
      <c r="W280" s="31" t="n"/>
      <c r="X280" s="31" t="n"/>
      <c r="Y280" s="31" t="n"/>
    </row>
    <row r="281" ht="14.25" customHeight="1">
      <c r="A281" s="32" t="n"/>
      <c r="P281" s="31" t="n"/>
      <c r="Q281" s="31" t="n"/>
      <c r="R281" s="31" t="n"/>
      <c r="S281" s="31" t="n"/>
      <c r="T281" s="31" t="n"/>
      <c r="U281" s="31" t="n"/>
      <c r="V281" s="31" t="n"/>
      <c r="W281" s="31" t="n"/>
      <c r="X281" s="31" t="n"/>
      <c r="Y281" s="31" t="n"/>
    </row>
    <row r="282" ht="14.25" customHeight="1">
      <c r="A282" s="32" t="n"/>
      <c r="P282" s="31" t="n"/>
      <c r="Q282" s="31" t="n"/>
      <c r="R282" s="31" t="n"/>
      <c r="S282" s="31" t="n"/>
      <c r="T282" s="31" t="n"/>
      <c r="U282" s="31" t="n"/>
      <c r="V282" s="31" t="n"/>
      <c r="W282" s="31" t="n"/>
      <c r="X282" s="31" t="n"/>
      <c r="Y282" s="31" t="n"/>
    </row>
    <row r="283" ht="14.25" customHeight="1">
      <c r="A283" s="32" t="n"/>
      <c r="P283" s="31" t="n"/>
      <c r="Q283" s="31" t="n"/>
      <c r="R283" s="31" t="n"/>
      <c r="S283" s="31" t="n"/>
      <c r="T283" s="31" t="n"/>
      <c r="U283" s="31" t="n"/>
      <c r="V283" s="31" t="n"/>
      <c r="W283" s="31" t="n"/>
      <c r="X283" s="31" t="n"/>
      <c r="Y283" s="31" t="n"/>
    </row>
    <row r="284" ht="14.25" customHeight="1">
      <c r="A284" s="32" t="n"/>
      <c r="P284" s="31" t="n"/>
      <c r="Q284" s="31" t="n"/>
      <c r="R284" s="31" t="n"/>
      <c r="S284" s="31" t="n"/>
      <c r="T284" s="31" t="n"/>
      <c r="U284" s="31" t="n"/>
      <c r="V284" s="31" t="n"/>
      <c r="W284" s="31" t="n"/>
      <c r="X284" s="31" t="n"/>
      <c r="Y284" s="31" t="n"/>
    </row>
    <row r="285" ht="14.25" customHeight="1">
      <c r="A285" s="32" t="n"/>
      <c r="P285" s="31" t="n"/>
      <c r="Q285" s="31" t="n"/>
      <c r="R285" s="31" t="n"/>
      <c r="S285" s="31" t="n"/>
      <c r="T285" s="31" t="n"/>
      <c r="U285" s="31" t="n"/>
      <c r="V285" s="31" t="n"/>
      <c r="W285" s="31" t="n"/>
      <c r="X285" s="31" t="n"/>
      <c r="Y285" s="31" t="n"/>
    </row>
    <row r="286" ht="14.25" customHeight="1">
      <c r="A286" s="32" t="n"/>
      <c r="P286" s="31" t="n"/>
      <c r="Q286" s="31" t="n"/>
      <c r="R286" s="31" t="n"/>
      <c r="S286" s="31" t="n"/>
      <c r="T286" s="31" t="n"/>
      <c r="U286" s="31" t="n"/>
      <c r="V286" s="31" t="n"/>
      <c r="W286" s="31" t="n"/>
      <c r="X286" s="31" t="n"/>
      <c r="Y286" s="31" t="n"/>
    </row>
    <row r="287" ht="14.25" customHeight="1">
      <c r="A287" s="32" t="n"/>
      <c r="P287" s="31" t="n"/>
      <c r="Q287" s="31" t="n"/>
      <c r="R287" s="31" t="n"/>
      <c r="S287" s="31" t="n"/>
      <c r="T287" s="31" t="n"/>
      <c r="U287" s="31" t="n"/>
      <c r="V287" s="31" t="n"/>
      <c r="W287" s="31" t="n"/>
      <c r="X287" s="31" t="n"/>
      <c r="Y287" s="31" t="n"/>
    </row>
    <row r="288" ht="14.25" customHeight="1">
      <c r="A288" s="32" t="n"/>
      <c r="P288" s="31" t="n"/>
      <c r="Q288" s="31" t="n"/>
      <c r="R288" s="31" t="n"/>
      <c r="S288" s="31" t="n"/>
      <c r="T288" s="31" t="n"/>
      <c r="U288" s="31" t="n"/>
      <c r="V288" s="31" t="n"/>
      <c r="W288" s="31" t="n"/>
      <c r="X288" s="31" t="n"/>
      <c r="Y288" s="31" t="n"/>
    </row>
    <row r="289" ht="14.25" customHeight="1">
      <c r="A289" s="32" t="n"/>
      <c r="P289" s="31" t="n"/>
      <c r="Q289" s="31" t="n"/>
      <c r="R289" s="31" t="n"/>
      <c r="S289" s="31" t="n"/>
      <c r="T289" s="31" t="n"/>
      <c r="U289" s="31" t="n"/>
      <c r="V289" s="31" t="n"/>
      <c r="W289" s="31" t="n"/>
      <c r="X289" s="31" t="n"/>
      <c r="Y289" s="31" t="n"/>
    </row>
    <row r="290" ht="14.25" customHeight="1">
      <c r="A290" s="32" t="n"/>
      <c r="P290" s="31" t="n"/>
      <c r="Q290" s="31" t="n"/>
      <c r="R290" s="31" t="n"/>
      <c r="S290" s="31" t="n"/>
      <c r="T290" s="31" t="n"/>
      <c r="U290" s="31" t="n"/>
      <c r="V290" s="31" t="n"/>
      <c r="W290" s="31" t="n"/>
      <c r="X290" s="31" t="n"/>
      <c r="Y290" s="31" t="n"/>
    </row>
    <row r="291" ht="14.25" customHeight="1">
      <c r="A291" s="32" t="n"/>
      <c r="P291" s="31" t="n"/>
      <c r="Q291" s="31" t="n"/>
      <c r="R291" s="31" t="n"/>
      <c r="S291" s="31" t="n"/>
      <c r="T291" s="31" t="n"/>
      <c r="U291" s="31" t="n"/>
      <c r="V291" s="31" t="n"/>
      <c r="W291" s="31" t="n"/>
      <c r="X291" s="31" t="n"/>
      <c r="Y291" s="31" t="n"/>
    </row>
    <row r="292" ht="14.25" customHeight="1">
      <c r="A292" s="32" t="n"/>
      <c r="P292" s="31" t="n"/>
      <c r="Q292" s="31" t="n"/>
      <c r="R292" s="31" t="n"/>
      <c r="S292" s="31" t="n"/>
      <c r="T292" s="31" t="n"/>
      <c r="U292" s="31" t="n"/>
      <c r="V292" s="31" t="n"/>
      <c r="W292" s="31" t="n"/>
      <c r="X292" s="31" t="n"/>
      <c r="Y292" s="31" t="n"/>
    </row>
    <row r="293" ht="14.25" customHeight="1">
      <c r="A293" s="32" t="n"/>
      <c r="P293" s="31" t="n"/>
      <c r="Q293" s="31" t="n"/>
      <c r="R293" s="31" t="n"/>
      <c r="S293" s="31" t="n"/>
      <c r="T293" s="31" t="n"/>
      <c r="U293" s="31" t="n"/>
      <c r="V293" s="31" t="n"/>
      <c r="W293" s="31" t="n"/>
      <c r="X293" s="31" t="n"/>
      <c r="Y293" s="31" t="n"/>
    </row>
    <row r="294" ht="14.25" customHeight="1">
      <c r="A294" s="32" t="n"/>
      <c r="P294" s="31" t="n"/>
      <c r="Q294" s="31" t="n"/>
      <c r="R294" s="31" t="n"/>
      <c r="S294" s="31" t="n"/>
      <c r="T294" s="31" t="n"/>
      <c r="U294" s="31" t="n"/>
      <c r="V294" s="31" t="n"/>
      <c r="W294" s="31" t="n"/>
      <c r="X294" s="31" t="n"/>
      <c r="Y294" s="31" t="n"/>
    </row>
    <row r="295" ht="14.25" customHeight="1">
      <c r="A295" s="32" t="n"/>
      <c r="P295" s="31" t="n"/>
      <c r="Q295" s="31" t="n"/>
      <c r="R295" s="31" t="n"/>
      <c r="S295" s="31" t="n"/>
      <c r="T295" s="31" t="n"/>
      <c r="U295" s="31" t="n"/>
      <c r="V295" s="31" t="n"/>
      <c r="W295" s="31" t="n"/>
      <c r="X295" s="31" t="n"/>
      <c r="Y295" s="31" t="n"/>
    </row>
    <row r="296" ht="14.25" customHeight="1">
      <c r="A296" s="32" t="n"/>
      <c r="P296" s="31" t="n"/>
      <c r="Q296" s="31" t="n"/>
      <c r="R296" s="31" t="n"/>
      <c r="S296" s="31" t="n"/>
      <c r="T296" s="31" t="n"/>
      <c r="U296" s="31" t="n"/>
      <c r="V296" s="31" t="n"/>
      <c r="W296" s="31" t="n"/>
      <c r="X296" s="31" t="n"/>
      <c r="Y296" s="31" t="n"/>
    </row>
    <row r="297" ht="14.25" customHeight="1">
      <c r="A297" s="32" t="n"/>
      <c r="P297" s="31" t="n"/>
      <c r="Q297" s="31" t="n"/>
      <c r="R297" s="31" t="n"/>
      <c r="S297" s="31" t="n"/>
      <c r="T297" s="31" t="n"/>
      <c r="U297" s="31" t="n"/>
      <c r="V297" s="31" t="n"/>
      <c r="W297" s="31" t="n"/>
      <c r="X297" s="31" t="n"/>
      <c r="Y297" s="31" t="n"/>
    </row>
    <row r="298" ht="14.25" customHeight="1">
      <c r="A298" s="32" t="n"/>
      <c r="P298" s="31" t="n"/>
      <c r="Q298" s="31" t="n"/>
      <c r="R298" s="31" t="n"/>
      <c r="S298" s="31" t="n"/>
      <c r="T298" s="31" t="n"/>
      <c r="U298" s="31" t="n"/>
      <c r="V298" s="31" t="n"/>
      <c r="W298" s="31" t="n"/>
      <c r="X298" s="31" t="n"/>
      <c r="Y298" s="31" t="n"/>
    </row>
    <row r="299" ht="14.25" customHeight="1">
      <c r="A299" s="32" t="n"/>
      <c r="P299" s="31" t="n"/>
      <c r="Q299" s="31" t="n"/>
      <c r="R299" s="31" t="n"/>
      <c r="S299" s="31" t="n"/>
      <c r="T299" s="31" t="n"/>
      <c r="U299" s="31" t="n"/>
      <c r="V299" s="31" t="n"/>
      <c r="W299" s="31" t="n"/>
      <c r="X299" s="31" t="n"/>
      <c r="Y299" s="31" t="n"/>
    </row>
    <row r="300" ht="14.25" customHeight="1">
      <c r="A300" s="32" t="n"/>
      <c r="P300" s="31" t="n"/>
      <c r="Q300" s="31" t="n"/>
      <c r="R300" s="31" t="n"/>
      <c r="S300" s="31" t="n"/>
      <c r="T300" s="31" t="n"/>
      <c r="U300" s="31" t="n"/>
      <c r="V300" s="31" t="n"/>
      <c r="W300" s="31" t="n"/>
      <c r="X300" s="31" t="n"/>
      <c r="Y300" s="31" t="n"/>
    </row>
    <row r="301" ht="14.25" customHeight="1">
      <c r="A301" s="32" t="n"/>
      <c r="P301" s="31" t="n"/>
      <c r="Q301" s="31" t="n"/>
      <c r="R301" s="31" t="n"/>
      <c r="S301" s="31" t="n"/>
      <c r="T301" s="31" t="n"/>
      <c r="U301" s="31" t="n"/>
      <c r="V301" s="31" t="n"/>
      <c r="W301" s="31" t="n"/>
      <c r="X301" s="31" t="n"/>
      <c r="Y301" s="31" t="n"/>
    </row>
    <row r="302" ht="14.25" customHeight="1">
      <c r="A302" s="32" t="n"/>
      <c r="P302" s="31" t="n"/>
      <c r="Q302" s="31" t="n"/>
      <c r="R302" s="31" t="n"/>
      <c r="S302" s="31" t="n"/>
      <c r="T302" s="31" t="n"/>
      <c r="U302" s="31" t="n"/>
      <c r="V302" s="31" t="n"/>
      <c r="W302" s="31" t="n"/>
      <c r="X302" s="31" t="n"/>
      <c r="Y302" s="31" t="n"/>
    </row>
    <row r="303" ht="14.25" customHeight="1">
      <c r="A303" s="32" t="n"/>
      <c r="P303" s="31" t="n"/>
      <c r="Q303" s="31" t="n"/>
      <c r="R303" s="31" t="n"/>
      <c r="S303" s="31" t="n"/>
      <c r="T303" s="31" t="n"/>
      <c r="U303" s="31" t="n"/>
      <c r="V303" s="31" t="n"/>
      <c r="W303" s="31" t="n"/>
      <c r="X303" s="31" t="n"/>
      <c r="Y303" s="31" t="n"/>
    </row>
    <row r="304" ht="14.25" customHeight="1">
      <c r="A304" s="32" t="n"/>
      <c r="P304" s="31" t="n"/>
      <c r="Q304" s="31" t="n"/>
      <c r="R304" s="31" t="n"/>
      <c r="S304" s="31" t="n"/>
      <c r="T304" s="31" t="n"/>
      <c r="U304" s="31" t="n"/>
      <c r="V304" s="31" t="n"/>
      <c r="W304" s="31" t="n"/>
      <c r="X304" s="31" t="n"/>
      <c r="Y304" s="31" t="n"/>
    </row>
    <row r="305" ht="14.25" customHeight="1">
      <c r="A305" s="32" t="n"/>
      <c r="P305" s="31" t="n"/>
      <c r="Q305" s="31" t="n"/>
      <c r="R305" s="31" t="n"/>
      <c r="S305" s="31" t="n"/>
      <c r="T305" s="31" t="n"/>
      <c r="U305" s="31" t="n"/>
      <c r="V305" s="31" t="n"/>
      <c r="W305" s="31" t="n"/>
      <c r="X305" s="31" t="n"/>
      <c r="Y305" s="31" t="n"/>
    </row>
    <row r="306" ht="14.25" customHeight="1">
      <c r="A306" s="32" t="n"/>
      <c r="P306" s="31" t="n"/>
      <c r="Q306" s="31" t="n"/>
      <c r="R306" s="31" t="n"/>
      <c r="S306" s="31" t="n"/>
      <c r="T306" s="31" t="n"/>
      <c r="U306" s="31" t="n"/>
      <c r="V306" s="31" t="n"/>
      <c r="W306" s="31" t="n"/>
      <c r="X306" s="31" t="n"/>
      <c r="Y306" s="31" t="n"/>
    </row>
    <row r="307" ht="14.25" customHeight="1">
      <c r="A307" s="32" t="n"/>
      <c r="P307" s="31" t="n"/>
      <c r="Q307" s="31" t="n"/>
      <c r="R307" s="31" t="n"/>
      <c r="S307" s="31" t="n"/>
      <c r="T307" s="31" t="n"/>
      <c r="U307" s="31" t="n"/>
      <c r="V307" s="31" t="n"/>
      <c r="W307" s="31" t="n"/>
      <c r="X307" s="31" t="n"/>
      <c r="Y307" s="31" t="n"/>
    </row>
    <row r="308" ht="14.25" customHeight="1">
      <c r="A308" s="32" t="n"/>
      <c r="P308" s="31" t="n"/>
      <c r="Q308" s="31" t="n"/>
      <c r="R308" s="31" t="n"/>
      <c r="S308" s="31" t="n"/>
      <c r="T308" s="31" t="n"/>
      <c r="U308" s="31" t="n"/>
      <c r="V308" s="31" t="n"/>
      <c r="W308" s="31" t="n"/>
      <c r="X308" s="31" t="n"/>
      <c r="Y308" s="31" t="n"/>
    </row>
    <row r="309" ht="14.25" customHeight="1">
      <c r="A309" s="32" t="n"/>
      <c r="P309" s="31" t="n"/>
      <c r="Q309" s="31" t="n"/>
      <c r="R309" s="31" t="n"/>
      <c r="S309" s="31" t="n"/>
      <c r="T309" s="31" t="n"/>
      <c r="U309" s="31" t="n"/>
      <c r="V309" s="31" t="n"/>
      <c r="W309" s="31" t="n"/>
      <c r="X309" s="31" t="n"/>
      <c r="Y309" s="31" t="n"/>
    </row>
    <row r="310" ht="14.25" customHeight="1">
      <c r="A310" s="32" t="n"/>
      <c r="P310" s="31" t="n"/>
      <c r="Q310" s="31" t="n"/>
      <c r="R310" s="31" t="n"/>
      <c r="S310" s="31" t="n"/>
      <c r="T310" s="31" t="n"/>
      <c r="U310" s="31" t="n"/>
      <c r="V310" s="31" t="n"/>
      <c r="W310" s="31" t="n"/>
      <c r="X310" s="31" t="n"/>
      <c r="Y310" s="31" t="n"/>
    </row>
    <row r="311" ht="14.25" customHeight="1">
      <c r="A311" s="32" t="n"/>
      <c r="P311" s="31" t="n"/>
      <c r="Q311" s="31" t="n"/>
      <c r="R311" s="31" t="n"/>
      <c r="S311" s="31" t="n"/>
      <c r="T311" s="31" t="n"/>
      <c r="U311" s="31" t="n"/>
      <c r="V311" s="31" t="n"/>
      <c r="W311" s="31" t="n"/>
      <c r="X311" s="31" t="n"/>
      <c r="Y311" s="31" t="n"/>
    </row>
    <row r="312" ht="14.25" customHeight="1">
      <c r="A312" s="32" t="n"/>
      <c r="P312" s="31" t="n"/>
      <c r="Q312" s="31" t="n"/>
      <c r="R312" s="31" t="n"/>
      <c r="S312" s="31" t="n"/>
      <c r="T312" s="31" t="n"/>
      <c r="U312" s="31" t="n"/>
      <c r="V312" s="31" t="n"/>
      <c r="W312" s="31" t="n"/>
      <c r="X312" s="31" t="n"/>
      <c r="Y312" s="31" t="n"/>
    </row>
    <row r="313" ht="14.25" customHeight="1">
      <c r="A313" s="32" t="n"/>
      <c r="P313" s="31" t="n"/>
      <c r="Q313" s="31" t="n"/>
      <c r="R313" s="31" t="n"/>
      <c r="S313" s="31" t="n"/>
      <c r="T313" s="31" t="n"/>
      <c r="U313" s="31" t="n"/>
      <c r="V313" s="31" t="n"/>
      <c r="W313" s="31" t="n"/>
      <c r="X313" s="31" t="n"/>
      <c r="Y313" s="31" t="n"/>
    </row>
    <row r="314" ht="14.25" customHeight="1">
      <c r="A314" s="32" t="n"/>
      <c r="P314" s="31" t="n"/>
      <c r="Q314" s="31" t="n"/>
      <c r="R314" s="31" t="n"/>
      <c r="S314" s="31" t="n"/>
      <c r="T314" s="31" t="n"/>
      <c r="U314" s="31" t="n"/>
      <c r="V314" s="31" t="n"/>
      <c r="W314" s="31" t="n"/>
      <c r="X314" s="31" t="n"/>
      <c r="Y314" s="31" t="n"/>
    </row>
    <row r="315" ht="14.25" customHeight="1">
      <c r="A315" s="32" t="n"/>
      <c r="P315" s="31" t="n"/>
      <c r="Q315" s="31" t="n"/>
      <c r="R315" s="31" t="n"/>
      <c r="S315" s="31" t="n"/>
      <c r="T315" s="31" t="n"/>
      <c r="U315" s="31" t="n"/>
      <c r="V315" s="31" t="n"/>
      <c r="W315" s="31" t="n"/>
      <c r="X315" s="31" t="n"/>
      <c r="Y315" s="31" t="n"/>
    </row>
    <row r="316" ht="14.25" customHeight="1">
      <c r="A316" s="32" t="n"/>
      <c r="P316" s="31" t="n"/>
      <c r="Q316" s="31" t="n"/>
      <c r="R316" s="31" t="n"/>
      <c r="S316" s="31" t="n"/>
      <c r="T316" s="31" t="n"/>
      <c r="U316" s="31" t="n"/>
      <c r="V316" s="31" t="n"/>
      <c r="W316" s="31" t="n"/>
      <c r="X316" s="31" t="n"/>
      <c r="Y316" s="31" t="n"/>
    </row>
    <row r="317" ht="14.25" customHeight="1">
      <c r="A317" s="32" t="n"/>
      <c r="P317" s="31" t="n"/>
      <c r="Q317" s="31" t="n"/>
      <c r="R317" s="31" t="n"/>
      <c r="S317" s="31" t="n"/>
      <c r="T317" s="31" t="n"/>
      <c r="U317" s="31" t="n"/>
      <c r="V317" s="31" t="n"/>
      <c r="W317" s="31" t="n"/>
      <c r="X317" s="31" t="n"/>
      <c r="Y317" s="31" t="n"/>
    </row>
    <row r="318" ht="14.25" customHeight="1">
      <c r="A318" s="32" t="n"/>
      <c r="P318" s="31" t="n"/>
      <c r="Q318" s="31" t="n"/>
      <c r="R318" s="31" t="n"/>
      <c r="S318" s="31" t="n"/>
      <c r="T318" s="31" t="n"/>
      <c r="U318" s="31" t="n"/>
      <c r="V318" s="31" t="n"/>
      <c r="W318" s="31" t="n"/>
      <c r="X318" s="31" t="n"/>
      <c r="Y318" s="31" t="n"/>
    </row>
    <row r="319" ht="14.25" customHeight="1">
      <c r="A319" s="32" t="n"/>
      <c r="P319" s="31" t="n"/>
      <c r="Q319" s="31" t="n"/>
      <c r="R319" s="31" t="n"/>
      <c r="S319" s="31" t="n"/>
      <c r="T319" s="31" t="n"/>
      <c r="U319" s="31" t="n"/>
      <c r="V319" s="31" t="n"/>
      <c r="W319" s="31" t="n"/>
      <c r="X319" s="31" t="n"/>
      <c r="Y319" s="31" t="n"/>
    </row>
    <row r="320" ht="14.25" customHeight="1">
      <c r="A320" s="32" t="n"/>
      <c r="P320" s="31" t="n"/>
      <c r="Q320" s="31" t="n"/>
      <c r="R320" s="31" t="n"/>
      <c r="S320" s="31" t="n"/>
      <c r="T320" s="31" t="n"/>
      <c r="U320" s="31" t="n"/>
      <c r="V320" s="31" t="n"/>
      <c r="W320" s="31" t="n"/>
      <c r="X320" s="31" t="n"/>
      <c r="Y320" s="31" t="n"/>
    </row>
    <row r="321" ht="14.25" customHeight="1">
      <c r="A321" s="32" t="n"/>
      <c r="P321" s="31" t="n"/>
      <c r="Q321" s="31" t="n"/>
      <c r="R321" s="31" t="n"/>
      <c r="S321" s="31" t="n"/>
      <c r="T321" s="31" t="n"/>
      <c r="U321" s="31" t="n"/>
      <c r="V321" s="31" t="n"/>
      <c r="W321" s="31" t="n"/>
      <c r="X321" s="31" t="n"/>
      <c r="Y321" s="31" t="n"/>
    </row>
    <row r="322" ht="14.25" customHeight="1">
      <c r="A322" s="32" t="n"/>
      <c r="P322" s="31" t="n"/>
      <c r="Q322" s="31" t="n"/>
      <c r="R322" s="31" t="n"/>
      <c r="S322" s="31" t="n"/>
      <c r="T322" s="31" t="n"/>
      <c r="U322" s="31" t="n"/>
      <c r="V322" s="31" t="n"/>
      <c r="W322" s="31" t="n"/>
      <c r="X322" s="31" t="n"/>
      <c r="Y322" s="31" t="n"/>
    </row>
    <row r="323" ht="14.25" customHeight="1">
      <c r="A323" s="32" t="n"/>
      <c r="P323" s="31" t="n"/>
      <c r="Q323" s="31" t="n"/>
      <c r="R323" s="31" t="n"/>
      <c r="S323" s="31" t="n"/>
      <c r="T323" s="31" t="n"/>
      <c r="U323" s="31" t="n"/>
      <c r="V323" s="31" t="n"/>
      <c r="W323" s="31" t="n"/>
      <c r="X323" s="31" t="n"/>
      <c r="Y323" s="31" t="n"/>
    </row>
    <row r="324" ht="14.25" customHeight="1">
      <c r="A324" s="32" t="n"/>
      <c r="P324" s="31" t="n"/>
      <c r="Q324" s="31" t="n"/>
      <c r="R324" s="31" t="n"/>
      <c r="S324" s="31" t="n"/>
      <c r="T324" s="31" t="n"/>
      <c r="U324" s="31" t="n"/>
      <c r="V324" s="31" t="n"/>
      <c r="W324" s="31" t="n"/>
      <c r="X324" s="31" t="n"/>
      <c r="Y324" s="31" t="n"/>
    </row>
    <row r="325" ht="14.25" customHeight="1">
      <c r="A325" s="32" t="n"/>
      <c r="P325" s="31" t="n"/>
      <c r="Q325" s="31" t="n"/>
      <c r="R325" s="31" t="n"/>
      <c r="S325" s="31" t="n"/>
      <c r="T325" s="31" t="n"/>
      <c r="U325" s="31" t="n"/>
      <c r="V325" s="31" t="n"/>
      <c r="W325" s="31" t="n"/>
      <c r="X325" s="31" t="n"/>
      <c r="Y325" s="31" t="n"/>
    </row>
    <row r="326" ht="14.25" customHeight="1">
      <c r="A326" s="32" t="n"/>
      <c r="P326" s="31" t="n"/>
      <c r="Q326" s="31" t="n"/>
      <c r="R326" s="31" t="n"/>
      <c r="S326" s="31" t="n"/>
      <c r="T326" s="31" t="n"/>
      <c r="U326" s="31" t="n"/>
      <c r="V326" s="31" t="n"/>
      <c r="W326" s="31" t="n"/>
      <c r="X326" s="31" t="n"/>
      <c r="Y326" s="31" t="n"/>
    </row>
    <row r="327" ht="14.25" customHeight="1">
      <c r="A327" s="32" t="n"/>
      <c r="P327" s="31" t="n"/>
      <c r="Q327" s="31" t="n"/>
      <c r="R327" s="31" t="n"/>
      <c r="S327" s="31" t="n"/>
      <c r="T327" s="31" t="n"/>
      <c r="U327" s="31" t="n"/>
      <c r="V327" s="31" t="n"/>
      <c r="W327" s="31" t="n"/>
      <c r="X327" s="31" t="n"/>
      <c r="Y327" s="31" t="n"/>
    </row>
    <row r="328" ht="14.25" customHeight="1">
      <c r="A328" s="32" t="n"/>
      <c r="P328" s="31" t="n"/>
      <c r="Q328" s="31" t="n"/>
      <c r="R328" s="31" t="n"/>
      <c r="S328" s="31" t="n"/>
      <c r="T328" s="31" t="n"/>
      <c r="U328" s="31" t="n"/>
      <c r="V328" s="31" t="n"/>
      <c r="W328" s="31" t="n"/>
      <c r="X328" s="31" t="n"/>
      <c r="Y328" s="31" t="n"/>
    </row>
    <row r="329" ht="14.25" customHeight="1">
      <c r="A329" s="32" t="n"/>
      <c r="P329" s="31" t="n"/>
      <c r="Q329" s="31" t="n"/>
      <c r="R329" s="31" t="n"/>
      <c r="S329" s="31" t="n"/>
      <c r="T329" s="31" t="n"/>
      <c r="U329" s="31" t="n"/>
      <c r="V329" s="31" t="n"/>
      <c r="W329" s="31" t="n"/>
      <c r="X329" s="31" t="n"/>
      <c r="Y329" s="31" t="n"/>
    </row>
    <row r="330" ht="14.25" customHeight="1">
      <c r="A330" s="32" t="n"/>
      <c r="P330" s="31" t="n"/>
      <c r="Q330" s="31" t="n"/>
      <c r="R330" s="31" t="n"/>
      <c r="S330" s="31" t="n"/>
      <c r="T330" s="31" t="n"/>
      <c r="U330" s="31" t="n"/>
      <c r="V330" s="31" t="n"/>
      <c r="W330" s="31" t="n"/>
      <c r="X330" s="31" t="n"/>
      <c r="Y330" s="31" t="n"/>
    </row>
    <row r="331" ht="14.25" customHeight="1">
      <c r="A331" s="32" t="n"/>
      <c r="P331" s="31" t="n"/>
      <c r="Q331" s="31" t="n"/>
      <c r="R331" s="31" t="n"/>
      <c r="S331" s="31" t="n"/>
      <c r="T331" s="31" t="n"/>
      <c r="U331" s="31" t="n"/>
      <c r="V331" s="31" t="n"/>
      <c r="W331" s="31" t="n"/>
      <c r="X331" s="31" t="n"/>
      <c r="Y331" s="31" t="n"/>
    </row>
    <row r="332" ht="14.25" customHeight="1">
      <c r="A332" s="32" t="n"/>
      <c r="P332" s="31" t="n"/>
      <c r="Q332" s="31" t="n"/>
      <c r="R332" s="31" t="n"/>
      <c r="S332" s="31" t="n"/>
      <c r="T332" s="31" t="n"/>
      <c r="U332" s="31" t="n"/>
      <c r="V332" s="31" t="n"/>
      <c r="W332" s="31" t="n"/>
      <c r="X332" s="31" t="n"/>
      <c r="Y332" s="31" t="n"/>
    </row>
    <row r="333" ht="14.25" customHeight="1">
      <c r="A333" s="32" t="n"/>
      <c r="P333" s="31" t="n"/>
      <c r="Q333" s="31" t="n"/>
      <c r="R333" s="31" t="n"/>
      <c r="S333" s="31" t="n"/>
      <c r="T333" s="31" t="n"/>
      <c r="U333" s="31" t="n"/>
      <c r="V333" s="31" t="n"/>
      <c r="W333" s="31" t="n"/>
      <c r="X333" s="31" t="n"/>
      <c r="Y333" s="31" t="n"/>
    </row>
    <row r="334" ht="14.25" customHeight="1">
      <c r="A334" s="32" t="n"/>
      <c r="P334" s="31" t="n"/>
      <c r="Q334" s="31" t="n"/>
      <c r="R334" s="31" t="n"/>
      <c r="S334" s="31" t="n"/>
      <c r="T334" s="31" t="n"/>
      <c r="U334" s="31" t="n"/>
      <c r="V334" s="31" t="n"/>
      <c r="W334" s="31" t="n"/>
      <c r="X334" s="31" t="n"/>
      <c r="Y334" s="31" t="n"/>
    </row>
    <row r="335" ht="14.25" customHeight="1">
      <c r="A335" s="32" t="n"/>
      <c r="P335" s="31" t="n"/>
      <c r="Q335" s="31" t="n"/>
      <c r="R335" s="31" t="n"/>
      <c r="S335" s="31" t="n"/>
      <c r="T335" s="31" t="n"/>
      <c r="U335" s="31" t="n"/>
      <c r="V335" s="31" t="n"/>
      <c r="W335" s="31" t="n"/>
      <c r="X335" s="31" t="n"/>
      <c r="Y335" s="31" t="n"/>
    </row>
    <row r="336" ht="14.25" customHeight="1">
      <c r="A336" s="32" t="n"/>
      <c r="P336" s="31" t="n"/>
      <c r="Q336" s="31" t="n"/>
      <c r="R336" s="31" t="n"/>
      <c r="S336" s="31" t="n"/>
      <c r="T336" s="31" t="n"/>
      <c r="U336" s="31" t="n"/>
      <c r="V336" s="31" t="n"/>
      <c r="W336" s="31" t="n"/>
      <c r="X336" s="31" t="n"/>
      <c r="Y336" s="31" t="n"/>
    </row>
    <row r="337" ht="14.25" customHeight="1">
      <c r="A337" s="32" t="n"/>
      <c r="P337" s="31" t="n"/>
      <c r="Q337" s="31" t="n"/>
      <c r="R337" s="31" t="n"/>
      <c r="S337" s="31" t="n"/>
      <c r="T337" s="31" t="n"/>
      <c r="U337" s="31" t="n"/>
      <c r="V337" s="31" t="n"/>
      <c r="W337" s="31" t="n"/>
      <c r="X337" s="31" t="n"/>
      <c r="Y337" s="31" t="n"/>
    </row>
    <row r="338" ht="14.25" customHeight="1">
      <c r="A338" s="32" t="n"/>
      <c r="P338" s="31" t="n"/>
      <c r="Q338" s="31" t="n"/>
      <c r="R338" s="31" t="n"/>
      <c r="S338" s="31" t="n"/>
      <c r="T338" s="31" t="n"/>
      <c r="U338" s="31" t="n"/>
      <c r="V338" s="31" t="n"/>
      <c r="W338" s="31" t="n"/>
      <c r="X338" s="31" t="n"/>
      <c r="Y338" s="31" t="n"/>
    </row>
    <row r="339" ht="14.25" customHeight="1">
      <c r="A339" s="32" t="n"/>
      <c r="P339" s="31" t="n"/>
      <c r="Q339" s="31" t="n"/>
      <c r="R339" s="31" t="n"/>
      <c r="S339" s="31" t="n"/>
      <c r="T339" s="31" t="n"/>
      <c r="U339" s="31" t="n"/>
      <c r="V339" s="31" t="n"/>
      <c r="W339" s="31" t="n"/>
      <c r="X339" s="31" t="n"/>
      <c r="Y339" s="31" t="n"/>
    </row>
    <row r="340" ht="14.25" customHeight="1">
      <c r="A340" s="32" t="n"/>
      <c r="P340" s="31" t="n"/>
      <c r="Q340" s="31" t="n"/>
      <c r="R340" s="31" t="n"/>
      <c r="S340" s="31" t="n"/>
      <c r="T340" s="31" t="n"/>
      <c r="U340" s="31" t="n"/>
      <c r="V340" s="31" t="n"/>
      <c r="W340" s="31" t="n"/>
      <c r="X340" s="31" t="n"/>
      <c r="Y340" s="31" t="n"/>
    </row>
    <row r="341" ht="14.25" customHeight="1">
      <c r="A341" s="32" t="n"/>
      <c r="P341" s="31" t="n"/>
      <c r="Q341" s="31" t="n"/>
      <c r="R341" s="31" t="n"/>
      <c r="S341" s="31" t="n"/>
      <c r="T341" s="31" t="n"/>
      <c r="U341" s="31" t="n"/>
      <c r="V341" s="31" t="n"/>
      <c r="W341" s="31" t="n"/>
      <c r="X341" s="31" t="n"/>
      <c r="Y341" s="31" t="n"/>
    </row>
    <row r="342" ht="14.25" customHeight="1">
      <c r="A342" s="32" t="n"/>
      <c r="P342" s="31" t="n"/>
      <c r="Q342" s="31" t="n"/>
      <c r="R342" s="31" t="n"/>
      <c r="S342" s="31" t="n"/>
      <c r="T342" s="31" t="n"/>
      <c r="U342" s="31" t="n"/>
      <c r="V342" s="31" t="n"/>
      <c r="W342" s="31" t="n"/>
      <c r="X342" s="31" t="n"/>
      <c r="Y342" s="31" t="n"/>
    </row>
    <row r="343" ht="14.25" customHeight="1">
      <c r="A343" s="32" t="n"/>
      <c r="P343" s="31" t="n"/>
      <c r="Q343" s="31" t="n"/>
      <c r="R343" s="31" t="n"/>
      <c r="S343" s="31" t="n"/>
      <c r="T343" s="31" t="n"/>
      <c r="U343" s="31" t="n"/>
      <c r="V343" s="31" t="n"/>
      <c r="W343" s="31" t="n"/>
      <c r="X343" s="31" t="n"/>
      <c r="Y343" s="31" t="n"/>
    </row>
    <row r="344" ht="14.25" customHeight="1">
      <c r="A344" s="32" t="n"/>
      <c r="P344" s="31" t="n"/>
      <c r="Q344" s="31" t="n"/>
      <c r="R344" s="31" t="n"/>
      <c r="S344" s="31" t="n"/>
      <c r="T344" s="31" t="n"/>
      <c r="U344" s="31" t="n"/>
      <c r="V344" s="31" t="n"/>
      <c r="W344" s="31" t="n"/>
      <c r="X344" s="31" t="n"/>
      <c r="Y344" s="31" t="n"/>
    </row>
    <row r="345" ht="14.25" customHeight="1">
      <c r="A345" s="32" t="n"/>
      <c r="P345" s="31" t="n"/>
      <c r="Q345" s="31" t="n"/>
      <c r="R345" s="31" t="n"/>
      <c r="S345" s="31" t="n"/>
      <c r="T345" s="31" t="n"/>
      <c r="U345" s="31" t="n"/>
      <c r="V345" s="31" t="n"/>
      <c r="W345" s="31" t="n"/>
      <c r="X345" s="31" t="n"/>
      <c r="Y345" s="31" t="n"/>
    </row>
    <row r="346" ht="14.25" customHeight="1">
      <c r="A346" s="32" t="n"/>
      <c r="P346" s="31" t="n"/>
      <c r="Q346" s="31" t="n"/>
      <c r="R346" s="31" t="n"/>
      <c r="S346" s="31" t="n"/>
      <c r="T346" s="31" t="n"/>
      <c r="U346" s="31" t="n"/>
      <c r="V346" s="31" t="n"/>
      <c r="W346" s="31" t="n"/>
      <c r="X346" s="31" t="n"/>
      <c r="Y346" s="31" t="n"/>
    </row>
    <row r="347" ht="14.25" customHeight="1">
      <c r="A347" s="32" t="n"/>
      <c r="P347" s="31" t="n"/>
      <c r="Q347" s="31" t="n"/>
      <c r="R347" s="31" t="n"/>
      <c r="S347" s="31" t="n"/>
      <c r="T347" s="31" t="n"/>
      <c r="U347" s="31" t="n"/>
      <c r="V347" s="31" t="n"/>
      <c r="W347" s="31" t="n"/>
      <c r="X347" s="31" t="n"/>
      <c r="Y347" s="31" t="n"/>
    </row>
    <row r="348" ht="14.25" customHeight="1">
      <c r="A348" s="32" t="n"/>
      <c r="P348" s="31" t="n"/>
      <c r="Q348" s="31" t="n"/>
      <c r="R348" s="31" t="n"/>
      <c r="S348" s="31" t="n"/>
      <c r="T348" s="31" t="n"/>
      <c r="U348" s="31" t="n"/>
      <c r="V348" s="31" t="n"/>
      <c r="W348" s="31" t="n"/>
      <c r="X348" s="31" t="n"/>
      <c r="Y348" s="31" t="n"/>
    </row>
    <row r="349" ht="14.25" customHeight="1">
      <c r="A349" s="32" t="n"/>
      <c r="P349" s="31" t="n"/>
      <c r="Q349" s="31" t="n"/>
      <c r="R349" s="31" t="n"/>
      <c r="S349" s="31" t="n"/>
      <c r="T349" s="31" t="n"/>
      <c r="U349" s="31" t="n"/>
      <c r="V349" s="31" t="n"/>
      <c r="W349" s="31" t="n"/>
      <c r="X349" s="31" t="n"/>
      <c r="Y349" s="31" t="n"/>
    </row>
    <row r="350" ht="14.25" customHeight="1">
      <c r="A350" s="32" t="n"/>
      <c r="P350" s="31" t="n"/>
      <c r="Q350" s="31" t="n"/>
      <c r="R350" s="31" t="n"/>
      <c r="S350" s="31" t="n"/>
      <c r="T350" s="31" t="n"/>
      <c r="U350" s="31" t="n"/>
      <c r="V350" s="31" t="n"/>
      <c r="W350" s="31" t="n"/>
      <c r="X350" s="31" t="n"/>
      <c r="Y350" s="31" t="n"/>
    </row>
    <row r="351" ht="14.25" customHeight="1">
      <c r="A351" s="32" t="n"/>
      <c r="P351" s="31" t="n"/>
      <c r="Q351" s="31" t="n"/>
      <c r="R351" s="31" t="n"/>
      <c r="S351" s="31" t="n"/>
      <c r="T351" s="31" t="n"/>
      <c r="U351" s="31" t="n"/>
      <c r="V351" s="31" t="n"/>
      <c r="W351" s="31" t="n"/>
      <c r="X351" s="31" t="n"/>
      <c r="Y351" s="31" t="n"/>
    </row>
    <row r="352" ht="14.25" customHeight="1">
      <c r="A352" s="32" t="n"/>
      <c r="P352" s="31" t="n"/>
      <c r="Q352" s="31" t="n"/>
      <c r="R352" s="31" t="n"/>
      <c r="S352" s="31" t="n"/>
      <c r="T352" s="31" t="n"/>
      <c r="U352" s="31" t="n"/>
      <c r="V352" s="31" t="n"/>
      <c r="W352" s="31" t="n"/>
      <c r="X352" s="31" t="n"/>
      <c r="Y352" s="31" t="n"/>
    </row>
    <row r="353" ht="14.25" customHeight="1">
      <c r="A353" s="32" t="n"/>
      <c r="P353" s="31" t="n"/>
      <c r="Q353" s="31" t="n"/>
      <c r="R353" s="31" t="n"/>
      <c r="S353" s="31" t="n"/>
      <c r="T353" s="31" t="n"/>
      <c r="U353" s="31" t="n"/>
      <c r="V353" s="31" t="n"/>
      <c r="W353" s="31" t="n"/>
      <c r="X353" s="31" t="n"/>
      <c r="Y353" s="31" t="n"/>
    </row>
    <row r="354" ht="14.25" customHeight="1">
      <c r="A354" s="32" t="n"/>
      <c r="P354" s="31" t="n"/>
      <c r="Q354" s="31" t="n"/>
      <c r="R354" s="31" t="n"/>
      <c r="S354" s="31" t="n"/>
      <c r="T354" s="31" t="n"/>
      <c r="U354" s="31" t="n"/>
      <c r="V354" s="31" t="n"/>
      <c r="W354" s="31" t="n"/>
      <c r="X354" s="31" t="n"/>
      <c r="Y354" s="31" t="n"/>
    </row>
    <row r="355" ht="14.25" customHeight="1">
      <c r="A355" s="32" t="n"/>
      <c r="P355" s="31" t="n"/>
      <c r="Q355" s="31" t="n"/>
      <c r="R355" s="31" t="n"/>
      <c r="S355" s="31" t="n"/>
      <c r="T355" s="31" t="n"/>
      <c r="U355" s="31" t="n"/>
      <c r="V355" s="31" t="n"/>
      <c r="W355" s="31" t="n"/>
      <c r="X355" s="31" t="n"/>
      <c r="Y355" s="31" t="n"/>
    </row>
    <row r="356" ht="14.25" customHeight="1">
      <c r="A356" s="32" t="n"/>
      <c r="P356" s="31" t="n"/>
      <c r="Q356" s="31" t="n"/>
      <c r="R356" s="31" t="n"/>
      <c r="S356" s="31" t="n"/>
      <c r="T356" s="31" t="n"/>
      <c r="U356" s="31" t="n"/>
      <c r="V356" s="31" t="n"/>
      <c r="W356" s="31" t="n"/>
      <c r="X356" s="31" t="n"/>
      <c r="Y356" s="31" t="n"/>
    </row>
    <row r="357" ht="14.25" customHeight="1">
      <c r="A357" s="32" t="n"/>
      <c r="P357" s="31" t="n"/>
      <c r="Q357" s="31" t="n"/>
      <c r="R357" s="31" t="n"/>
      <c r="S357" s="31" t="n"/>
      <c r="T357" s="31" t="n"/>
      <c r="U357" s="31" t="n"/>
      <c r="V357" s="31" t="n"/>
      <c r="W357" s="31" t="n"/>
      <c r="X357" s="31" t="n"/>
      <c r="Y357" s="31" t="n"/>
    </row>
    <row r="358" ht="14.25" customHeight="1">
      <c r="A358" s="32" t="n"/>
      <c r="P358" s="31" t="n"/>
      <c r="Q358" s="31" t="n"/>
      <c r="R358" s="31" t="n"/>
      <c r="S358" s="31" t="n"/>
      <c r="T358" s="31" t="n"/>
      <c r="U358" s="31" t="n"/>
      <c r="V358" s="31" t="n"/>
      <c r="W358" s="31" t="n"/>
      <c r="X358" s="31" t="n"/>
      <c r="Y358" s="31" t="n"/>
    </row>
    <row r="359" ht="14.25" customHeight="1">
      <c r="A359" s="32" t="n"/>
      <c r="P359" s="31" t="n"/>
      <c r="Q359" s="31" t="n"/>
      <c r="R359" s="31" t="n"/>
      <c r="S359" s="31" t="n"/>
      <c r="T359" s="31" t="n"/>
      <c r="U359" s="31" t="n"/>
      <c r="V359" s="31" t="n"/>
      <c r="W359" s="31" t="n"/>
      <c r="X359" s="31" t="n"/>
      <c r="Y359" s="31" t="n"/>
    </row>
    <row r="360" ht="14.25" customHeight="1">
      <c r="A360" s="32" t="n"/>
      <c r="P360" s="31" t="n"/>
      <c r="Q360" s="31" t="n"/>
      <c r="R360" s="31" t="n"/>
      <c r="S360" s="31" t="n"/>
      <c r="T360" s="31" t="n"/>
      <c r="U360" s="31" t="n"/>
      <c r="V360" s="31" t="n"/>
      <c r="W360" s="31" t="n"/>
      <c r="X360" s="31" t="n"/>
      <c r="Y360" s="31" t="n"/>
    </row>
    <row r="361" ht="14.25" customHeight="1">
      <c r="A361" s="32" t="n"/>
      <c r="P361" s="31" t="n"/>
      <c r="Q361" s="31" t="n"/>
      <c r="R361" s="31" t="n"/>
      <c r="S361" s="31" t="n"/>
      <c r="T361" s="31" t="n"/>
      <c r="U361" s="31" t="n"/>
      <c r="V361" s="31" t="n"/>
      <c r="W361" s="31" t="n"/>
      <c r="X361" s="31" t="n"/>
      <c r="Y361" s="31" t="n"/>
    </row>
    <row r="362" ht="14.25" customHeight="1">
      <c r="A362" s="32" t="n"/>
      <c r="P362" s="31" t="n"/>
      <c r="Q362" s="31" t="n"/>
      <c r="R362" s="31" t="n"/>
      <c r="S362" s="31" t="n"/>
      <c r="T362" s="31" t="n"/>
      <c r="U362" s="31" t="n"/>
      <c r="V362" s="31" t="n"/>
      <c r="W362" s="31" t="n"/>
      <c r="X362" s="31" t="n"/>
      <c r="Y362" s="31" t="n"/>
    </row>
    <row r="363" ht="14.25" customHeight="1">
      <c r="A363" s="32" t="n"/>
      <c r="P363" s="31" t="n"/>
      <c r="Q363" s="31" t="n"/>
      <c r="R363" s="31" t="n"/>
      <c r="S363" s="31" t="n"/>
      <c r="T363" s="31" t="n"/>
      <c r="U363" s="31" t="n"/>
      <c r="V363" s="31" t="n"/>
      <c r="W363" s="31" t="n"/>
      <c r="X363" s="31" t="n"/>
      <c r="Y363" s="31" t="n"/>
    </row>
    <row r="364" ht="14.25" customHeight="1">
      <c r="A364" s="32" t="n"/>
      <c r="P364" s="31" t="n"/>
      <c r="Q364" s="31" t="n"/>
      <c r="R364" s="31" t="n"/>
      <c r="S364" s="31" t="n"/>
      <c r="T364" s="31" t="n"/>
      <c r="U364" s="31" t="n"/>
      <c r="V364" s="31" t="n"/>
      <c r="W364" s="31" t="n"/>
      <c r="X364" s="31" t="n"/>
      <c r="Y364" s="31" t="n"/>
    </row>
    <row r="365" ht="14.25" customHeight="1">
      <c r="A365" s="32" t="n"/>
      <c r="P365" s="31" t="n"/>
      <c r="Q365" s="31" t="n"/>
      <c r="R365" s="31" t="n"/>
      <c r="S365" s="31" t="n"/>
      <c r="T365" s="31" t="n"/>
      <c r="U365" s="31" t="n"/>
      <c r="V365" s="31" t="n"/>
      <c r="W365" s="31" t="n"/>
      <c r="X365" s="31" t="n"/>
      <c r="Y365" s="31" t="n"/>
    </row>
    <row r="366" ht="14.25" customHeight="1">
      <c r="A366" s="32" t="n"/>
      <c r="P366" s="31" t="n"/>
      <c r="Q366" s="31" t="n"/>
      <c r="R366" s="31" t="n"/>
      <c r="S366" s="31" t="n"/>
      <c r="T366" s="31" t="n"/>
      <c r="U366" s="31" t="n"/>
      <c r="V366" s="31" t="n"/>
      <c r="W366" s="31" t="n"/>
      <c r="X366" s="31" t="n"/>
      <c r="Y366" s="31" t="n"/>
    </row>
    <row r="367" ht="14.25" customHeight="1">
      <c r="A367" s="32" t="n"/>
      <c r="P367" s="31" t="n"/>
      <c r="Q367" s="31" t="n"/>
      <c r="R367" s="31" t="n"/>
      <c r="S367" s="31" t="n"/>
      <c r="T367" s="31" t="n"/>
      <c r="U367" s="31" t="n"/>
      <c r="V367" s="31" t="n"/>
      <c r="W367" s="31" t="n"/>
      <c r="X367" s="31" t="n"/>
      <c r="Y367" s="31" t="n"/>
    </row>
    <row r="368" ht="14.25" customHeight="1">
      <c r="A368" s="32" t="n"/>
      <c r="P368" s="31" t="n"/>
      <c r="Q368" s="31" t="n"/>
      <c r="R368" s="31" t="n"/>
      <c r="S368" s="31" t="n"/>
      <c r="T368" s="31" t="n"/>
      <c r="U368" s="31" t="n"/>
      <c r="V368" s="31" t="n"/>
      <c r="W368" s="31" t="n"/>
      <c r="X368" s="31" t="n"/>
      <c r="Y368" s="31" t="n"/>
    </row>
    <row r="369" ht="14.25" customHeight="1">
      <c r="A369" s="32" t="n"/>
      <c r="P369" s="31" t="n"/>
      <c r="Q369" s="31" t="n"/>
      <c r="R369" s="31" t="n"/>
      <c r="S369" s="31" t="n"/>
      <c r="T369" s="31" t="n"/>
      <c r="U369" s="31" t="n"/>
      <c r="V369" s="31" t="n"/>
      <c r="W369" s="31" t="n"/>
      <c r="X369" s="31" t="n"/>
      <c r="Y369" s="31" t="n"/>
    </row>
    <row r="370" ht="14.25" customHeight="1">
      <c r="A370" s="32" t="n"/>
      <c r="P370" s="31" t="n"/>
      <c r="Q370" s="31" t="n"/>
      <c r="R370" s="31" t="n"/>
      <c r="S370" s="31" t="n"/>
      <c r="T370" s="31" t="n"/>
      <c r="U370" s="31" t="n"/>
      <c r="V370" s="31" t="n"/>
      <c r="W370" s="31" t="n"/>
      <c r="X370" s="31" t="n"/>
      <c r="Y370" s="31" t="n"/>
    </row>
    <row r="371" ht="14.25" customHeight="1">
      <c r="A371" s="32" t="n"/>
      <c r="P371" s="31" t="n"/>
      <c r="Q371" s="31" t="n"/>
      <c r="R371" s="31" t="n"/>
      <c r="S371" s="31" t="n"/>
      <c r="T371" s="31" t="n"/>
      <c r="U371" s="31" t="n"/>
      <c r="V371" s="31" t="n"/>
      <c r="W371" s="31" t="n"/>
      <c r="X371" s="31" t="n"/>
      <c r="Y371" s="31" t="n"/>
    </row>
    <row r="372" ht="14.25" customHeight="1">
      <c r="A372" s="32" t="n"/>
      <c r="P372" s="31" t="n"/>
      <c r="Q372" s="31" t="n"/>
      <c r="R372" s="31" t="n"/>
      <c r="S372" s="31" t="n"/>
      <c r="T372" s="31" t="n"/>
      <c r="U372" s="31" t="n"/>
      <c r="V372" s="31" t="n"/>
      <c r="W372" s="31" t="n"/>
      <c r="X372" s="31" t="n"/>
      <c r="Y372" s="31" t="n"/>
    </row>
    <row r="373" ht="14.25" customHeight="1">
      <c r="A373" s="32" t="n"/>
      <c r="P373" s="31" t="n"/>
      <c r="Q373" s="31" t="n"/>
      <c r="R373" s="31" t="n"/>
      <c r="S373" s="31" t="n"/>
      <c r="T373" s="31" t="n"/>
      <c r="U373" s="31" t="n"/>
      <c r="V373" s="31" t="n"/>
      <c r="W373" s="31" t="n"/>
      <c r="X373" s="31" t="n"/>
      <c r="Y373" s="31" t="n"/>
    </row>
    <row r="374" ht="14.25" customHeight="1">
      <c r="A374" s="32" t="n"/>
      <c r="P374" s="31" t="n"/>
      <c r="Q374" s="31" t="n"/>
      <c r="R374" s="31" t="n"/>
      <c r="S374" s="31" t="n"/>
      <c r="T374" s="31" t="n"/>
      <c r="U374" s="31" t="n"/>
      <c r="V374" s="31" t="n"/>
      <c r="W374" s="31" t="n"/>
      <c r="X374" s="31" t="n"/>
      <c r="Y374" s="31" t="n"/>
    </row>
    <row r="375" ht="14.25" customHeight="1">
      <c r="A375" s="32" t="n"/>
      <c r="P375" s="31" t="n"/>
      <c r="Q375" s="31" t="n"/>
      <c r="R375" s="31" t="n"/>
      <c r="S375" s="31" t="n"/>
      <c r="T375" s="31" t="n"/>
      <c r="U375" s="31" t="n"/>
      <c r="V375" s="31" t="n"/>
      <c r="W375" s="31" t="n"/>
      <c r="X375" s="31" t="n"/>
      <c r="Y375" s="31" t="n"/>
    </row>
    <row r="376" ht="14.25" customHeight="1">
      <c r="A376" s="32" t="n"/>
      <c r="P376" s="31" t="n"/>
      <c r="Q376" s="31" t="n"/>
      <c r="R376" s="31" t="n"/>
      <c r="S376" s="31" t="n"/>
      <c r="T376" s="31" t="n"/>
      <c r="U376" s="31" t="n"/>
      <c r="V376" s="31" t="n"/>
      <c r="W376" s="31" t="n"/>
      <c r="X376" s="31" t="n"/>
      <c r="Y376" s="31" t="n"/>
    </row>
    <row r="377" ht="14.25" customHeight="1">
      <c r="A377" s="32" t="n"/>
      <c r="P377" s="31" t="n"/>
      <c r="Q377" s="31" t="n"/>
      <c r="R377" s="31" t="n"/>
      <c r="S377" s="31" t="n"/>
      <c r="T377" s="31" t="n"/>
      <c r="U377" s="31" t="n"/>
      <c r="V377" s="31" t="n"/>
      <c r="W377" s="31" t="n"/>
      <c r="X377" s="31" t="n"/>
      <c r="Y377" s="31" t="n"/>
    </row>
    <row r="378" ht="14.25" customHeight="1">
      <c r="A378" s="32" t="n"/>
      <c r="P378" s="31" t="n"/>
      <c r="Q378" s="31" t="n"/>
      <c r="R378" s="31" t="n"/>
      <c r="S378" s="31" t="n"/>
      <c r="T378" s="31" t="n"/>
      <c r="U378" s="31" t="n"/>
      <c r="V378" s="31" t="n"/>
      <c r="W378" s="31" t="n"/>
      <c r="X378" s="31" t="n"/>
      <c r="Y378" s="31" t="n"/>
    </row>
    <row r="379" ht="14.25" customHeight="1">
      <c r="A379" s="32" t="n"/>
      <c r="P379" s="31" t="n"/>
      <c r="Q379" s="31" t="n"/>
      <c r="R379" s="31" t="n"/>
      <c r="S379" s="31" t="n"/>
      <c r="T379" s="31" t="n"/>
      <c r="U379" s="31" t="n"/>
      <c r="V379" s="31" t="n"/>
      <c r="W379" s="31" t="n"/>
      <c r="X379" s="31" t="n"/>
      <c r="Y379" s="31" t="n"/>
    </row>
    <row r="380" ht="14.25" customHeight="1">
      <c r="A380" s="32" t="n"/>
      <c r="P380" s="31" t="n"/>
      <c r="Q380" s="31" t="n"/>
      <c r="R380" s="31" t="n"/>
      <c r="S380" s="31" t="n"/>
      <c r="T380" s="31" t="n"/>
      <c r="U380" s="31" t="n"/>
      <c r="V380" s="31" t="n"/>
      <c r="W380" s="31" t="n"/>
      <c r="X380" s="31" t="n"/>
      <c r="Y380" s="31" t="n"/>
    </row>
    <row r="381" ht="14.25" customHeight="1">
      <c r="A381" s="32" t="n"/>
      <c r="P381" s="31" t="n"/>
      <c r="Q381" s="31" t="n"/>
      <c r="R381" s="31" t="n"/>
      <c r="S381" s="31" t="n"/>
      <c r="T381" s="31" t="n"/>
      <c r="U381" s="31" t="n"/>
      <c r="V381" s="31" t="n"/>
      <c r="W381" s="31" t="n"/>
      <c r="X381" s="31" t="n"/>
      <c r="Y381" s="31" t="n"/>
    </row>
    <row r="382" ht="14.25" customHeight="1">
      <c r="A382" s="32" t="n"/>
      <c r="P382" s="31" t="n"/>
      <c r="Q382" s="31" t="n"/>
      <c r="R382" s="31" t="n"/>
      <c r="S382" s="31" t="n"/>
      <c r="T382" s="31" t="n"/>
      <c r="U382" s="31" t="n"/>
      <c r="V382" s="31" t="n"/>
      <c r="W382" s="31" t="n"/>
      <c r="X382" s="31" t="n"/>
      <c r="Y382" s="31" t="n"/>
    </row>
    <row r="383" ht="14.25" customHeight="1">
      <c r="A383" s="32" t="n"/>
      <c r="P383" s="31" t="n"/>
      <c r="Q383" s="31" t="n"/>
      <c r="R383" s="31" t="n"/>
      <c r="S383" s="31" t="n"/>
      <c r="T383" s="31" t="n"/>
      <c r="U383" s="31" t="n"/>
      <c r="V383" s="31" t="n"/>
      <c r="W383" s="31" t="n"/>
      <c r="X383" s="31" t="n"/>
      <c r="Y383" s="31" t="n"/>
    </row>
    <row r="384" ht="14.25" customHeight="1">
      <c r="A384" s="32" t="n"/>
      <c r="P384" s="31" t="n"/>
      <c r="Q384" s="31" t="n"/>
      <c r="R384" s="31" t="n"/>
      <c r="S384" s="31" t="n"/>
      <c r="T384" s="31" t="n"/>
      <c r="U384" s="31" t="n"/>
      <c r="V384" s="31" t="n"/>
      <c r="W384" s="31" t="n"/>
      <c r="X384" s="31" t="n"/>
      <c r="Y384" s="31" t="n"/>
    </row>
    <row r="385" ht="14.25" customHeight="1">
      <c r="A385" s="32" t="n"/>
      <c r="P385" s="31" t="n"/>
      <c r="Q385" s="31" t="n"/>
      <c r="R385" s="31" t="n"/>
      <c r="S385" s="31" t="n"/>
      <c r="T385" s="31" t="n"/>
      <c r="U385" s="31" t="n"/>
      <c r="V385" s="31" t="n"/>
      <c r="W385" s="31" t="n"/>
      <c r="X385" s="31" t="n"/>
      <c r="Y385" s="31" t="n"/>
    </row>
    <row r="386" ht="14.25" customHeight="1">
      <c r="A386" s="32" t="n"/>
      <c r="P386" s="31" t="n"/>
      <c r="Q386" s="31" t="n"/>
      <c r="R386" s="31" t="n"/>
      <c r="S386" s="31" t="n"/>
      <c r="T386" s="31" t="n"/>
      <c r="U386" s="31" t="n"/>
      <c r="V386" s="31" t="n"/>
      <c r="W386" s="31" t="n"/>
      <c r="X386" s="31" t="n"/>
      <c r="Y386" s="31" t="n"/>
    </row>
    <row r="387" ht="14.25" customHeight="1">
      <c r="A387" s="32" t="n"/>
      <c r="P387" s="31" t="n"/>
      <c r="Q387" s="31" t="n"/>
      <c r="R387" s="31" t="n"/>
      <c r="S387" s="31" t="n"/>
      <c r="T387" s="31" t="n"/>
      <c r="U387" s="31" t="n"/>
      <c r="V387" s="31" t="n"/>
      <c r="W387" s="31" t="n"/>
      <c r="X387" s="31" t="n"/>
      <c r="Y387" s="31" t="n"/>
    </row>
    <row r="388" ht="14.25" customHeight="1">
      <c r="A388" s="32" t="n"/>
      <c r="P388" s="31" t="n"/>
      <c r="Q388" s="31" t="n"/>
      <c r="R388" s="31" t="n"/>
      <c r="S388" s="31" t="n"/>
      <c r="T388" s="31" t="n"/>
      <c r="U388" s="31" t="n"/>
      <c r="V388" s="31" t="n"/>
      <c r="W388" s="31" t="n"/>
      <c r="X388" s="31" t="n"/>
      <c r="Y388" s="31" t="n"/>
    </row>
    <row r="389" ht="14.25" customHeight="1">
      <c r="A389" s="32" t="n"/>
      <c r="P389" s="31" t="n"/>
      <c r="Q389" s="31" t="n"/>
      <c r="R389" s="31" t="n"/>
      <c r="S389" s="31" t="n"/>
      <c r="T389" s="31" t="n"/>
      <c r="U389" s="31" t="n"/>
      <c r="V389" s="31" t="n"/>
      <c r="W389" s="31" t="n"/>
      <c r="X389" s="31" t="n"/>
      <c r="Y389" s="31" t="n"/>
    </row>
    <row r="390" ht="14.25" customHeight="1">
      <c r="A390" s="32" t="n"/>
      <c r="P390" s="31" t="n"/>
      <c r="Q390" s="31" t="n"/>
      <c r="R390" s="31" t="n"/>
      <c r="S390" s="31" t="n"/>
      <c r="T390" s="31" t="n"/>
      <c r="U390" s="31" t="n"/>
      <c r="V390" s="31" t="n"/>
      <c r="W390" s="31" t="n"/>
      <c r="X390" s="31" t="n"/>
      <c r="Y390" s="31" t="n"/>
    </row>
    <row r="391" ht="14.25" customHeight="1">
      <c r="A391" s="32" t="n"/>
      <c r="P391" s="31" t="n"/>
      <c r="Q391" s="31" t="n"/>
      <c r="R391" s="31" t="n"/>
      <c r="S391" s="31" t="n"/>
      <c r="T391" s="31" t="n"/>
      <c r="U391" s="31" t="n"/>
      <c r="V391" s="31" t="n"/>
      <c r="W391" s="31" t="n"/>
      <c r="X391" s="31" t="n"/>
      <c r="Y391" s="31" t="n"/>
    </row>
    <row r="392" ht="14.25" customHeight="1">
      <c r="A392" s="32" t="n"/>
      <c r="P392" s="31" t="n"/>
      <c r="Q392" s="31" t="n"/>
      <c r="R392" s="31" t="n"/>
      <c r="S392" s="31" t="n"/>
      <c r="T392" s="31" t="n"/>
      <c r="U392" s="31" t="n"/>
      <c r="V392" s="31" t="n"/>
      <c r="W392" s="31" t="n"/>
      <c r="X392" s="31" t="n"/>
      <c r="Y392" s="31" t="n"/>
    </row>
    <row r="393" ht="14.25" customHeight="1">
      <c r="A393" s="32" t="n"/>
      <c r="P393" s="31" t="n"/>
      <c r="Q393" s="31" t="n"/>
      <c r="R393" s="31" t="n"/>
      <c r="S393" s="31" t="n"/>
      <c r="T393" s="31" t="n"/>
      <c r="U393" s="31" t="n"/>
      <c r="V393" s="31" t="n"/>
      <c r="W393" s="31" t="n"/>
      <c r="X393" s="31" t="n"/>
      <c r="Y393" s="31" t="n"/>
    </row>
    <row r="394" ht="14.25" customHeight="1">
      <c r="A394" s="32" t="n"/>
      <c r="P394" s="31" t="n"/>
      <c r="Q394" s="31" t="n"/>
      <c r="R394" s="31" t="n"/>
      <c r="S394" s="31" t="n"/>
      <c r="T394" s="31" t="n"/>
      <c r="U394" s="31" t="n"/>
      <c r="V394" s="31" t="n"/>
      <c r="W394" s="31" t="n"/>
      <c r="X394" s="31" t="n"/>
      <c r="Y394" s="31" t="n"/>
    </row>
    <row r="395" ht="14.25" customHeight="1">
      <c r="A395" s="32" t="n"/>
      <c r="P395" s="31" t="n"/>
      <c r="Q395" s="31" t="n"/>
      <c r="R395" s="31" t="n"/>
      <c r="S395" s="31" t="n"/>
      <c r="T395" s="31" t="n"/>
      <c r="U395" s="31" t="n"/>
      <c r="V395" s="31" t="n"/>
      <c r="W395" s="31" t="n"/>
      <c r="X395" s="31" t="n"/>
      <c r="Y395" s="31" t="n"/>
    </row>
    <row r="396" ht="14.25" customHeight="1">
      <c r="A396" s="32" t="n"/>
      <c r="P396" s="31" t="n"/>
      <c r="Q396" s="31" t="n"/>
      <c r="R396" s="31" t="n"/>
      <c r="S396" s="31" t="n"/>
      <c r="T396" s="31" t="n"/>
      <c r="U396" s="31" t="n"/>
      <c r="V396" s="31" t="n"/>
      <c r="W396" s="31" t="n"/>
      <c r="X396" s="31" t="n"/>
      <c r="Y396" s="31" t="n"/>
    </row>
    <row r="397" ht="14.25" customHeight="1">
      <c r="A397" s="32" t="n"/>
      <c r="P397" s="31" t="n"/>
      <c r="Q397" s="31" t="n"/>
      <c r="R397" s="31" t="n"/>
      <c r="S397" s="31" t="n"/>
      <c r="T397" s="31" t="n"/>
      <c r="U397" s="31" t="n"/>
      <c r="V397" s="31" t="n"/>
      <c r="W397" s="31" t="n"/>
      <c r="X397" s="31" t="n"/>
      <c r="Y397" s="31" t="n"/>
    </row>
    <row r="398" ht="14.25" customHeight="1">
      <c r="A398" s="32" t="n"/>
      <c r="P398" s="31" t="n"/>
      <c r="Q398" s="31" t="n"/>
      <c r="R398" s="31" t="n"/>
      <c r="S398" s="31" t="n"/>
      <c r="T398" s="31" t="n"/>
      <c r="U398" s="31" t="n"/>
      <c r="V398" s="31" t="n"/>
      <c r="W398" s="31" t="n"/>
      <c r="X398" s="31" t="n"/>
      <c r="Y398" s="31" t="n"/>
    </row>
    <row r="399" ht="14.25" customHeight="1">
      <c r="A399" s="32" t="n"/>
      <c r="P399" s="31" t="n"/>
      <c r="Q399" s="31" t="n"/>
      <c r="R399" s="31" t="n"/>
      <c r="S399" s="31" t="n"/>
      <c r="T399" s="31" t="n"/>
      <c r="U399" s="31" t="n"/>
      <c r="V399" s="31" t="n"/>
      <c r="W399" s="31" t="n"/>
      <c r="X399" s="31" t="n"/>
      <c r="Y399" s="31" t="n"/>
    </row>
    <row r="400" ht="14.25" customHeight="1">
      <c r="A400" s="32" t="n"/>
      <c r="P400" s="31" t="n"/>
      <c r="Q400" s="31" t="n"/>
      <c r="R400" s="31" t="n"/>
      <c r="S400" s="31" t="n"/>
      <c r="T400" s="31" t="n"/>
      <c r="U400" s="31" t="n"/>
      <c r="V400" s="31" t="n"/>
      <c r="W400" s="31" t="n"/>
      <c r="X400" s="31" t="n"/>
      <c r="Y400" s="31" t="n"/>
    </row>
    <row r="401" ht="14.25" customHeight="1">
      <c r="A401" s="32" t="n"/>
      <c r="P401" s="31" t="n"/>
      <c r="Q401" s="31" t="n"/>
      <c r="R401" s="31" t="n"/>
      <c r="S401" s="31" t="n"/>
      <c r="T401" s="31" t="n"/>
      <c r="U401" s="31" t="n"/>
      <c r="V401" s="31" t="n"/>
      <c r="W401" s="31" t="n"/>
      <c r="X401" s="31" t="n"/>
      <c r="Y401" s="31" t="n"/>
    </row>
    <row r="402" ht="14.25" customHeight="1">
      <c r="A402" s="32" t="n"/>
      <c r="P402" s="31" t="n"/>
      <c r="Q402" s="31" t="n"/>
      <c r="R402" s="31" t="n"/>
      <c r="S402" s="31" t="n"/>
      <c r="T402" s="31" t="n"/>
      <c r="U402" s="31" t="n"/>
      <c r="V402" s="31" t="n"/>
      <c r="W402" s="31" t="n"/>
      <c r="X402" s="31" t="n"/>
      <c r="Y402" s="31" t="n"/>
    </row>
    <row r="403" ht="14.25" customHeight="1">
      <c r="A403" s="32" t="n"/>
      <c r="P403" s="31" t="n"/>
      <c r="Q403" s="31" t="n"/>
      <c r="R403" s="31" t="n"/>
      <c r="S403" s="31" t="n"/>
      <c r="T403" s="31" t="n"/>
      <c r="U403" s="31" t="n"/>
      <c r="V403" s="31" t="n"/>
      <c r="W403" s="31" t="n"/>
      <c r="X403" s="31" t="n"/>
      <c r="Y403" s="31" t="n"/>
    </row>
    <row r="404" ht="14.25" customHeight="1">
      <c r="A404" s="32" t="n"/>
      <c r="P404" s="31" t="n"/>
      <c r="Q404" s="31" t="n"/>
      <c r="R404" s="31" t="n"/>
      <c r="S404" s="31" t="n"/>
      <c r="T404" s="31" t="n"/>
      <c r="U404" s="31" t="n"/>
      <c r="V404" s="31" t="n"/>
      <c r="W404" s="31" t="n"/>
      <c r="X404" s="31" t="n"/>
      <c r="Y404" s="31" t="n"/>
    </row>
    <row r="405" ht="14.25" customHeight="1">
      <c r="A405" s="32" t="n"/>
      <c r="P405" s="31" t="n"/>
      <c r="Q405" s="31" t="n"/>
      <c r="R405" s="31" t="n"/>
      <c r="S405" s="31" t="n"/>
      <c r="T405" s="31" t="n"/>
      <c r="U405" s="31" t="n"/>
      <c r="V405" s="31" t="n"/>
      <c r="W405" s="31" t="n"/>
      <c r="X405" s="31" t="n"/>
      <c r="Y405" s="31" t="n"/>
    </row>
    <row r="406" ht="14.25" customHeight="1">
      <c r="A406" s="32" t="n"/>
      <c r="P406" s="31" t="n"/>
      <c r="Q406" s="31" t="n"/>
      <c r="R406" s="31" t="n"/>
      <c r="S406" s="31" t="n"/>
      <c r="T406" s="31" t="n"/>
      <c r="U406" s="31" t="n"/>
      <c r="V406" s="31" t="n"/>
      <c r="W406" s="31" t="n"/>
      <c r="X406" s="31" t="n"/>
      <c r="Y406" s="31" t="n"/>
    </row>
    <row r="407" ht="14.25" customHeight="1">
      <c r="A407" s="32" t="n"/>
      <c r="P407" s="31" t="n"/>
      <c r="Q407" s="31" t="n"/>
      <c r="R407" s="31" t="n"/>
      <c r="S407" s="31" t="n"/>
      <c r="T407" s="31" t="n"/>
      <c r="U407" s="31" t="n"/>
      <c r="V407" s="31" t="n"/>
      <c r="W407" s="31" t="n"/>
      <c r="X407" s="31" t="n"/>
      <c r="Y407" s="31" t="n"/>
    </row>
    <row r="408" ht="14.25" customHeight="1">
      <c r="A408" s="32" t="n"/>
      <c r="P408" s="31" t="n"/>
      <c r="Q408" s="31" t="n"/>
      <c r="R408" s="31" t="n"/>
      <c r="S408" s="31" t="n"/>
      <c r="T408" s="31" t="n"/>
      <c r="U408" s="31" t="n"/>
      <c r="V408" s="31" t="n"/>
      <c r="W408" s="31" t="n"/>
      <c r="X408" s="31" t="n"/>
      <c r="Y408" s="31" t="n"/>
    </row>
    <row r="409" ht="14.25" customHeight="1">
      <c r="A409" s="32" t="n"/>
      <c r="P409" s="31" t="n"/>
      <c r="Q409" s="31" t="n"/>
      <c r="R409" s="31" t="n"/>
      <c r="S409" s="31" t="n"/>
      <c r="T409" s="31" t="n"/>
      <c r="U409" s="31" t="n"/>
      <c r="V409" s="31" t="n"/>
      <c r="W409" s="31" t="n"/>
      <c r="X409" s="31" t="n"/>
      <c r="Y409" s="31" t="n"/>
    </row>
    <row r="410" ht="14.25" customHeight="1">
      <c r="A410" s="32" t="n"/>
      <c r="P410" s="31" t="n"/>
      <c r="Q410" s="31" t="n"/>
      <c r="R410" s="31" t="n"/>
      <c r="S410" s="31" t="n"/>
      <c r="T410" s="31" t="n"/>
      <c r="U410" s="31" t="n"/>
      <c r="V410" s="31" t="n"/>
      <c r="W410" s="31" t="n"/>
      <c r="X410" s="31" t="n"/>
      <c r="Y410" s="31" t="n"/>
    </row>
    <row r="411" ht="14.25" customHeight="1">
      <c r="A411" s="32" t="n"/>
      <c r="P411" s="31" t="n"/>
      <c r="Q411" s="31" t="n"/>
      <c r="R411" s="31" t="n"/>
      <c r="S411" s="31" t="n"/>
      <c r="T411" s="31" t="n"/>
      <c r="U411" s="31" t="n"/>
      <c r="V411" s="31" t="n"/>
      <c r="W411" s="31" t="n"/>
      <c r="X411" s="31" t="n"/>
      <c r="Y411" s="31" t="n"/>
    </row>
    <row r="412" ht="14.25" customHeight="1">
      <c r="A412" s="32" t="n"/>
      <c r="P412" s="31" t="n"/>
      <c r="Q412" s="31" t="n"/>
      <c r="R412" s="31" t="n"/>
      <c r="S412" s="31" t="n"/>
      <c r="T412" s="31" t="n"/>
      <c r="U412" s="31" t="n"/>
      <c r="V412" s="31" t="n"/>
      <c r="W412" s="31" t="n"/>
      <c r="X412" s="31" t="n"/>
      <c r="Y412" s="31" t="n"/>
    </row>
    <row r="413" ht="14.25" customHeight="1">
      <c r="A413" s="32" t="n"/>
      <c r="P413" s="31" t="n"/>
      <c r="Q413" s="31" t="n"/>
      <c r="R413" s="31" t="n"/>
      <c r="S413" s="31" t="n"/>
      <c r="T413" s="31" t="n"/>
      <c r="U413" s="31" t="n"/>
      <c r="V413" s="31" t="n"/>
      <c r="W413" s="31" t="n"/>
      <c r="X413" s="31" t="n"/>
      <c r="Y413" s="31" t="n"/>
    </row>
    <row r="414" ht="14.25" customHeight="1">
      <c r="A414" s="32" t="n"/>
      <c r="P414" s="31" t="n"/>
      <c r="Q414" s="31" t="n"/>
      <c r="R414" s="31" t="n"/>
      <c r="S414" s="31" t="n"/>
      <c r="T414" s="31" t="n"/>
      <c r="U414" s="31" t="n"/>
      <c r="V414" s="31" t="n"/>
      <c r="W414" s="31" t="n"/>
      <c r="X414" s="31" t="n"/>
      <c r="Y414" s="31" t="n"/>
    </row>
    <row r="415" ht="14.25" customHeight="1">
      <c r="A415" s="32" t="n"/>
      <c r="P415" s="31" t="n"/>
      <c r="Q415" s="31" t="n"/>
      <c r="R415" s="31" t="n"/>
      <c r="S415" s="31" t="n"/>
      <c r="T415" s="31" t="n"/>
      <c r="U415" s="31" t="n"/>
      <c r="V415" s="31" t="n"/>
      <c r="W415" s="31" t="n"/>
      <c r="X415" s="31" t="n"/>
      <c r="Y415" s="31" t="n"/>
    </row>
    <row r="416" ht="14.25" customHeight="1">
      <c r="A416" s="32" t="n"/>
      <c r="P416" s="31" t="n"/>
      <c r="Q416" s="31" t="n"/>
      <c r="R416" s="31" t="n"/>
      <c r="S416" s="31" t="n"/>
      <c r="T416" s="31" t="n"/>
      <c r="U416" s="31" t="n"/>
      <c r="V416" s="31" t="n"/>
      <c r="W416" s="31" t="n"/>
      <c r="X416" s="31" t="n"/>
      <c r="Y416" s="31" t="n"/>
    </row>
    <row r="417" ht="14.25" customHeight="1">
      <c r="A417" s="32" t="n"/>
      <c r="P417" s="31" t="n"/>
      <c r="Q417" s="31" t="n"/>
      <c r="R417" s="31" t="n"/>
      <c r="S417" s="31" t="n"/>
      <c r="T417" s="31" t="n"/>
      <c r="U417" s="31" t="n"/>
      <c r="V417" s="31" t="n"/>
      <c r="W417" s="31" t="n"/>
      <c r="X417" s="31" t="n"/>
      <c r="Y417" s="31" t="n"/>
    </row>
    <row r="418" ht="14.25" customHeight="1">
      <c r="A418" s="32" t="n"/>
      <c r="P418" s="31" t="n"/>
      <c r="Q418" s="31" t="n"/>
      <c r="R418" s="31" t="n"/>
      <c r="S418" s="31" t="n"/>
      <c r="T418" s="31" t="n"/>
      <c r="U418" s="31" t="n"/>
      <c r="V418" s="31" t="n"/>
      <c r="W418" s="31" t="n"/>
      <c r="X418" s="31" t="n"/>
      <c r="Y418" s="31" t="n"/>
    </row>
    <row r="419" ht="14.25" customHeight="1">
      <c r="A419" s="32" t="n"/>
      <c r="P419" s="31" t="n"/>
      <c r="Q419" s="31" t="n"/>
      <c r="R419" s="31" t="n"/>
      <c r="S419" s="31" t="n"/>
      <c r="T419" s="31" t="n"/>
      <c r="U419" s="31" t="n"/>
      <c r="V419" s="31" t="n"/>
      <c r="W419" s="31" t="n"/>
      <c r="X419" s="31" t="n"/>
      <c r="Y419" s="31" t="n"/>
    </row>
    <row r="420" ht="14.25" customHeight="1">
      <c r="A420" s="32" t="n"/>
      <c r="P420" s="31" t="n"/>
      <c r="Q420" s="31" t="n"/>
      <c r="R420" s="31" t="n"/>
      <c r="S420" s="31" t="n"/>
      <c r="T420" s="31" t="n"/>
      <c r="U420" s="31" t="n"/>
      <c r="V420" s="31" t="n"/>
      <c r="W420" s="31" t="n"/>
      <c r="X420" s="31" t="n"/>
      <c r="Y420" s="31" t="n"/>
    </row>
    <row r="421" ht="14.25" customHeight="1">
      <c r="A421" s="32" t="n"/>
      <c r="P421" s="31" t="n"/>
      <c r="Q421" s="31" t="n"/>
      <c r="R421" s="31" t="n"/>
      <c r="S421" s="31" t="n"/>
      <c r="T421" s="31" t="n"/>
      <c r="U421" s="31" t="n"/>
      <c r="V421" s="31" t="n"/>
      <c r="W421" s="31" t="n"/>
      <c r="X421" s="31" t="n"/>
      <c r="Y421" s="31" t="n"/>
    </row>
    <row r="422" ht="14.25" customHeight="1">
      <c r="A422" s="32" t="n"/>
      <c r="P422" s="31" t="n"/>
      <c r="Q422" s="31" t="n"/>
      <c r="R422" s="31" t="n"/>
      <c r="S422" s="31" t="n"/>
      <c r="T422" s="31" t="n"/>
      <c r="U422" s="31" t="n"/>
      <c r="V422" s="31" t="n"/>
      <c r="W422" s="31" t="n"/>
      <c r="X422" s="31" t="n"/>
      <c r="Y422" s="31" t="n"/>
    </row>
    <row r="423" ht="14.25" customHeight="1">
      <c r="A423" s="32" t="n"/>
      <c r="P423" s="31" t="n"/>
      <c r="Q423" s="31" t="n"/>
      <c r="R423" s="31" t="n"/>
      <c r="S423" s="31" t="n"/>
      <c r="T423" s="31" t="n"/>
      <c r="U423" s="31" t="n"/>
      <c r="V423" s="31" t="n"/>
      <c r="W423" s="31" t="n"/>
      <c r="X423" s="31" t="n"/>
      <c r="Y423" s="31" t="n"/>
    </row>
    <row r="424" ht="14.25" customHeight="1">
      <c r="A424" s="32" t="n"/>
      <c r="P424" s="31" t="n"/>
      <c r="Q424" s="31" t="n"/>
      <c r="R424" s="31" t="n"/>
      <c r="S424" s="31" t="n"/>
      <c r="T424" s="31" t="n"/>
      <c r="U424" s="31" t="n"/>
      <c r="V424" s="31" t="n"/>
      <c r="W424" s="31" t="n"/>
      <c r="X424" s="31" t="n"/>
      <c r="Y424" s="31" t="n"/>
    </row>
    <row r="425" ht="14.25" customHeight="1">
      <c r="A425" s="32" t="n"/>
      <c r="P425" s="31" t="n"/>
      <c r="Q425" s="31" t="n"/>
      <c r="R425" s="31" t="n"/>
      <c r="S425" s="31" t="n"/>
      <c r="T425" s="31" t="n"/>
      <c r="U425" s="31" t="n"/>
      <c r="V425" s="31" t="n"/>
      <c r="W425" s="31" t="n"/>
      <c r="X425" s="31" t="n"/>
      <c r="Y425" s="31" t="n"/>
    </row>
    <row r="426" ht="14.25" customHeight="1">
      <c r="A426" s="32" t="n"/>
      <c r="P426" s="31" t="n"/>
      <c r="Q426" s="31" t="n"/>
      <c r="R426" s="31" t="n"/>
      <c r="S426" s="31" t="n"/>
      <c r="T426" s="31" t="n"/>
      <c r="U426" s="31" t="n"/>
      <c r="V426" s="31" t="n"/>
      <c r="W426" s="31" t="n"/>
      <c r="X426" s="31" t="n"/>
      <c r="Y426" s="31" t="n"/>
    </row>
    <row r="427" ht="14.25" customHeight="1">
      <c r="A427" s="32" t="n"/>
      <c r="P427" s="31" t="n"/>
      <c r="Q427" s="31" t="n"/>
      <c r="R427" s="31" t="n"/>
      <c r="S427" s="31" t="n"/>
      <c r="T427" s="31" t="n"/>
      <c r="U427" s="31" t="n"/>
      <c r="V427" s="31" t="n"/>
      <c r="W427" s="31" t="n"/>
      <c r="X427" s="31" t="n"/>
      <c r="Y427" s="31" t="n"/>
    </row>
    <row r="428" ht="14.25" customHeight="1">
      <c r="A428" s="32" t="n"/>
      <c r="P428" s="31" t="n"/>
      <c r="Q428" s="31" t="n"/>
      <c r="R428" s="31" t="n"/>
      <c r="S428" s="31" t="n"/>
      <c r="T428" s="31" t="n"/>
      <c r="U428" s="31" t="n"/>
      <c r="V428" s="31" t="n"/>
      <c r="W428" s="31" t="n"/>
      <c r="X428" s="31" t="n"/>
      <c r="Y428" s="31" t="n"/>
    </row>
    <row r="429" ht="14.25" customHeight="1">
      <c r="A429" s="32" t="n"/>
      <c r="P429" s="31" t="n"/>
      <c r="Q429" s="31" t="n"/>
      <c r="R429" s="31" t="n"/>
      <c r="S429" s="31" t="n"/>
      <c r="T429" s="31" t="n"/>
      <c r="U429" s="31" t="n"/>
      <c r="V429" s="31" t="n"/>
      <c r="W429" s="31" t="n"/>
      <c r="X429" s="31" t="n"/>
      <c r="Y429" s="31" t="n"/>
    </row>
    <row r="430" ht="14.25" customHeight="1">
      <c r="A430" s="32" t="n"/>
      <c r="P430" s="31" t="n"/>
      <c r="Q430" s="31" t="n"/>
      <c r="R430" s="31" t="n"/>
      <c r="S430" s="31" t="n"/>
      <c r="T430" s="31" t="n"/>
      <c r="U430" s="31" t="n"/>
      <c r="V430" s="31" t="n"/>
      <c r="W430" s="31" t="n"/>
      <c r="X430" s="31" t="n"/>
      <c r="Y430" s="31" t="n"/>
    </row>
    <row r="431" ht="14.25" customHeight="1">
      <c r="A431" s="32" t="n"/>
      <c r="P431" s="31" t="n"/>
      <c r="Q431" s="31" t="n"/>
      <c r="R431" s="31" t="n"/>
      <c r="S431" s="31" t="n"/>
      <c r="T431" s="31" t="n"/>
      <c r="U431" s="31" t="n"/>
      <c r="V431" s="31" t="n"/>
      <c r="W431" s="31" t="n"/>
      <c r="X431" s="31" t="n"/>
      <c r="Y431" s="31" t="n"/>
    </row>
    <row r="432" ht="14.25" customHeight="1">
      <c r="A432" s="32" t="n"/>
      <c r="P432" s="31" t="n"/>
      <c r="Q432" s="31" t="n"/>
      <c r="R432" s="31" t="n"/>
      <c r="S432" s="31" t="n"/>
      <c r="T432" s="31" t="n"/>
      <c r="U432" s="31" t="n"/>
      <c r="V432" s="31" t="n"/>
      <c r="W432" s="31" t="n"/>
      <c r="X432" s="31" t="n"/>
      <c r="Y432" s="31" t="n"/>
    </row>
    <row r="433" ht="14.25" customHeight="1">
      <c r="A433" s="32" t="n"/>
      <c r="P433" s="31" t="n"/>
      <c r="Q433" s="31" t="n"/>
      <c r="R433" s="31" t="n"/>
      <c r="S433" s="31" t="n"/>
      <c r="T433" s="31" t="n"/>
      <c r="U433" s="31" t="n"/>
      <c r="V433" s="31" t="n"/>
      <c r="W433" s="31" t="n"/>
      <c r="X433" s="31" t="n"/>
      <c r="Y433" s="31" t="n"/>
    </row>
    <row r="434" ht="14.25" customHeight="1">
      <c r="A434" s="32" t="n"/>
      <c r="P434" s="31" t="n"/>
      <c r="Q434" s="31" t="n"/>
      <c r="R434" s="31" t="n"/>
      <c r="S434" s="31" t="n"/>
      <c r="T434" s="31" t="n"/>
      <c r="U434" s="31" t="n"/>
      <c r="V434" s="31" t="n"/>
      <c r="W434" s="31" t="n"/>
      <c r="X434" s="31" t="n"/>
      <c r="Y434" s="31" t="n"/>
    </row>
    <row r="435" ht="14.25" customHeight="1">
      <c r="A435" s="32" t="n"/>
      <c r="P435" s="31" t="n"/>
      <c r="Q435" s="31" t="n"/>
      <c r="R435" s="31" t="n"/>
      <c r="S435" s="31" t="n"/>
      <c r="T435" s="31" t="n"/>
      <c r="U435" s="31" t="n"/>
      <c r="V435" s="31" t="n"/>
      <c r="W435" s="31" t="n"/>
      <c r="X435" s="31" t="n"/>
      <c r="Y435" s="31" t="n"/>
    </row>
    <row r="436" ht="14.25" customHeight="1">
      <c r="A436" s="32" t="n"/>
      <c r="P436" s="31" t="n"/>
      <c r="Q436" s="31" t="n"/>
      <c r="R436" s="31" t="n"/>
      <c r="S436" s="31" t="n"/>
      <c r="T436" s="31" t="n"/>
      <c r="U436" s="31" t="n"/>
      <c r="V436" s="31" t="n"/>
      <c r="W436" s="31" t="n"/>
      <c r="X436" s="31" t="n"/>
      <c r="Y436" s="31" t="n"/>
    </row>
    <row r="437" ht="14.25" customHeight="1">
      <c r="A437" s="32" t="n"/>
      <c r="P437" s="31" t="n"/>
      <c r="Q437" s="31" t="n"/>
      <c r="R437" s="31" t="n"/>
      <c r="S437" s="31" t="n"/>
      <c r="T437" s="31" t="n"/>
      <c r="U437" s="31" t="n"/>
      <c r="V437" s="31" t="n"/>
      <c r="W437" s="31" t="n"/>
      <c r="X437" s="31" t="n"/>
      <c r="Y437" s="31" t="n"/>
    </row>
    <row r="438" ht="14.25" customHeight="1">
      <c r="A438" s="32" t="n"/>
      <c r="P438" s="31" t="n"/>
      <c r="Q438" s="31" t="n"/>
      <c r="R438" s="31" t="n"/>
      <c r="S438" s="31" t="n"/>
      <c r="T438" s="31" t="n"/>
      <c r="U438" s="31" t="n"/>
      <c r="V438" s="31" t="n"/>
      <c r="W438" s="31" t="n"/>
      <c r="X438" s="31" t="n"/>
      <c r="Y438" s="31" t="n"/>
    </row>
    <row r="439" ht="14.25" customHeight="1">
      <c r="A439" s="32" t="n"/>
      <c r="P439" s="31" t="n"/>
      <c r="Q439" s="31" t="n"/>
      <c r="R439" s="31" t="n"/>
      <c r="S439" s="31" t="n"/>
      <c r="T439" s="31" t="n"/>
      <c r="U439" s="31" t="n"/>
      <c r="V439" s="31" t="n"/>
      <c r="W439" s="31" t="n"/>
      <c r="X439" s="31" t="n"/>
      <c r="Y439" s="31" t="n"/>
    </row>
    <row r="440" ht="14.25" customHeight="1">
      <c r="A440" s="32" t="n"/>
      <c r="P440" s="31" t="n"/>
      <c r="Q440" s="31" t="n"/>
      <c r="R440" s="31" t="n"/>
      <c r="S440" s="31" t="n"/>
      <c r="T440" s="31" t="n"/>
      <c r="U440" s="31" t="n"/>
      <c r="V440" s="31" t="n"/>
      <c r="W440" s="31" t="n"/>
      <c r="X440" s="31" t="n"/>
      <c r="Y440" s="31" t="n"/>
    </row>
    <row r="441" ht="14.25" customHeight="1">
      <c r="A441" s="32" t="n"/>
      <c r="P441" s="31" t="n"/>
      <c r="Q441" s="31" t="n"/>
      <c r="R441" s="31" t="n"/>
      <c r="S441" s="31" t="n"/>
      <c r="T441" s="31" t="n"/>
      <c r="U441" s="31" t="n"/>
      <c r="V441" s="31" t="n"/>
      <c r="W441" s="31" t="n"/>
      <c r="X441" s="31" t="n"/>
      <c r="Y441" s="31" t="n"/>
    </row>
    <row r="442" ht="14.25" customHeight="1">
      <c r="A442" s="32" t="n"/>
      <c r="P442" s="31" t="n"/>
      <c r="Q442" s="31" t="n"/>
      <c r="R442" s="31" t="n"/>
      <c r="S442" s="31" t="n"/>
      <c r="T442" s="31" t="n"/>
      <c r="U442" s="31" t="n"/>
      <c r="V442" s="31" t="n"/>
      <c r="W442" s="31" t="n"/>
      <c r="X442" s="31" t="n"/>
      <c r="Y442" s="31" t="n"/>
    </row>
    <row r="443" ht="14.25" customHeight="1">
      <c r="A443" s="32" t="n"/>
      <c r="P443" s="31" t="n"/>
      <c r="Q443" s="31" t="n"/>
      <c r="R443" s="31" t="n"/>
      <c r="S443" s="31" t="n"/>
      <c r="T443" s="31" t="n"/>
      <c r="U443" s="31" t="n"/>
      <c r="V443" s="31" t="n"/>
      <c r="W443" s="31" t="n"/>
      <c r="X443" s="31" t="n"/>
      <c r="Y443" s="31" t="n"/>
    </row>
    <row r="444" ht="14.25" customHeight="1">
      <c r="A444" s="32" t="n"/>
      <c r="P444" s="31" t="n"/>
      <c r="Q444" s="31" t="n"/>
      <c r="R444" s="31" t="n"/>
      <c r="S444" s="31" t="n"/>
      <c r="T444" s="31" t="n"/>
      <c r="U444" s="31" t="n"/>
      <c r="V444" s="31" t="n"/>
      <c r="W444" s="31" t="n"/>
      <c r="X444" s="31" t="n"/>
      <c r="Y444" s="31" t="n"/>
    </row>
    <row r="445" ht="14.25" customHeight="1">
      <c r="A445" s="32" t="n"/>
      <c r="P445" s="31" t="n"/>
      <c r="Q445" s="31" t="n"/>
      <c r="R445" s="31" t="n"/>
      <c r="S445" s="31" t="n"/>
      <c r="T445" s="31" t="n"/>
      <c r="U445" s="31" t="n"/>
      <c r="V445" s="31" t="n"/>
      <c r="W445" s="31" t="n"/>
      <c r="X445" s="31" t="n"/>
      <c r="Y445" s="31" t="n"/>
    </row>
    <row r="446" ht="14.25" customHeight="1">
      <c r="A446" s="32" t="n"/>
      <c r="P446" s="31" t="n"/>
      <c r="Q446" s="31" t="n"/>
      <c r="R446" s="31" t="n"/>
      <c r="S446" s="31" t="n"/>
      <c r="T446" s="31" t="n"/>
      <c r="U446" s="31" t="n"/>
      <c r="V446" s="31" t="n"/>
      <c r="W446" s="31" t="n"/>
      <c r="X446" s="31" t="n"/>
      <c r="Y446" s="31" t="n"/>
    </row>
    <row r="447" ht="14.25" customHeight="1">
      <c r="A447" s="32" t="n"/>
      <c r="P447" s="31" t="n"/>
      <c r="Q447" s="31" t="n"/>
      <c r="R447" s="31" t="n"/>
      <c r="S447" s="31" t="n"/>
      <c r="T447" s="31" t="n"/>
      <c r="U447" s="31" t="n"/>
      <c r="V447" s="31" t="n"/>
      <c r="W447" s="31" t="n"/>
      <c r="X447" s="31" t="n"/>
      <c r="Y447" s="31" t="n"/>
    </row>
    <row r="448" ht="14.25" customHeight="1">
      <c r="A448" s="32" t="n"/>
      <c r="P448" s="31" t="n"/>
      <c r="Q448" s="31" t="n"/>
      <c r="R448" s="31" t="n"/>
      <c r="S448" s="31" t="n"/>
      <c r="T448" s="31" t="n"/>
      <c r="U448" s="31" t="n"/>
      <c r="V448" s="31" t="n"/>
      <c r="W448" s="31" t="n"/>
      <c r="X448" s="31" t="n"/>
      <c r="Y448" s="31" t="n"/>
    </row>
    <row r="449" ht="14.25" customHeight="1">
      <c r="A449" s="32" t="n"/>
      <c r="P449" s="31" t="n"/>
      <c r="Q449" s="31" t="n"/>
      <c r="R449" s="31" t="n"/>
      <c r="S449" s="31" t="n"/>
      <c r="T449" s="31" t="n"/>
      <c r="U449" s="31" t="n"/>
      <c r="V449" s="31" t="n"/>
      <c r="W449" s="31" t="n"/>
      <c r="X449" s="31" t="n"/>
      <c r="Y449" s="31" t="n"/>
    </row>
    <row r="450" ht="14.25" customHeight="1">
      <c r="A450" s="32" t="n"/>
      <c r="P450" s="31" t="n"/>
      <c r="Q450" s="31" t="n"/>
      <c r="R450" s="31" t="n"/>
      <c r="S450" s="31" t="n"/>
      <c r="T450" s="31" t="n"/>
      <c r="U450" s="31" t="n"/>
      <c r="V450" s="31" t="n"/>
      <c r="W450" s="31" t="n"/>
      <c r="X450" s="31" t="n"/>
      <c r="Y450" s="31" t="n"/>
    </row>
    <row r="451" ht="14.25" customHeight="1">
      <c r="A451" s="32" t="n"/>
      <c r="P451" s="31" t="n"/>
      <c r="Q451" s="31" t="n"/>
      <c r="R451" s="31" t="n"/>
      <c r="S451" s="31" t="n"/>
      <c r="T451" s="31" t="n"/>
      <c r="U451" s="31" t="n"/>
      <c r="V451" s="31" t="n"/>
      <c r="W451" s="31" t="n"/>
      <c r="X451" s="31" t="n"/>
      <c r="Y451" s="31" t="n"/>
    </row>
    <row r="452" ht="14.25" customHeight="1">
      <c r="A452" s="32" t="n"/>
      <c r="P452" s="31" t="n"/>
      <c r="Q452" s="31" t="n"/>
      <c r="R452" s="31" t="n"/>
      <c r="S452" s="31" t="n"/>
      <c r="T452" s="31" t="n"/>
      <c r="U452" s="31" t="n"/>
      <c r="V452" s="31" t="n"/>
      <c r="W452" s="31" t="n"/>
      <c r="X452" s="31" t="n"/>
      <c r="Y452" s="31" t="n"/>
    </row>
    <row r="453" ht="14.25" customHeight="1">
      <c r="A453" s="32" t="n"/>
      <c r="P453" s="31" t="n"/>
      <c r="Q453" s="31" t="n"/>
      <c r="R453" s="31" t="n"/>
      <c r="S453" s="31" t="n"/>
      <c r="T453" s="31" t="n"/>
      <c r="U453" s="31" t="n"/>
      <c r="V453" s="31" t="n"/>
      <c r="W453" s="31" t="n"/>
      <c r="X453" s="31" t="n"/>
      <c r="Y453" s="31" t="n"/>
    </row>
    <row r="454" ht="14.25" customHeight="1">
      <c r="A454" s="32" t="n"/>
      <c r="P454" s="31" t="n"/>
      <c r="Q454" s="31" t="n"/>
      <c r="R454" s="31" t="n"/>
      <c r="S454" s="31" t="n"/>
      <c r="T454" s="31" t="n"/>
      <c r="U454" s="31" t="n"/>
      <c r="V454" s="31" t="n"/>
      <c r="W454" s="31" t="n"/>
      <c r="X454" s="31" t="n"/>
      <c r="Y454" s="31" t="n"/>
    </row>
    <row r="455" ht="14.25" customHeight="1">
      <c r="A455" s="32" t="n"/>
      <c r="P455" s="31" t="n"/>
      <c r="Q455" s="31" t="n"/>
      <c r="R455" s="31" t="n"/>
      <c r="S455" s="31" t="n"/>
      <c r="T455" s="31" t="n"/>
      <c r="U455" s="31" t="n"/>
      <c r="V455" s="31" t="n"/>
      <c r="W455" s="31" t="n"/>
      <c r="X455" s="31" t="n"/>
      <c r="Y455" s="31" t="n"/>
    </row>
    <row r="456" ht="14.25" customHeight="1">
      <c r="A456" s="32" t="n"/>
      <c r="P456" s="31" t="n"/>
      <c r="Q456" s="31" t="n"/>
      <c r="R456" s="31" t="n"/>
      <c r="S456" s="31" t="n"/>
      <c r="T456" s="31" t="n"/>
      <c r="U456" s="31" t="n"/>
      <c r="V456" s="31" t="n"/>
      <c r="W456" s="31" t="n"/>
      <c r="X456" s="31" t="n"/>
      <c r="Y456" s="31" t="n"/>
    </row>
    <row r="457" ht="14.25" customHeight="1">
      <c r="A457" s="32" t="n"/>
      <c r="P457" s="31" t="n"/>
      <c r="Q457" s="31" t="n"/>
      <c r="R457" s="31" t="n"/>
      <c r="S457" s="31" t="n"/>
      <c r="T457" s="31" t="n"/>
      <c r="U457" s="31" t="n"/>
      <c r="V457" s="31" t="n"/>
      <c r="W457" s="31" t="n"/>
      <c r="X457" s="31" t="n"/>
      <c r="Y457" s="31" t="n"/>
    </row>
    <row r="458" ht="14.25" customHeight="1">
      <c r="A458" s="32" t="n"/>
      <c r="P458" s="31" t="n"/>
      <c r="Q458" s="31" t="n"/>
      <c r="R458" s="31" t="n"/>
      <c r="S458" s="31" t="n"/>
      <c r="T458" s="31" t="n"/>
      <c r="U458" s="31" t="n"/>
      <c r="V458" s="31" t="n"/>
      <c r="W458" s="31" t="n"/>
      <c r="X458" s="31" t="n"/>
      <c r="Y458" s="31" t="n"/>
    </row>
    <row r="459" ht="14.25" customHeight="1">
      <c r="A459" s="32" t="n"/>
      <c r="P459" s="31" t="n"/>
      <c r="Q459" s="31" t="n"/>
      <c r="R459" s="31" t="n"/>
      <c r="S459" s="31" t="n"/>
      <c r="T459" s="31" t="n"/>
      <c r="U459" s="31" t="n"/>
      <c r="V459" s="31" t="n"/>
      <c r="W459" s="31" t="n"/>
      <c r="X459" s="31" t="n"/>
      <c r="Y459" s="31" t="n"/>
    </row>
    <row r="460" ht="14.25" customHeight="1">
      <c r="A460" s="32" t="n"/>
      <c r="P460" s="31" t="n"/>
      <c r="Q460" s="31" t="n"/>
      <c r="R460" s="31" t="n"/>
      <c r="S460" s="31" t="n"/>
      <c r="T460" s="31" t="n"/>
      <c r="U460" s="31" t="n"/>
      <c r="V460" s="31" t="n"/>
      <c r="W460" s="31" t="n"/>
      <c r="X460" s="31" t="n"/>
      <c r="Y460" s="31" t="n"/>
    </row>
    <row r="461" ht="14.25" customHeight="1">
      <c r="A461" s="32" t="n"/>
      <c r="P461" s="31" t="n"/>
      <c r="Q461" s="31" t="n"/>
      <c r="R461" s="31" t="n"/>
      <c r="S461" s="31" t="n"/>
      <c r="T461" s="31" t="n"/>
      <c r="U461" s="31" t="n"/>
      <c r="V461" s="31" t="n"/>
      <c r="W461" s="31" t="n"/>
      <c r="X461" s="31" t="n"/>
      <c r="Y461" s="31" t="n"/>
    </row>
    <row r="462" ht="14.25" customHeight="1">
      <c r="A462" s="32" t="n"/>
      <c r="P462" s="31" t="n"/>
      <c r="Q462" s="31" t="n"/>
      <c r="R462" s="31" t="n"/>
      <c r="S462" s="31" t="n"/>
      <c r="T462" s="31" t="n"/>
      <c r="U462" s="31" t="n"/>
      <c r="V462" s="31" t="n"/>
      <c r="W462" s="31" t="n"/>
      <c r="X462" s="31" t="n"/>
      <c r="Y462" s="31" t="n"/>
    </row>
    <row r="463" ht="14.25" customHeight="1">
      <c r="A463" s="32" t="n"/>
      <c r="P463" s="31" t="n"/>
      <c r="Q463" s="31" t="n"/>
      <c r="R463" s="31" t="n"/>
      <c r="S463" s="31" t="n"/>
      <c r="T463" s="31" t="n"/>
      <c r="U463" s="31" t="n"/>
      <c r="V463" s="31" t="n"/>
      <c r="W463" s="31" t="n"/>
      <c r="X463" s="31" t="n"/>
      <c r="Y463" s="31" t="n"/>
    </row>
    <row r="464" ht="14.25" customHeight="1">
      <c r="A464" s="32" t="n"/>
      <c r="P464" s="31" t="n"/>
      <c r="Q464" s="31" t="n"/>
      <c r="R464" s="31" t="n"/>
      <c r="S464" s="31" t="n"/>
      <c r="T464" s="31" t="n"/>
      <c r="U464" s="31" t="n"/>
      <c r="V464" s="31" t="n"/>
      <c r="W464" s="31" t="n"/>
      <c r="X464" s="31" t="n"/>
      <c r="Y464" s="31" t="n"/>
    </row>
    <row r="465" ht="14.25" customHeight="1">
      <c r="A465" s="32" t="n"/>
      <c r="P465" s="31" t="n"/>
      <c r="Q465" s="31" t="n"/>
      <c r="R465" s="31" t="n"/>
      <c r="S465" s="31" t="n"/>
      <c r="T465" s="31" t="n"/>
      <c r="U465" s="31" t="n"/>
      <c r="V465" s="31" t="n"/>
      <c r="W465" s="31" t="n"/>
      <c r="X465" s="31" t="n"/>
      <c r="Y465" s="31" t="n"/>
    </row>
    <row r="466" ht="14.25" customHeight="1">
      <c r="A466" s="32" t="n"/>
      <c r="P466" s="31" t="n"/>
      <c r="Q466" s="31" t="n"/>
      <c r="R466" s="31" t="n"/>
      <c r="S466" s="31" t="n"/>
      <c r="T466" s="31" t="n"/>
      <c r="U466" s="31" t="n"/>
      <c r="V466" s="31" t="n"/>
      <c r="W466" s="31" t="n"/>
      <c r="X466" s="31" t="n"/>
      <c r="Y466" s="31" t="n"/>
    </row>
    <row r="467" ht="14.25" customHeight="1">
      <c r="A467" s="32" t="n"/>
      <c r="P467" s="31" t="n"/>
      <c r="Q467" s="31" t="n"/>
      <c r="R467" s="31" t="n"/>
      <c r="S467" s="31" t="n"/>
      <c r="T467" s="31" t="n"/>
      <c r="U467" s="31" t="n"/>
      <c r="V467" s="31" t="n"/>
      <c r="W467" s="31" t="n"/>
      <c r="X467" s="31" t="n"/>
      <c r="Y467" s="31" t="n"/>
    </row>
    <row r="468" ht="14.25" customHeight="1">
      <c r="A468" s="32" t="n"/>
      <c r="P468" s="31" t="n"/>
      <c r="Q468" s="31" t="n"/>
      <c r="R468" s="31" t="n"/>
      <c r="S468" s="31" t="n"/>
      <c r="T468" s="31" t="n"/>
      <c r="U468" s="31" t="n"/>
      <c r="V468" s="31" t="n"/>
      <c r="W468" s="31" t="n"/>
      <c r="X468" s="31" t="n"/>
      <c r="Y468" s="31" t="n"/>
    </row>
    <row r="469" ht="14.25" customHeight="1">
      <c r="A469" s="32" t="n"/>
      <c r="P469" s="31" t="n"/>
      <c r="Q469" s="31" t="n"/>
      <c r="R469" s="31" t="n"/>
      <c r="S469" s="31" t="n"/>
      <c r="T469" s="31" t="n"/>
      <c r="U469" s="31" t="n"/>
      <c r="V469" s="31" t="n"/>
      <c r="W469" s="31" t="n"/>
      <c r="X469" s="31" t="n"/>
      <c r="Y469" s="31" t="n"/>
    </row>
    <row r="470" ht="14.25" customHeight="1">
      <c r="A470" s="32" t="n"/>
      <c r="P470" s="31" t="n"/>
      <c r="Q470" s="31" t="n"/>
      <c r="R470" s="31" t="n"/>
      <c r="S470" s="31" t="n"/>
      <c r="T470" s="31" t="n"/>
      <c r="U470" s="31" t="n"/>
      <c r="V470" s="31" t="n"/>
      <c r="W470" s="31" t="n"/>
      <c r="X470" s="31" t="n"/>
      <c r="Y470" s="31" t="n"/>
    </row>
    <row r="471" ht="14.25" customHeight="1">
      <c r="A471" s="32" t="n"/>
      <c r="P471" s="31" t="n"/>
      <c r="Q471" s="31" t="n"/>
      <c r="R471" s="31" t="n"/>
      <c r="S471" s="31" t="n"/>
      <c r="T471" s="31" t="n"/>
      <c r="U471" s="31" t="n"/>
      <c r="V471" s="31" t="n"/>
      <c r="W471" s="31" t="n"/>
      <c r="X471" s="31" t="n"/>
      <c r="Y471" s="31" t="n"/>
    </row>
    <row r="472" ht="14.25" customHeight="1">
      <c r="A472" s="32" t="n"/>
      <c r="P472" s="31" t="n"/>
      <c r="Q472" s="31" t="n"/>
      <c r="R472" s="31" t="n"/>
      <c r="S472" s="31" t="n"/>
      <c r="T472" s="31" t="n"/>
      <c r="U472" s="31" t="n"/>
      <c r="V472" s="31" t="n"/>
      <c r="W472" s="31" t="n"/>
      <c r="X472" s="31" t="n"/>
      <c r="Y472" s="31" t="n"/>
    </row>
    <row r="473" ht="14.25" customHeight="1">
      <c r="A473" s="32" t="n"/>
      <c r="P473" s="31" t="n"/>
      <c r="Q473" s="31" t="n"/>
      <c r="R473" s="31" t="n"/>
      <c r="S473" s="31" t="n"/>
      <c r="T473" s="31" t="n"/>
      <c r="U473" s="31" t="n"/>
      <c r="V473" s="31" t="n"/>
      <c r="W473" s="31" t="n"/>
      <c r="X473" s="31" t="n"/>
      <c r="Y473" s="31" t="n"/>
    </row>
    <row r="474" ht="14.25" customHeight="1">
      <c r="A474" s="32" t="n"/>
      <c r="P474" s="31" t="n"/>
      <c r="Q474" s="31" t="n"/>
      <c r="R474" s="31" t="n"/>
      <c r="S474" s="31" t="n"/>
      <c r="T474" s="31" t="n"/>
      <c r="U474" s="31" t="n"/>
      <c r="V474" s="31" t="n"/>
      <c r="W474" s="31" t="n"/>
      <c r="X474" s="31" t="n"/>
      <c r="Y474" s="31" t="n"/>
    </row>
    <row r="475" ht="14.25" customHeight="1">
      <c r="A475" s="32" t="n"/>
      <c r="P475" s="31" t="n"/>
      <c r="Q475" s="31" t="n"/>
      <c r="R475" s="31" t="n"/>
      <c r="S475" s="31" t="n"/>
      <c r="T475" s="31" t="n"/>
      <c r="U475" s="31" t="n"/>
      <c r="V475" s="31" t="n"/>
      <c r="W475" s="31" t="n"/>
      <c r="X475" s="31" t="n"/>
      <c r="Y475" s="31" t="n"/>
    </row>
    <row r="476" ht="14.25" customHeight="1">
      <c r="A476" s="32" t="n"/>
      <c r="P476" s="31" t="n"/>
      <c r="Q476" s="31" t="n"/>
      <c r="R476" s="31" t="n"/>
      <c r="S476" s="31" t="n"/>
      <c r="T476" s="31" t="n"/>
      <c r="U476" s="31" t="n"/>
      <c r="V476" s="31" t="n"/>
      <c r="W476" s="31" t="n"/>
      <c r="X476" s="31" t="n"/>
      <c r="Y476" s="31" t="n"/>
    </row>
    <row r="477" ht="14.25" customHeight="1">
      <c r="A477" s="32" t="n"/>
      <c r="P477" s="31" t="n"/>
      <c r="Q477" s="31" t="n"/>
      <c r="R477" s="31" t="n"/>
      <c r="S477" s="31" t="n"/>
      <c r="T477" s="31" t="n"/>
      <c r="U477" s="31" t="n"/>
      <c r="V477" s="31" t="n"/>
      <c r="W477" s="31" t="n"/>
      <c r="X477" s="31" t="n"/>
      <c r="Y477" s="31" t="n"/>
    </row>
    <row r="478" ht="14.25" customHeight="1">
      <c r="A478" s="32" t="n"/>
      <c r="P478" s="31" t="n"/>
      <c r="Q478" s="31" t="n"/>
      <c r="R478" s="31" t="n"/>
      <c r="S478" s="31" t="n"/>
      <c r="T478" s="31" t="n"/>
      <c r="U478" s="31" t="n"/>
      <c r="V478" s="31" t="n"/>
      <c r="W478" s="31" t="n"/>
      <c r="X478" s="31" t="n"/>
      <c r="Y478" s="31" t="n"/>
    </row>
    <row r="479" ht="14.25" customHeight="1">
      <c r="A479" s="32" t="n"/>
      <c r="P479" s="31" t="n"/>
      <c r="Q479" s="31" t="n"/>
      <c r="R479" s="31" t="n"/>
      <c r="S479" s="31" t="n"/>
      <c r="T479" s="31" t="n"/>
      <c r="U479" s="31" t="n"/>
      <c r="V479" s="31" t="n"/>
      <c r="W479" s="31" t="n"/>
      <c r="X479" s="31" t="n"/>
      <c r="Y479" s="31" t="n"/>
    </row>
    <row r="480" ht="14.25" customHeight="1">
      <c r="A480" s="32" t="n"/>
      <c r="P480" s="31" t="n"/>
      <c r="Q480" s="31" t="n"/>
      <c r="R480" s="31" t="n"/>
      <c r="S480" s="31" t="n"/>
      <c r="T480" s="31" t="n"/>
      <c r="U480" s="31" t="n"/>
      <c r="V480" s="31" t="n"/>
      <c r="W480" s="31" t="n"/>
      <c r="X480" s="31" t="n"/>
      <c r="Y480" s="31" t="n"/>
    </row>
    <row r="481" ht="14.25" customHeight="1">
      <c r="A481" s="32" t="n"/>
      <c r="P481" s="31" t="n"/>
      <c r="Q481" s="31" t="n"/>
      <c r="R481" s="31" t="n"/>
      <c r="S481" s="31" t="n"/>
      <c r="T481" s="31" t="n"/>
      <c r="U481" s="31" t="n"/>
      <c r="V481" s="31" t="n"/>
      <c r="W481" s="31" t="n"/>
      <c r="X481" s="31" t="n"/>
      <c r="Y481" s="31" t="n"/>
    </row>
    <row r="482" ht="14.25" customHeight="1">
      <c r="A482" s="32" t="n"/>
      <c r="P482" s="31" t="n"/>
      <c r="Q482" s="31" t="n"/>
      <c r="R482" s="31" t="n"/>
      <c r="S482" s="31" t="n"/>
      <c r="T482" s="31" t="n"/>
      <c r="U482" s="31" t="n"/>
      <c r="V482" s="31" t="n"/>
      <c r="W482" s="31" t="n"/>
      <c r="X482" s="31" t="n"/>
      <c r="Y482" s="31" t="n"/>
    </row>
    <row r="483" ht="14.25" customHeight="1">
      <c r="A483" s="32" t="n"/>
      <c r="P483" s="31" t="n"/>
      <c r="Q483" s="31" t="n"/>
      <c r="R483" s="31" t="n"/>
      <c r="S483" s="31" t="n"/>
      <c r="T483" s="31" t="n"/>
      <c r="U483" s="31" t="n"/>
      <c r="V483" s="31" t="n"/>
      <c r="W483" s="31" t="n"/>
      <c r="X483" s="31" t="n"/>
      <c r="Y483" s="31" t="n"/>
    </row>
    <row r="484" ht="14.25" customHeight="1">
      <c r="A484" s="32" t="n"/>
      <c r="P484" s="31" t="n"/>
      <c r="Q484" s="31" t="n"/>
      <c r="R484" s="31" t="n"/>
      <c r="S484" s="31" t="n"/>
      <c r="T484" s="31" t="n"/>
      <c r="U484" s="31" t="n"/>
      <c r="V484" s="31" t="n"/>
      <c r="W484" s="31" t="n"/>
      <c r="X484" s="31" t="n"/>
      <c r="Y484" s="31" t="n"/>
    </row>
    <row r="485" ht="14.25" customHeight="1">
      <c r="A485" s="32" t="n"/>
      <c r="P485" s="31" t="n"/>
      <c r="Q485" s="31" t="n"/>
      <c r="R485" s="31" t="n"/>
      <c r="S485" s="31" t="n"/>
      <c r="T485" s="31" t="n"/>
      <c r="U485" s="31" t="n"/>
      <c r="V485" s="31" t="n"/>
      <c r="W485" s="31" t="n"/>
      <c r="X485" s="31" t="n"/>
      <c r="Y485" s="31" t="n"/>
    </row>
    <row r="486" ht="14.25" customHeight="1">
      <c r="A486" s="32" t="n"/>
      <c r="P486" s="31" t="n"/>
      <c r="Q486" s="31" t="n"/>
      <c r="R486" s="31" t="n"/>
      <c r="S486" s="31" t="n"/>
      <c r="T486" s="31" t="n"/>
      <c r="U486" s="31" t="n"/>
      <c r="V486" s="31" t="n"/>
      <c r="W486" s="31" t="n"/>
      <c r="X486" s="31" t="n"/>
      <c r="Y486" s="31" t="n"/>
    </row>
    <row r="487" ht="14.25" customHeight="1">
      <c r="A487" s="32" t="n"/>
      <c r="P487" s="31" t="n"/>
      <c r="Q487" s="31" t="n"/>
      <c r="R487" s="31" t="n"/>
      <c r="S487" s="31" t="n"/>
      <c r="T487" s="31" t="n"/>
      <c r="U487" s="31" t="n"/>
      <c r="V487" s="31" t="n"/>
      <c r="W487" s="31" t="n"/>
      <c r="X487" s="31" t="n"/>
      <c r="Y487" s="31" t="n"/>
    </row>
    <row r="488" ht="14.25" customHeight="1">
      <c r="A488" s="32" t="n"/>
      <c r="P488" s="31" t="n"/>
      <c r="Q488" s="31" t="n"/>
      <c r="R488" s="31" t="n"/>
      <c r="S488" s="31" t="n"/>
      <c r="T488" s="31" t="n"/>
      <c r="U488" s="31" t="n"/>
      <c r="V488" s="31" t="n"/>
      <c r="W488" s="31" t="n"/>
      <c r="X488" s="31" t="n"/>
      <c r="Y488" s="31" t="n"/>
    </row>
    <row r="489" ht="14.25" customHeight="1">
      <c r="A489" s="32" t="n"/>
      <c r="P489" s="31" t="n"/>
      <c r="Q489" s="31" t="n"/>
      <c r="R489" s="31" t="n"/>
      <c r="S489" s="31" t="n"/>
      <c r="T489" s="31" t="n"/>
      <c r="U489" s="31" t="n"/>
      <c r="V489" s="31" t="n"/>
      <c r="W489" s="31" t="n"/>
      <c r="X489" s="31" t="n"/>
      <c r="Y489" s="31" t="n"/>
    </row>
    <row r="490" ht="14.25" customHeight="1">
      <c r="A490" s="32" t="n"/>
      <c r="P490" s="31" t="n"/>
      <c r="Q490" s="31" t="n"/>
      <c r="R490" s="31" t="n"/>
      <c r="S490" s="31" t="n"/>
      <c r="T490" s="31" t="n"/>
      <c r="U490" s="31" t="n"/>
      <c r="V490" s="31" t="n"/>
      <c r="W490" s="31" t="n"/>
      <c r="X490" s="31" t="n"/>
      <c r="Y490" s="31" t="n"/>
    </row>
    <row r="491" ht="14.25" customHeight="1">
      <c r="A491" s="32" t="n"/>
      <c r="P491" s="31" t="n"/>
      <c r="Q491" s="31" t="n"/>
      <c r="R491" s="31" t="n"/>
      <c r="S491" s="31" t="n"/>
      <c r="T491" s="31" t="n"/>
      <c r="U491" s="31" t="n"/>
      <c r="V491" s="31" t="n"/>
      <c r="W491" s="31" t="n"/>
      <c r="X491" s="31" t="n"/>
      <c r="Y491" s="31" t="n"/>
    </row>
    <row r="492" ht="14.25" customHeight="1">
      <c r="A492" s="32" t="n"/>
      <c r="P492" s="31" t="n"/>
      <c r="Q492" s="31" t="n"/>
      <c r="R492" s="31" t="n"/>
      <c r="S492" s="31" t="n"/>
      <c r="T492" s="31" t="n"/>
      <c r="U492" s="31" t="n"/>
      <c r="V492" s="31" t="n"/>
      <c r="W492" s="31" t="n"/>
      <c r="X492" s="31" t="n"/>
      <c r="Y492" s="31" t="n"/>
    </row>
    <row r="493" ht="14.25" customHeight="1">
      <c r="A493" s="32" t="n"/>
      <c r="P493" s="31" t="n"/>
      <c r="Q493" s="31" t="n"/>
      <c r="R493" s="31" t="n"/>
      <c r="S493" s="31" t="n"/>
      <c r="T493" s="31" t="n"/>
      <c r="U493" s="31" t="n"/>
      <c r="V493" s="31" t="n"/>
      <c r="W493" s="31" t="n"/>
      <c r="X493" s="31" t="n"/>
      <c r="Y493" s="31" t="n"/>
    </row>
    <row r="494" ht="14.25" customHeight="1">
      <c r="A494" s="32" t="n"/>
      <c r="P494" s="31" t="n"/>
      <c r="Q494" s="31" t="n"/>
      <c r="R494" s="31" t="n"/>
      <c r="S494" s="31" t="n"/>
      <c r="T494" s="31" t="n"/>
      <c r="U494" s="31" t="n"/>
      <c r="V494" s="31" t="n"/>
      <c r="W494" s="31" t="n"/>
      <c r="X494" s="31" t="n"/>
      <c r="Y494" s="31" t="n"/>
    </row>
    <row r="495" ht="14.25" customHeight="1">
      <c r="A495" s="32" t="n"/>
      <c r="P495" s="31" t="n"/>
      <c r="Q495" s="31" t="n"/>
      <c r="R495" s="31" t="n"/>
      <c r="S495" s="31" t="n"/>
      <c r="T495" s="31" t="n"/>
      <c r="U495" s="31" t="n"/>
      <c r="V495" s="31" t="n"/>
      <c r="W495" s="31" t="n"/>
      <c r="X495" s="31" t="n"/>
      <c r="Y495" s="31" t="n"/>
    </row>
    <row r="496" ht="14.25" customHeight="1">
      <c r="A496" s="32" t="n"/>
      <c r="P496" s="31" t="n"/>
      <c r="Q496" s="31" t="n"/>
      <c r="R496" s="31" t="n"/>
      <c r="S496" s="31" t="n"/>
      <c r="T496" s="31" t="n"/>
      <c r="U496" s="31" t="n"/>
      <c r="V496" s="31" t="n"/>
      <c r="W496" s="31" t="n"/>
      <c r="X496" s="31" t="n"/>
      <c r="Y496" s="31" t="n"/>
    </row>
    <row r="497" ht="14.25" customHeight="1">
      <c r="A497" s="32" t="n"/>
      <c r="P497" s="31" t="n"/>
      <c r="Q497" s="31" t="n"/>
      <c r="R497" s="31" t="n"/>
      <c r="S497" s="31" t="n"/>
      <c r="T497" s="31" t="n"/>
      <c r="U497" s="31" t="n"/>
      <c r="V497" s="31" t="n"/>
      <c r="W497" s="31" t="n"/>
      <c r="X497" s="31" t="n"/>
      <c r="Y497" s="31" t="n"/>
    </row>
    <row r="498" ht="14.25" customHeight="1">
      <c r="A498" s="32" t="n"/>
      <c r="P498" s="31" t="n"/>
      <c r="Q498" s="31" t="n"/>
      <c r="R498" s="31" t="n"/>
      <c r="S498" s="31" t="n"/>
      <c r="T498" s="31" t="n"/>
      <c r="U498" s="31" t="n"/>
      <c r="V498" s="31" t="n"/>
      <c r="W498" s="31" t="n"/>
      <c r="X498" s="31" t="n"/>
      <c r="Y498" s="31" t="n"/>
    </row>
    <row r="499" ht="14.25" customHeight="1">
      <c r="A499" s="32" t="n"/>
      <c r="P499" s="31" t="n"/>
      <c r="Q499" s="31" t="n"/>
      <c r="R499" s="31" t="n"/>
      <c r="S499" s="31" t="n"/>
      <c r="T499" s="31" t="n"/>
      <c r="U499" s="31" t="n"/>
      <c r="V499" s="31" t="n"/>
      <c r="W499" s="31" t="n"/>
      <c r="X499" s="31" t="n"/>
      <c r="Y499" s="31" t="n"/>
    </row>
    <row r="500" ht="14.25" customHeight="1">
      <c r="A500" s="32" t="n"/>
      <c r="P500" s="31" t="n"/>
      <c r="Q500" s="31" t="n"/>
      <c r="R500" s="31" t="n"/>
      <c r="S500" s="31" t="n"/>
      <c r="T500" s="31" t="n"/>
      <c r="U500" s="31" t="n"/>
      <c r="V500" s="31" t="n"/>
      <c r="W500" s="31" t="n"/>
      <c r="X500" s="31" t="n"/>
      <c r="Y500" s="31" t="n"/>
    </row>
    <row r="501" ht="14.25" customHeight="1">
      <c r="A501" s="32" t="n"/>
      <c r="P501" s="31" t="n"/>
      <c r="Q501" s="31" t="n"/>
      <c r="R501" s="31" t="n"/>
      <c r="S501" s="31" t="n"/>
      <c r="T501" s="31" t="n"/>
      <c r="U501" s="31" t="n"/>
      <c r="V501" s="31" t="n"/>
      <c r="W501" s="31" t="n"/>
      <c r="X501" s="31" t="n"/>
      <c r="Y501" s="31" t="n"/>
    </row>
    <row r="502" ht="14.25" customHeight="1">
      <c r="A502" s="32" t="n"/>
      <c r="P502" s="31" t="n"/>
      <c r="Q502" s="31" t="n"/>
      <c r="R502" s="31" t="n"/>
      <c r="S502" s="31" t="n"/>
      <c r="T502" s="31" t="n"/>
      <c r="U502" s="31" t="n"/>
      <c r="V502" s="31" t="n"/>
      <c r="W502" s="31" t="n"/>
      <c r="X502" s="31" t="n"/>
      <c r="Y502" s="31" t="n"/>
    </row>
    <row r="503" ht="14.25" customHeight="1">
      <c r="A503" s="32" t="n"/>
      <c r="P503" s="31" t="n"/>
      <c r="Q503" s="31" t="n"/>
      <c r="R503" s="31" t="n"/>
      <c r="S503" s="31" t="n"/>
      <c r="T503" s="31" t="n"/>
      <c r="U503" s="31" t="n"/>
      <c r="V503" s="31" t="n"/>
      <c r="W503" s="31" t="n"/>
      <c r="X503" s="31" t="n"/>
      <c r="Y503" s="31" t="n"/>
    </row>
    <row r="504" ht="14.25" customHeight="1">
      <c r="A504" s="32" t="n"/>
      <c r="P504" s="31" t="n"/>
      <c r="Q504" s="31" t="n"/>
      <c r="R504" s="31" t="n"/>
      <c r="S504" s="31" t="n"/>
      <c r="T504" s="31" t="n"/>
      <c r="U504" s="31" t="n"/>
      <c r="V504" s="31" t="n"/>
      <c r="W504" s="31" t="n"/>
      <c r="X504" s="31" t="n"/>
      <c r="Y504" s="31" t="n"/>
    </row>
    <row r="505" ht="14.25" customHeight="1">
      <c r="A505" s="32" t="n"/>
      <c r="P505" s="31" t="n"/>
      <c r="Q505" s="31" t="n"/>
      <c r="R505" s="31" t="n"/>
      <c r="S505" s="31" t="n"/>
      <c r="T505" s="31" t="n"/>
      <c r="U505" s="31" t="n"/>
      <c r="V505" s="31" t="n"/>
      <c r="W505" s="31" t="n"/>
      <c r="X505" s="31" t="n"/>
      <c r="Y505" s="31" t="n"/>
    </row>
    <row r="506" ht="14.25" customHeight="1">
      <c r="A506" s="32" t="n"/>
      <c r="P506" s="31" t="n"/>
      <c r="Q506" s="31" t="n"/>
      <c r="R506" s="31" t="n"/>
      <c r="S506" s="31" t="n"/>
      <c r="T506" s="31" t="n"/>
      <c r="U506" s="31" t="n"/>
      <c r="V506" s="31" t="n"/>
      <c r="W506" s="31" t="n"/>
      <c r="X506" s="31" t="n"/>
      <c r="Y506" s="31" t="n"/>
    </row>
    <row r="507" ht="14.25" customHeight="1">
      <c r="A507" s="32" t="n"/>
      <c r="P507" s="31" t="n"/>
      <c r="Q507" s="31" t="n"/>
      <c r="R507" s="31" t="n"/>
      <c r="S507" s="31" t="n"/>
      <c r="T507" s="31" t="n"/>
      <c r="U507" s="31" t="n"/>
      <c r="V507" s="31" t="n"/>
      <c r="W507" s="31" t="n"/>
      <c r="X507" s="31" t="n"/>
      <c r="Y507" s="31" t="n"/>
    </row>
    <row r="508" ht="14.25" customHeight="1">
      <c r="A508" s="32" t="n"/>
      <c r="P508" s="31" t="n"/>
      <c r="Q508" s="31" t="n"/>
      <c r="R508" s="31" t="n"/>
      <c r="S508" s="31" t="n"/>
      <c r="T508" s="31" t="n"/>
      <c r="U508" s="31" t="n"/>
      <c r="V508" s="31" t="n"/>
      <c r="W508" s="31" t="n"/>
      <c r="X508" s="31" t="n"/>
      <c r="Y508" s="31" t="n"/>
    </row>
    <row r="509" ht="14.25" customHeight="1">
      <c r="A509" s="32" t="n"/>
      <c r="P509" s="31" t="n"/>
      <c r="Q509" s="31" t="n"/>
      <c r="R509" s="31" t="n"/>
      <c r="S509" s="31" t="n"/>
      <c r="T509" s="31" t="n"/>
      <c r="U509" s="31" t="n"/>
      <c r="V509" s="31" t="n"/>
      <c r="W509" s="31" t="n"/>
      <c r="X509" s="31" t="n"/>
      <c r="Y509" s="31" t="n"/>
    </row>
    <row r="510" ht="14.25" customHeight="1">
      <c r="A510" s="32" t="n"/>
      <c r="P510" s="31" t="n"/>
      <c r="Q510" s="31" t="n"/>
      <c r="R510" s="31" t="n"/>
      <c r="S510" s="31" t="n"/>
      <c r="T510" s="31" t="n"/>
      <c r="U510" s="31" t="n"/>
      <c r="V510" s="31" t="n"/>
      <c r="W510" s="31" t="n"/>
      <c r="X510" s="31" t="n"/>
      <c r="Y510" s="31" t="n"/>
    </row>
    <row r="511" ht="14.25" customHeight="1">
      <c r="A511" s="32" t="n"/>
      <c r="P511" s="31" t="n"/>
      <c r="Q511" s="31" t="n"/>
      <c r="R511" s="31" t="n"/>
      <c r="S511" s="31" t="n"/>
      <c r="T511" s="31" t="n"/>
      <c r="U511" s="31" t="n"/>
      <c r="V511" s="31" t="n"/>
      <c r="W511" s="31" t="n"/>
      <c r="X511" s="31" t="n"/>
      <c r="Y511" s="31" t="n"/>
    </row>
    <row r="512" ht="14.25" customHeight="1">
      <c r="A512" s="32" t="n"/>
      <c r="P512" s="31" t="n"/>
      <c r="Q512" s="31" t="n"/>
      <c r="R512" s="31" t="n"/>
      <c r="S512" s="31" t="n"/>
      <c r="T512" s="31" t="n"/>
      <c r="U512" s="31" t="n"/>
      <c r="V512" s="31" t="n"/>
      <c r="W512" s="31" t="n"/>
      <c r="X512" s="31" t="n"/>
      <c r="Y512" s="31" t="n"/>
    </row>
    <row r="513" ht="14.25" customHeight="1">
      <c r="A513" s="32" t="n"/>
      <c r="P513" s="31" t="n"/>
      <c r="Q513" s="31" t="n"/>
      <c r="R513" s="31" t="n"/>
      <c r="S513" s="31" t="n"/>
      <c r="T513" s="31" t="n"/>
      <c r="U513" s="31" t="n"/>
      <c r="V513" s="31" t="n"/>
      <c r="W513" s="31" t="n"/>
      <c r="X513" s="31" t="n"/>
      <c r="Y513" s="31" t="n"/>
    </row>
    <row r="514" ht="14.25" customHeight="1">
      <c r="A514" s="32" t="n"/>
      <c r="P514" s="31" t="n"/>
      <c r="Q514" s="31" t="n"/>
      <c r="R514" s="31" t="n"/>
      <c r="S514" s="31" t="n"/>
      <c r="T514" s="31" t="n"/>
      <c r="U514" s="31" t="n"/>
      <c r="V514" s="31" t="n"/>
      <c r="W514" s="31" t="n"/>
      <c r="X514" s="31" t="n"/>
      <c r="Y514" s="31" t="n"/>
    </row>
    <row r="515" ht="14.25" customHeight="1">
      <c r="A515" s="32" t="n"/>
      <c r="P515" s="31" t="n"/>
      <c r="Q515" s="31" t="n"/>
      <c r="R515" s="31" t="n"/>
      <c r="S515" s="31" t="n"/>
      <c r="T515" s="31" t="n"/>
      <c r="U515" s="31" t="n"/>
      <c r="V515" s="31" t="n"/>
      <c r="W515" s="31" t="n"/>
      <c r="X515" s="31" t="n"/>
      <c r="Y515" s="31" t="n"/>
    </row>
    <row r="516" ht="14.25" customHeight="1">
      <c r="A516" s="32" t="n"/>
      <c r="P516" s="31" t="n"/>
      <c r="Q516" s="31" t="n"/>
      <c r="R516" s="31" t="n"/>
      <c r="S516" s="31" t="n"/>
      <c r="T516" s="31" t="n"/>
      <c r="U516" s="31" t="n"/>
      <c r="V516" s="31" t="n"/>
      <c r="W516" s="31" t="n"/>
      <c r="X516" s="31" t="n"/>
      <c r="Y516" s="31" t="n"/>
    </row>
    <row r="517" ht="14.25" customHeight="1">
      <c r="A517" s="32" t="n"/>
      <c r="P517" s="31" t="n"/>
      <c r="Q517" s="31" t="n"/>
      <c r="R517" s="31" t="n"/>
      <c r="S517" s="31" t="n"/>
      <c r="T517" s="31" t="n"/>
      <c r="U517" s="31" t="n"/>
      <c r="V517" s="31" t="n"/>
      <c r="W517" s="31" t="n"/>
      <c r="X517" s="31" t="n"/>
      <c r="Y517" s="31" t="n"/>
    </row>
    <row r="518" ht="14.25" customHeight="1">
      <c r="A518" s="32" t="n"/>
      <c r="P518" s="31" t="n"/>
      <c r="Q518" s="31" t="n"/>
      <c r="R518" s="31" t="n"/>
      <c r="S518" s="31" t="n"/>
      <c r="T518" s="31" t="n"/>
      <c r="U518" s="31" t="n"/>
      <c r="V518" s="31" t="n"/>
      <c r="W518" s="31" t="n"/>
      <c r="X518" s="31" t="n"/>
      <c r="Y518" s="31" t="n"/>
    </row>
    <row r="519" ht="14.25" customHeight="1">
      <c r="A519" s="32" t="n"/>
      <c r="P519" s="31" t="n"/>
      <c r="Q519" s="31" t="n"/>
      <c r="R519" s="31" t="n"/>
      <c r="S519" s="31" t="n"/>
      <c r="T519" s="31" t="n"/>
      <c r="U519" s="31" t="n"/>
      <c r="V519" s="31" t="n"/>
      <c r="W519" s="31" t="n"/>
      <c r="X519" s="31" t="n"/>
      <c r="Y519" s="31" t="n"/>
    </row>
    <row r="520" ht="14.25" customHeight="1">
      <c r="A520" s="32" t="n"/>
      <c r="P520" s="31" t="n"/>
      <c r="Q520" s="31" t="n"/>
      <c r="R520" s="31" t="n"/>
      <c r="S520" s="31" t="n"/>
      <c r="T520" s="31" t="n"/>
      <c r="U520" s="31" t="n"/>
      <c r="V520" s="31" t="n"/>
      <c r="W520" s="31" t="n"/>
      <c r="X520" s="31" t="n"/>
      <c r="Y520" s="31" t="n"/>
    </row>
    <row r="521" ht="14.25" customHeight="1">
      <c r="A521" s="32" t="n"/>
      <c r="P521" s="31" t="n"/>
      <c r="Q521" s="31" t="n"/>
      <c r="R521" s="31" t="n"/>
      <c r="S521" s="31" t="n"/>
      <c r="T521" s="31" t="n"/>
      <c r="U521" s="31" t="n"/>
      <c r="V521" s="31" t="n"/>
      <c r="W521" s="31" t="n"/>
      <c r="X521" s="31" t="n"/>
      <c r="Y521" s="31" t="n"/>
    </row>
    <row r="522" ht="14.25" customHeight="1">
      <c r="A522" s="32" t="n"/>
      <c r="P522" s="31" t="n"/>
      <c r="Q522" s="31" t="n"/>
      <c r="R522" s="31" t="n"/>
      <c r="S522" s="31" t="n"/>
      <c r="T522" s="31" t="n"/>
      <c r="U522" s="31" t="n"/>
      <c r="V522" s="31" t="n"/>
      <c r="W522" s="31" t="n"/>
      <c r="X522" s="31" t="n"/>
      <c r="Y522" s="31" t="n"/>
    </row>
    <row r="523" ht="14.25" customHeight="1">
      <c r="A523" s="32" t="n"/>
      <c r="P523" s="31" t="n"/>
      <c r="Q523" s="31" t="n"/>
      <c r="R523" s="31" t="n"/>
      <c r="S523" s="31" t="n"/>
      <c r="T523" s="31" t="n"/>
      <c r="U523" s="31" t="n"/>
      <c r="V523" s="31" t="n"/>
      <c r="W523" s="31" t="n"/>
      <c r="X523" s="31" t="n"/>
      <c r="Y523" s="31" t="n"/>
    </row>
    <row r="524" ht="14.25" customHeight="1">
      <c r="A524" s="32" t="n"/>
      <c r="P524" s="31" t="n"/>
      <c r="Q524" s="31" t="n"/>
      <c r="R524" s="31" t="n"/>
      <c r="S524" s="31" t="n"/>
      <c r="T524" s="31" t="n"/>
      <c r="U524" s="31" t="n"/>
      <c r="V524" s="31" t="n"/>
      <c r="W524" s="31" t="n"/>
      <c r="X524" s="31" t="n"/>
      <c r="Y524" s="31" t="n"/>
    </row>
    <row r="525" ht="14.25" customHeight="1">
      <c r="A525" s="32" t="n"/>
      <c r="P525" s="31" t="n"/>
      <c r="Q525" s="31" t="n"/>
      <c r="R525" s="31" t="n"/>
      <c r="S525" s="31" t="n"/>
      <c r="T525" s="31" t="n"/>
      <c r="U525" s="31" t="n"/>
      <c r="V525" s="31" t="n"/>
      <c r="W525" s="31" t="n"/>
      <c r="X525" s="31" t="n"/>
      <c r="Y525" s="31" t="n"/>
    </row>
    <row r="526" ht="14.25" customHeight="1">
      <c r="A526" s="32" t="n"/>
      <c r="P526" s="31" t="n"/>
      <c r="Q526" s="31" t="n"/>
      <c r="R526" s="31" t="n"/>
      <c r="S526" s="31" t="n"/>
      <c r="T526" s="31" t="n"/>
      <c r="U526" s="31" t="n"/>
      <c r="V526" s="31" t="n"/>
      <c r="W526" s="31" t="n"/>
      <c r="X526" s="31" t="n"/>
      <c r="Y526" s="31" t="n"/>
    </row>
    <row r="527" ht="14.25" customHeight="1">
      <c r="A527" s="32" t="n"/>
      <c r="P527" s="31" t="n"/>
      <c r="Q527" s="31" t="n"/>
      <c r="R527" s="31" t="n"/>
      <c r="S527" s="31" t="n"/>
      <c r="T527" s="31" t="n"/>
      <c r="U527" s="31" t="n"/>
      <c r="V527" s="31" t="n"/>
      <c r="W527" s="31" t="n"/>
      <c r="X527" s="31" t="n"/>
      <c r="Y527" s="31" t="n"/>
    </row>
    <row r="528" ht="14.25" customHeight="1">
      <c r="A528" s="32" t="n"/>
      <c r="P528" s="31" t="n"/>
      <c r="Q528" s="31" t="n"/>
      <c r="R528" s="31" t="n"/>
      <c r="S528" s="31" t="n"/>
      <c r="T528" s="31" t="n"/>
      <c r="U528" s="31" t="n"/>
      <c r="V528" s="31" t="n"/>
      <c r="W528" s="31" t="n"/>
      <c r="X528" s="31" t="n"/>
      <c r="Y528" s="31" t="n"/>
    </row>
    <row r="529" ht="14.25" customHeight="1">
      <c r="A529" s="32" t="n"/>
      <c r="P529" s="31" t="n"/>
      <c r="Q529" s="31" t="n"/>
      <c r="R529" s="31" t="n"/>
      <c r="S529" s="31" t="n"/>
      <c r="T529" s="31" t="n"/>
      <c r="U529" s="31" t="n"/>
      <c r="V529" s="31" t="n"/>
      <c r="W529" s="31" t="n"/>
      <c r="X529" s="31" t="n"/>
      <c r="Y529" s="31" t="n"/>
    </row>
    <row r="530" ht="14.25" customHeight="1">
      <c r="A530" s="32" t="n"/>
      <c r="P530" s="31" t="n"/>
      <c r="Q530" s="31" t="n"/>
      <c r="R530" s="31" t="n"/>
      <c r="S530" s="31" t="n"/>
      <c r="T530" s="31" t="n"/>
      <c r="U530" s="31" t="n"/>
      <c r="V530" s="31" t="n"/>
      <c r="W530" s="31" t="n"/>
      <c r="X530" s="31" t="n"/>
      <c r="Y530" s="31" t="n"/>
    </row>
    <row r="531" ht="14.25" customHeight="1">
      <c r="A531" s="32" t="n"/>
      <c r="P531" s="31" t="n"/>
      <c r="Q531" s="31" t="n"/>
      <c r="R531" s="31" t="n"/>
      <c r="S531" s="31" t="n"/>
      <c r="T531" s="31" t="n"/>
      <c r="U531" s="31" t="n"/>
      <c r="V531" s="31" t="n"/>
      <c r="W531" s="31" t="n"/>
      <c r="X531" s="31" t="n"/>
      <c r="Y531" s="31" t="n"/>
    </row>
    <row r="532" ht="14.25" customHeight="1">
      <c r="A532" s="32" t="n"/>
      <c r="P532" s="31" t="n"/>
      <c r="Q532" s="31" t="n"/>
      <c r="R532" s="31" t="n"/>
      <c r="S532" s="31" t="n"/>
      <c r="T532" s="31" t="n"/>
      <c r="U532" s="31" t="n"/>
      <c r="V532" s="31" t="n"/>
      <c r="W532" s="31" t="n"/>
      <c r="X532" s="31" t="n"/>
      <c r="Y532" s="31" t="n"/>
    </row>
    <row r="533" ht="14.25" customHeight="1">
      <c r="A533" s="32" t="n"/>
      <c r="P533" s="31" t="n"/>
      <c r="Q533" s="31" t="n"/>
      <c r="R533" s="31" t="n"/>
      <c r="S533" s="31" t="n"/>
      <c r="T533" s="31" t="n"/>
      <c r="U533" s="31" t="n"/>
      <c r="V533" s="31" t="n"/>
      <c r="W533" s="31" t="n"/>
      <c r="X533" s="31" t="n"/>
      <c r="Y533" s="31" t="n"/>
    </row>
    <row r="534" ht="14.25" customHeight="1">
      <c r="A534" s="32" t="n"/>
      <c r="P534" s="31" t="n"/>
      <c r="Q534" s="31" t="n"/>
      <c r="R534" s="31" t="n"/>
      <c r="S534" s="31" t="n"/>
      <c r="T534" s="31" t="n"/>
      <c r="U534" s="31" t="n"/>
      <c r="V534" s="31" t="n"/>
      <c r="W534" s="31" t="n"/>
      <c r="X534" s="31" t="n"/>
      <c r="Y534" s="31" t="n"/>
    </row>
    <row r="535" ht="14.25" customHeight="1">
      <c r="A535" s="32" t="n"/>
      <c r="P535" s="31" t="n"/>
      <c r="Q535" s="31" t="n"/>
      <c r="R535" s="31" t="n"/>
      <c r="S535" s="31" t="n"/>
      <c r="T535" s="31" t="n"/>
      <c r="U535" s="31" t="n"/>
      <c r="V535" s="31" t="n"/>
      <c r="W535" s="31" t="n"/>
      <c r="X535" s="31" t="n"/>
      <c r="Y535" s="31" t="n"/>
    </row>
    <row r="536" ht="14.25" customHeight="1">
      <c r="A536" s="32" t="n"/>
      <c r="P536" s="31" t="n"/>
      <c r="Q536" s="31" t="n"/>
      <c r="R536" s="31" t="n"/>
      <c r="S536" s="31" t="n"/>
      <c r="T536" s="31" t="n"/>
      <c r="U536" s="31" t="n"/>
      <c r="V536" s="31" t="n"/>
      <c r="W536" s="31" t="n"/>
      <c r="X536" s="31" t="n"/>
      <c r="Y536" s="31" t="n"/>
    </row>
    <row r="537" ht="14.25" customHeight="1">
      <c r="A537" s="32" t="n"/>
      <c r="P537" s="31" t="n"/>
      <c r="Q537" s="31" t="n"/>
      <c r="R537" s="31" t="n"/>
      <c r="S537" s="31" t="n"/>
      <c r="T537" s="31" t="n"/>
      <c r="U537" s="31" t="n"/>
      <c r="V537" s="31" t="n"/>
      <c r="W537" s="31" t="n"/>
      <c r="X537" s="31" t="n"/>
      <c r="Y537" s="31" t="n"/>
    </row>
    <row r="538" ht="14.25" customHeight="1">
      <c r="A538" s="32" t="n"/>
      <c r="P538" s="31" t="n"/>
      <c r="Q538" s="31" t="n"/>
      <c r="R538" s="31" t="n"/>
      <c r="S538" s="31" t="n"/>
      <c r="T538" s="31" t="n"/>
      <c r="U538" s="31" t="n"/>
      <c r="V538" s="31" t="n"/>
      <c r="W538" s="31" t="n"/>
      <c r="X538" s="31" t="n"/>
      <c r="Y538" s="31" t="n"/>
    </row>
    <row r="539" ht="14.25" customHeight="1">
      <c r="A539" s="32" t="n"/>
      <c r="P539" s="31" t="n"/>
      <c r="Q539" s="31" t="n"/>
      <c r="R539" s="31" t="n"/>
      <c r="S539" s="31" t="n"/>
      <c r="T539" s="31" t="n"/>
      <c r="U539" s="31" t="n"/>
      <c r="V539" s="31" t="n"/>
      <c r="W539" s="31" t="n"/>
      <c r="X539" s="31" t="n"/>
      <c r="Y539" s="31" t="n"/>
    </row>
    <row r="540" ht="14.25" customHeight="1">
      <c r="A540" s="32" t="n"/>
      <c r="P540" s="31" t="n"/>
      <c r="Q540" s="31" t="n"/>
      <c r="R540" s="31" t="n"/>
      <c r="S540" s="31" t="n"/>
      <c r="T540" s="31" t="n"/>
      <c r="U540" s="31" t="n"/>
      <c r="V540" s="31" t="n"/>
      <c r="W540" s="31" t="n"/>
      <c r="X540" s="31" t="n"/>
      <c r="Y540" s="31" t="n"/>
    </row>
    <row r="541" ht="14.25" customHeight="1">
      <c r="A541" s="32" t="n"/>
      <c r="P541" s="31" t="n"/>
      <c r="Q541" s="31" t="n"/>
      <c r="R541" s="31" t="n"/>
      <c r="S541" s="31" t="n"/>
      <c r="T541" s="31" t="n"/>
      <c r="U541" s="31" t="n"/>
      <c r="V541" s="31" t="n"/>
      <c r="W541" s="31" t="n"/>
      <c r="X541" s="31" t="n"/>
      <c r="Y541" s="31" t="n"/>
    </row>
    <row r="542" ht="14.25" customHeight="1">
      <c r="A542" s="32" t="n"/>
      <c r="P542" s="31" t="n"/>
      <c r="Q542" s="31" t="n"/>
      <c r="R542" s="31" t="n"/>
      <c r="S542" s="31" t="n"/>
      <c r="T542" s="31" t="n"/>
      <c r="U542" s="31" t="n"/>
      <c r="V542" s="31" t="n"/>
      <c r="W542" s="31" t="n"/>
      <c r="X542" s="31" t="n"/>
      <c r="Y542" s="31" t="n"/>
    </row>
    <row r="543" ht="14.25" customHeight="1">
      <c r="A543" s="32" t="n"/>
      <c r="P543" s="31" t="n"/>
      <c r="Q543" s="31" t="n"/>
      <c r="R543" s="31" t="n"/>
      <c r="S543" s="31" t="n"/>
      <c r="T543" s="31" t="n"/>
      <c r="U543" s="31" t="n"/>
      <c r="V543" s="31" t="n"/>
      <c r="W543" s="31" t="n"/>
      <c r="X543" s="31" t="n"/>
      <c r="Y543" s="31" t="n"/>
    </row>
    <row r="544" ht="14.25" customHeight="1">
      <c r="A544" s="32" t="n"/>
      <c r="P544" s="31" t="n"/>
      <c r="Q544" s="31" t="n"/>
      <c r="R544" s="31" t="n"/>
      <c r="S544" s="31" t="n"/>
      <c r="T544" s="31" t="n"/>
      <c r="U544" s="31" t="n"/>
      <c r="V544" s="31" t="n"/>
      <c r="W544" s="31" t="n"/>
      <c r="X544" s="31" t="n"/>
      <c r="Y544" s="31" t="n"/>
    </row>
    <row r="545" ht="14.25" customHeight="1">
      <c r="A545" s="32" t="n"/>
      <c r="P545" s="31" t="n"/>
      <c r="Q545" s="31" t="n"/>
      <c r="R545" s="31" t="n"/>
      <c r="S545" s="31" t="n"/>
      <c r="T545" s="31" t="n"/>
      <c r="U545" s="31" t="n"/>
      <c r="V545" s="31" t="n"/>
      <c r="W545" s="31" t="n"/>
      <c r="X545" s="31" t="n"/>
      <c r="Y545" s="31" t="n"/>
    </row>
    <row r="546" ht="14.25" customHeight="1">
      <c r="A546" s="32" t="n"/>
      <c r="P546" s="31" t="n"/>
      <c r="Q546" s="31" t="n"/>
      <c r="R546" s="31" t="n"/>
      <c r="S546" s="31" t="n"/>
      <c r="T546" s="31" t="n"/>
      <c r="U546" s="31" t="n"/>
      <c r="V546" s="31" t="n"/>
      <c r="W546" s="31" t="n"/>
      <c r="X546" s="31" t="n"/>
      <c r="Y546" s="31" t="n"/>
    </row>
    <row r="547" ht="14.25" customHeight="1">
      <c r="A547" s="32" t="n"/>
      <c r="P547" s="31" t="n"/>
      <c r="Q547" s="31" t="n"/>
      <c r="R547" s="31" t="n"/>
      <c r="S547" s="31" t="n"/>
      <c r="T547" s="31" t="n"/>
      <c r="U547" s="31" t="n"/>
      <c r="V547" s="31" t="n"/>
      <c r="W547" s="31" t="n"/>
      <c r="X547" s="31" t="n"/>
      <c r="Y547" s="31" t="n"/>
    </row>
    <row r="548" ht="14.25" customHeight="1">
      <c r="A548" s="32" t="n"/>
      <c r="P548" s="31" t="n"/>
      <c r="Q548" s="31" t="n"/>
      <c r="R548" s="31" t="n"/>
      <c r="S548" s="31" t="n"/>
      <c r="T548" s="31" t="n"/>
      <c r="U548" s="31" t="n"/>
      <c r="V548" s="31" t="n"/>
      <c r="W548" s="31" t="n"/>
      <c r="X548" s="31" t="n"/>
      <c r="Y548" s="31" t="n"/>
    </row>
    <row r="549" ht="14.25" customHeight="1">
      <c r="A549" s="32" t="n"/>
      <c r="P549" s="31" t="n"/>
      <c r="Q549" s="31" t="n"/>
      <c r="R549" s="31" t="n"/>
      <c r="S549" s="31" t="n"/>
      <c r="T549" s="31" t="n"/>
      <c r="U549" s="31" t="n"/>
      <c r="V549" s="31" t="n"/>
      <c r="W549" s="31" t="n"/>
      <c r="X549" s="31" t="n"/>
      <c r="Y549" s="31" t="n"/>
    </row>
    <row r="550" ht="14.25" customHeight="1">
      <c r="A550" s="32" t="n"/>
      <c r="P550" s="31" t="n"/>
      <c r="Q550" s="31" t="n"/>
      <c r="R550" s="31" t="n"/>
      <c r="S550" s="31" t="n"/>
      <c r="T550" s="31" t="n"/>
      <c r="U550" s="31" t="n"/>
      <c r="V550" s="31" t="n"/>
      <c r="W550" s="31" t="n"/>
      <c r="X550" s="31" t="n"/>
      <c r="Y550" s="31" t="n"/>
    </row>
    <row r="551" ht="14.25" customHeight="1">
      <c r="A551" s="32" t="n"/>
      <c r="P551" s="31" t="n"/>
      <c r="Q551" s="31" t="n"/>
      <c r="R551" s="31" t="n"/>
      <c r="S551" s="31" t="n"/>
      <c r="T551" s="31" t="n"/>
      <c r="U551" s="31" t="n"/>
      <c r="V551" s="31" t="n"/>
      <c r="W551" s="31" t="n"/>
      <c r="X551" s="31" t="n"/>
      <c r="Y551" s="31" t="n"/>
    </row>
    <row r="552" ht="14.25" customHeight="1">
      <c r="A552" s="32" t="n"/>
      <c r="P552" s="31" t="n"/>
      <c r="Q552" s="31" t="n"/>
      <c r="R552" s="31" t="n"/>
      <c r="S552" s="31" t="n"/>
      <c r="T552" s="31" t="n"/>
      <c r="U552" s="31" t="n"/>
      <c r="V552" s="31" t="n"/>
      <c r="W552" s="31" t="n"/>
      <c r="X552" s="31" t="n"/>
      <c r="Y552" s="31" t="n"/>
    </row>
    <row r="553" ht="14.25" customHeight="1">
      <c r="A553" s="32" t="n"/>
      <c r="P553" s="31" t="n"/>
      <c r="Q553" s="31" t="n"/>
      <c r="R553" s="31" t="n"/>
      <c r="S553" s="31" t="n"/>
      <c r="T553" s="31" t="n"/>
      <c r="U553" s="31" t="n"/>
      <c r="V553" s="31" t="n"/>
      <c r="W553" s="31" t="n"/>
      <c r="X553" s="31" t="n"/>
      <c r="Y553" s="31" t="n"/>
    </row>
    <row r="554" ht="14.25" customHeight="1">
      <c r="A554" s="32" t="n"/>
      <c r="P554" s="31" t="n"/>
      <c r="Q554" s="31" t="n"/>
      <c r="R554" s="31" t="n"/>
      <c r="S554" s="31" t="n"/>
      <c r="T554" s="31" t="n"/>
      <c r="U554" s="31" t="n"/>
      <c r="V554" s="31" t="n"/>
      <c r="W554" s="31" t="n"/>
      <c r="X554" s="31" t="n"/>
      <c r="Y554" s="31" t="n"/>
    </row>
    <row r="555" ht="14.25" customHeight="1">
      <c r="A555" s="32" t="n"/>
      <c r="P555" s="31" t="n"/>
      <c r="Q555" s="31" t="n"/>
      <c r="R555" s="31" t="n"/>
      <c r="S555" s="31" t="n"/>
      <c r="T555" s="31" t="n"/>
      <c r="U555" s="31" t="n"/>
      <c r="V555" s="31" t="n"/>
      <c r="W555" s="31" t="n"/>
      <c r="X555" s="31" t="n"/>
      <c r="Y555" s="31" t="n"/>
    </row>
    <row r="556" ht="14.25" customHeight="1">
      <c r="A556" s="32" t="n"/>
      <c r="P556" s="31" t="n"/>
      <c r="Q556" s="31" t="n"/>
      <c r="R556" s="31" t="n"/>
      <c r="S556" s="31" t="n"/>
      <c r="T556" s="31" t="n"/>
      <c r="U556" s="31" t="n"/>
      <c r="V556" s="31" t="n"/>
      <c r="W556" s="31" t="n"/>
      <c r="X556" s="31" t="n"/>
      <c r="Y556" s="31" t="n"/>
    </row>
    <row r="557" ht="14.25" customHeight="1">
      <c r="A557" s="32" t="n"/>
      <c r="P557" s="31" t="n"/>
      <c r="Q557" s="31" t="n"/>
      <c r="R557" s="31" t="n"/>
      <c r="S557" s="31" t="n"/>
      <c r="T557" s="31" t="n"/>
      <c r="U557" s="31" t="n"/>
      <c r="V557" s="31" t="n"/>
      <c r="W557" s="31" t="n"/>
      <c r="X557" s="31" t="n"/>
      <c r="Y557" s="31" t="n"/>
    </row>
    <row r="558" ht="14.25" customHeight="1">
      <c r="A558" s="32" t="n"/>
      <c r="P558" s="31" t="n"/>
      <c r="Q558" s="31" t="n"/>
      <c r="R558" s="31" t="n"/>
      <c r="S558" s="31" t="n"/>
      <c r="T558" s="31" t="n"/>
      <c r="U558" s="31" t="n"/>
      <c r="V558" s="31" t="n"/>
      <c r="W558" s="31" t="n"/>
      <c r="X558" s="31" t="n"/>
      <c r="Y558" s="31" t="n"/>
    </row>
    <row r="559" ht="14.25" customHeight="1">
      <c r="A559" s="32" t="n"/>
      <c r="P559" s="31" t="n"/>
      <c r="Q559" s="31" t="n"/>
      <c r="R559" s="31" t="n"/>
      <c r="S559" s="31" t="n"/>
      <c r="T559" s="31" t="n"/>
      <c r="U559" s="31" t="n"/>
      <c r="V559" s="31" t="n"/>
      <c r="W559" s="31" t="n"/>
      <c r="X559" s="31" t="n"/>
      <c r="Y559" s="31" t="n"/>
    </row>
    <row r="560" ht="14.25" customHeight="1">
      <c r="A560" s="32" t="n"/>
      <c r="P560" s="31" t="n"/>
      <c r="Q560" s="31" t="n"/>
      <c r="R560" s="31" t="n"/>
      <c r="S560" s="31" t="n"/>
      <c r="T560" s="31" t="n"/>
      <c r="U560" s="31" t="n"/>
      <c r="V560" s="31" t="n"/>
      <c r="W560" s="31" t="n"/>
      <c r="X560" s="31" t="n"/>
      <c r="Y560" s="31" t="n"/>
    </row>
    <row r="561" ht="14.25" customHeight="1">
      <c r="A561" s="32" t="n"/>
      <c r="P561" s="31" t="n"/>
      <c r="Q561" s="31" t="n"/>
      <c r="R561" s="31" t="n"/>
      <c r="S561" s="31" t="n"/>
      <c r="T561" s="31" t="n"/>
      <c r="U561" s="31" t="n"/>
      <c r="V561" s="31" t="n"/>
      <c r="W561" s="31" t="n"/>
      <c r="X561" s="31" t="n"/>
      <c r="Y561" s="31" t="n"/>
    </row>
    <row r="562" ht="14.25" customHeight="1">
      <c r="A562" s="32" t="n"/>
      <c r="P562" s="31" t="n"/>
      <c r="Q562" s="31" t="n"/>
      <c r="R562" s="31" t="n"/>
      <c r="S562" s="31" t="n"/>
      <c r="T562" s="31" t="n"/>
      <c r="U562" s="31" t="n"/>
      <c r="V562" s="31" t="n"/>
      <c r="W562" s="31" t="n"/>
      <c r="X562" s="31" t="n"/>
      <c r="Y562" s="31" t="n"/>
    </row>
    <row r="563" ht="14.25" customHeight="1">
      <c r="A563" s="32" t="n"/>
      <c r="P563" s="31" t="n"/>
      <c r="Q563" s="31" t="n"/>
      <c r="R563" s="31" t="n"/>
      <c r="S563" s="31" t="n"/>
      <c r="T563" s="31" t="n"/>
      <c r="U563" s="31" t="n"/>
      <c r="V563" s="31" t="n"/>
      <c r="W563" s="31" t="n"/>
      <c r="X563" s="31" t="n"/>
      <c r="Y563" s="31" t="n"/>
    </row>
    <row r="564" ht="14.25" customHeight="1">
      <c r="A564" s="32" t="n"/>
      <c r="P564" s="31" t="n"/>
      <c r="Q564" s="31" t="n"/>
      <c r="R564" s="31" t="n"/>
      <c r="S564" s="31" t="n"/>
      <c r="T564" s="31" t="n"/>
      <c r="U564" s="31" t="n"/>
      <c r="V564" s="31" t="n"/>
      <c r="W564" s="31" t="n"/>
      <c r="X564" s="31" t="n"/>
      <c r="Y564" s="31" t="n"/>
    </row>
    <row r="565" ht="14.25" customHeight="1">
      <c r="A565" s="32" t="n"/>
      <c r="P565" s="31" t="n"/>
      <c r="Q565" s="31" t="n"/>
      <c r="R565" s="31" t="n"/>
      <c r="S565" s="31" t="n"/>
      <c r="T565" s="31" t="n"/>
      <c r="U565" s="31" t="n"/>
      <c r="V565" s="31" t="n"/>
      <c r="W565" s="31" t="n"/>
      <c r="X565" s="31" t="n"/>
      <c r="Y565" s="31" t="n"/>
    </row>
    <row r="566" ht="14.25" customHeight="1">
      <c r="A566" s="32" t="n"/>
      <c r="P566" s="31" t="n"/>
      <c r="Q566" s="31" t="n"/>
      <c r="R566" s="31" t="n"/>
      <c r="S566" s="31" t="n"/>
      <c r="T566" s="31" t="n"/>
      <c r="U566" s="31" t="n"/>
      <c r="V566" s="31" t="n"/>
      <c r="W566" s="31" t="n"/>
      <c r="X566" s="31" t="n"/>
      <c r="Y566" s="31" t="n"/>
    </row>
    <row r="567" ht="14.25" customHeight="1">
      <c r="A567" s="32" t="n"/>
      <c r="P567" s="31" t="n"/>
      <c r="Q567" s="31" t="n"/>
      <c r="R567" s="31" t="n"/>
      <c r="S567" s="31" t="n"/>
      <c r="T567" s="31" t="n"/>
      <c r="U567" s="31" t="n"/>
      <c r="V567" s="31" t="n"/>
      <c r="W567" s="31" t="n"/>
      <c r="X567" s="31" t="n"/>
      <c r="Y567" s="31" t="n"/>
    </row>
    <row r="568" ht="14.25" customHeight="1">
      <c r="A568" s="32" t="n"/>
      <c r="P568" s="31" t="n"/>
      <c r="Q568" s="31" t="n"/>
      <c r="R568" s="31" t="n"/>
      <c r="S568" s="31" t="n"/>
      <c r="T568" s="31" t="n"/>
      <c r="U568" s="31" t="n"/>
      <c r="V568" s="31" t="n"/>
      <c r="W568" s="31" t="n"/>
      <c r="X568" s="31" t="n"/>
      <c r="Y568" s="31" t="n"/>
    </row>
    <row r="569" ht="14.25" customHeight="1">
      <c r="A569" s="32" t="n"/>
      <c r="P569" s="31" t="n"/>
      <c r="Q569" s="31" t="n"/>
      <c r="R569" s="31" t="n"/>
      <c r="S569" s="31" t="n"/>
      <c r="T569" s="31" t="n"/>
      <c r="U569" s="31" t="n"/>
      <c r="V569" s="31" t="n"/>
      <c r="W569" s="31" t="n"/>
      <c r="X569" s="31" t="n"/>
      <c r="Y569" s="31" t="n"/>
    </row>
    <row r="570" ht="14.25" customHeight="1">
      <c r="A570" s="32" t="n"/>
      <c r="P570" s="31" t="n"/>
      <c r="Q570" s="31" t="n"/>
      <c r="R570" s="31" t="n"/>
      <c r="S570" s="31" t="n"/>
      <c r="T570" s="31" t="n"/>
      <c r="U570" s="31" t="n"/>
      <c r="V570" s="31" t="n"/>
      <c r="W570" s="31" t="n"/>
      <c r="X570" s="31" t="n"/>
      <c r="Y570" s="31" t="n"/>
    </row>
    <row r="571" ht="14.25" customHeight="1">
      <c r="A571" s="32" t="n"/>
      <c r="P571" s="31" t="n"/>
      <c r="Q571" s="31" t="n"/>
      <c r="R571" s="31" t="n"/>
      <c r="S571" s="31" t="n"/>
      <c r="T571" s="31" t="n"/>
      <c r="U571" s="31" t="n"/>
      <c r="V571" s="31" t="n"/>
      <c r="W571" s="31" t="n"/>
      <c r="X571" s="31" t="n"/>
      <c r="Y571" s="31" t="n"/>
    </row>
    <row r="572" ht="14.25" customHeight="1">
      <c r="A572" s="32" t="n"/>
      <c r="P572" s="31" t="n"/>
      <c r="Q572" s="31" t="n"/>
      <c r="R572" s="31" t="n"/>
      <c r="S572" s="31" t="n"/>
      <c r="T572" s="31" t="n"/>
      <c r="U572" s="31" t="n"/>
      <c r="V572" s="31" t="n"/>
      <c r="W572" s="31" t="n"/>
      <c r="X572" s="31" t="n"/>
      <c r="Y572" s="31" t="n"/>
    </row>
    <row r="573" ht="14.25" customHeight="1">
      <c r="A573" s="32" t="n"/>
      <c r="P573" s="31" t="n"/>
      <c r="Q573" s="31" t="n"/>
      <c r="R573" s="31" t="n"/>
      <c r="S573" s="31" t="n"/>
      <c r="T573" s="31" t="n"/>
      <c r="U573" s="31" t="n"/>
      <c r="V573" s="31" t="n"/>
      <c r="W573" s="31" t="n"/>
      <c r="X573" s="31" t="n"/>
      <c r="Y573" s="31" t="n"/>
    </row>
    <row r="574" ht="14.25" customHeight="1">
      <c r="A574" s="32" t="n"/>
      <c r="P574" s="31" t="n"/>
      <c r="Q574" s="31" t="n"/>
      <c r="R574" s="31" t="n"/>
      <c r="S574" s="31" t="n"/>
      <c r="T574" s="31" t="n"/>
      <c r="U574" s="31" t="n"/>
      <c r="V574" s="31" t="n"/>
      <c r="W574" s="31" t="n"/>
      <c r="X574" s="31" t="n"/>
      <c r="Y574" s="31" t="n"/>
    </row>
    <row r="575" ht="14.25" customHeight="1">
      <c r="A575" s="32" t="n"/>
      <c r="P575" s="31" t="n"/>
      <c r="Q575" s="31" t="n"/>
      <c r="R575" s="31" t="n"/>
      <c r="S575" s="31" t="n"/>
      <c r="T575" s="31" t="n"/>
      <c r="U575" s="31" t="n"/>
      <c r="V575" s="31" t="n"/>
      <c r="W575" s="31" t="n"/>
      <c r="X575" s="31" t="n"/>
      <c r="Y575" s="31" t="n"/>
    </row>
    <row r="576" ht="14.25" customHeight="1">
      <c r="A576" s="32" t="n"/>
      <c r="P576" s="31" t="n"/>
      <c r="Q576" s="31" t="n"/>
      <c r="R576" s="31" t="n"/>
      <c r="S576" s="31" t="n"/>
      <c r="T576" s="31" t="n"/>
      <c r="U576" s="31" t="n"/>
      <c r="V576" s="31" t="n"/>
      <c r="W576" s="31" t="n"/>
      <c r="X576" s="31" t="n"/>
      <c r="Y576" s="31" t="n"/>
    </row>
    <row r="577" ht="14.25" customHeight="1">
      <c r="A577" s="32" t="n"/>
      <c r="P577" s="31" t="n"/>
      <c r="Q577" s="31" t="n"/>
      <c r="R577" s="31" t="n"/>
      <c r="S577" s="31" t="n"/>
      <c r="T577" s="31" t="n"/>
      <c r="U577" s="31" t="n"/>
      <c r="V577" s="31" t="n"/>
      <c r="W577" s="31" t="n"/>
      <c r="X577" s="31" t="n"/>
      <c r="Y577" s="31" t="n"/>
    </row>
    <row r="578" ht="14.25" customHeight="1">
      <c r="A578" s="32" t="n"/>
      <c r="P578" s="31" t="n"/>
      <c r="Q578" s="31" t="n"/>
      <c r="R578" s="31" t="n"/>
      <c r="S578" s="31" t="n"/>
      <c r="T578" s="31" t="n"/>
      <c r="U578" s="31" t="n"/>
      <c r="V578" s="31" t="n"/>
      <c r="W578" s="31" t="n"/>
      <c r="X578" s="31" t="n"/>
      <c r="Y578" s="31" t="n"/>
    </row>
    <row r="579" ht="14.25" customHeight="1">
      <c r="A579" s="32" t="n"/>
      <c r="P579" s="31" t="n"/>
      <c r="Q579" s="31" t="n"/>
      <c r="R579" s="31" t="n"/>
      <c r="S579" s="31" t="n"/>
      <c r="T579" s="31" t="n"/>
      <c r="U579" s="31" t="n"/>
      <c r="V579" s="31" t="n"/>
      <c r="W579" s="31" t="n"/>
      <c r="X579" s="31" t="n"/>
      <c r="Y579" s="31" t="n"/>
    </row>
    <row r="580" ht="14.25" customHeight="1">
      <c r="A580" s="32" t="n"/>
      <c r="P580" s="31" t="n"/>
      <c r="Q580" s="31" t="n"/>
      <c r="R580" s="31" t="n"/>
      <c r="S580" s="31" t="n"/>
      <c r="T580" s="31" t="n"/>
      <c r="U580" s="31" t="n"/>
      <c r="V580" s="31" t="n"/>
      <c r="W580" s="31" t="n"/>
      <c r="X580" s="31" t="n"/>
      <c r="Y580" s="31" t="n"/>
    </row>
    <row r="581" ht="14.25" customHeight="1">
      <c r="A581" s="32" t="n"/>
      <c r="P581" s="31" t="n"/>
      <c r="Q581" s="31" t="n"/>
      <c r="R581" s="31" t="n"/>
      <c r="S581" s="31" t="n"/>
      <c r="T581" s="31" t="n"/>
      <c r="U581" s="31" t="n"/>
      <c r="V581" s="31" t="n"/>
      <c r="W581" s="31" t="n"/>
      <c r="X581" s="31" t="n"/>
      <c r="Y581" s="31" t="n"/>
    </row>
    <row r="582" ht="14.25" customHeight="1">
      <c r="A582" s="32" t="n"/>
      <c r="P582" s="31" t="n"/>
      <c r="Q582" s="31" t="n"/>
      <c r="R582" s="31" t="n"/>
      <c r="S582" s="31" t="n"/>
      <c r="T582" s="31" t="n"/>
      <c r="U582" s="31" t="n"/>
      <c r="V582" s="31" t="n"/>
      <c r="W582" s="31" t="n"/>
      <c r="X582" s="31" t="n"/>
      <c r="Y582" s="31" t="n"/>
    </row>
    <row r="583" ht="14.25" customHeight="1">
      <c r="A583" s="32" t="n"/>
      <c r="P583" s="31" t="n"/>
      <c r="Q583" s="31" t="n"/>
      <c r="R583" s="31" t="n"/>
      <c r="S583" s="31" t="n"/>
      <c r="T583" s="31" t="n"/>
      <c r="U583" s="31" t="n"/>
      <c r="V583" s="31" t="n"/>
      <c r="W583" s="31" t="n"/>
      <c r="X583" s="31" t="n"/>
      <c r="Y583" s="31" t="n"/>
    </row>
    <row r="584" ht="14.25" customHeight="1">
      <c r="A584" s="32" t="n"/>
      <c r="P584" s="31" t="n"/>
      <c r="Q584" s="31" t="n"/>
      <c r="R584" s="31" t="n"/>
      <c r="S584" s="31" t="n"/>
      <c r="T584" s="31" t="n"/>
      <c r="U584" s="31" t="n"/>
      <c r="V584" s="31" t="n"/>
      <c r="W584" s="31" t="n"/>
      <c r="X584" s="31" t="n"/>
      <c r="Y584" s="31" t="n"/>
    </row>
    <row r="585" ht="14.25" customHeight="1">
      <c r="A585" s="32" t="n"/>
      <c r="P585" s="31" t="n"/>
      <c r="Q585" s="31" t="n"/>
      <c r="R585" s="31" t="n"/>
      <c r="S585" s="31" t="n"/>
      <c r="T585" s="31" t="n"/>
      <c r="U585" s="31" t="n"/>
      <c r="V585" s="31" t="n"/>
      <c r="W585" s="31" t="n"/>
      <c r="X585" s="31" t="n"/>
      <c r="Y585" s="31" t="n"/>
    </row>
    <row r="586" ht="14.25" customHeight="1">
      <c r="A586" s="32" t="n"/>
      <c r="P586" s="31" t="n"/>
      <c r="Q586" s="31" t="n"/>
      <c r="R586" s="31" t="n"/>
      <c r="S586" s="31" t="n"/>
      <c r="T586" s="31" t="n"/>
      <c r="U586" s="31" t="n"/>
      <c r="V586" s="31" t="n"/>
      <c r="W586" s="31" t="n"/>
      <c r="X586" s="31" t="n"/>
      <c r="Y586" s="31" t="n"/>
    </row>
    <row r="587" ht="14.25" customHeight="1">
      <c r="A587" s="32" t="n"/>
      <c r="P587" s="31" t="n"/>
      <c r="Q587" s="31" t="n"/>
      <c r="R587" s="31" t="n"/>
      <c r="S587" s="31" t="n"/>
      <c r="T587" s="31" t="n"/>
      <c r="U587" s="31" t="n"/>
      <c r="V587" s="31" t="n"/>
      <c r="W587" s="31" t="n"/>
      <c r="X587" s="31" t="n"/>
      <c r="Y587" s="31" t="n"/>
    </row>
    <row r="588" ht="14.25" customHeight="1">
      <c r="A588" s="32" t="n"/>
      <c r="P588" s="31" t="n"/>
      <c r="Q588" s="31" t="n"/>
      <c r="R588" s="31" t="n"/>
      <c r="S588" s="31" t="n"/>
      <c r="T588" s="31" t="n"/>
      <c r="U588" s="31" t="n"/>
      <c r="V588" s="31" t="n"/>
      <c r="W588" s="31" t="n"/>
      <c r="X588" s="31" t="n"/>
      <c r="Y588" s="31" t="n"/>
    </row>
    <row r="589" ht="14.25" customHeight="1">
      <c r="A589" s="32" t="n"/>
      <c r="P589" s="31" t="n"/>
      <c r="Q589" s="31" t="n"/>
      <c r="R589" s="31" t="n"/>
      <c r="S589" s="31" t="n"/>
      <c r="T589" s="31" t="n"/>
      <c r="U589" s="31" t="n"/>
      <c r="V589" s="31" t="n"/>
      <c r="W589" s="31" t="n"/>
      <c r="X589" s="31" t="n"/>
      <c r="Y589" s="31" t="n"/>
    </row>
    <row r="590" ht="14.25" customHeight="1">
      <c r="A590" s="32" t="n"/>
      <c r="P590" s="31" t="n"/>
      <c r="Q590" s="31" t="n"/>
      <c r="R590" s="31" t="n"/>
      <c r="S590" s="31" t="n"/>
      <c r="T590" s="31" t="n"/>
      <c r="U590" s="31" t="n"/>
      <c r="V590" s="31" t="n"/>
      <c r="W590" s="31" t="n"/>
      <c r="X590" s="31" t="n"/>
      <c r="Y590" s="31" t="n"/>
    </row>
    <row r="591" ht="14.25" customHeight="1">
      <c r="A591" s="32" t="n"/>
      <c r="P591" s="31" t="n"/>
      <c r="Q591" s="31" t="n"/>
      <c r="R591" s="31" t="n"/>
      <c r="S591" s="31" t="n"/>
      <c r="T591" s="31" t="n"/>
      <c r="U591" s="31" t="n"/>
      <c r="V591" s="31" t="n"/>
      <c r="W591" s="31" t="n"/>
      <c r="X591" s="31" t="n"/>
      <c r="Y591" s="31" t="n"/>
    </row>
    <row r="592" ht="14.25" customHeight="1">
      <c r="A592" s="32" t="n"/>
      <c r="P592" s="31" t="n"/>
      <c r="Q592" s="31" t="n"/>
      <c r="R592" s="31" t="n"/>
      <c r="S592" s="31" t="n"/>
      <c r="T592" s="31" t="n"/>
      <c r="U592" s="31" t="n"/>
      <c r="V592" s="31" t="n"/>
      <c r="W592" s="31" t="n"/>
      <c r="X592" s="31" t="n"/>
      <c r="Y592" s="31" t="n"/>
    </row>
    <row r="593" ht="14.25" customHeight="1">
      <c r="A593" s="32" t="n"/>
      <c r="P593" s="31" t="n"/>
      <c r="Q593" s="31" t="n"/>
      <c r="R593" s="31" t="n"/>
      <c r="S593" s="31" t="n"/>
      <c r="T593" s="31" t="n"/>
      <c r="U593" s="31" t="n"/>
      <c r="V593" s="31" t="n"/>
      <c r="W593" s="31" t="n"/>
      <c r="X593" s="31" t="n"/>
      <c r="Y593" s="31" t="n"/>
    </row>
    <row r="594" ht="14.25" customHeight="1">
      <c r="A594" s="32" t="n"/>
      <c r="P594" s="31" t="n"/>
      <c r="Q594" s="31" t="n"/>
      <c r="R594" s="31" t="n"/>
      <c r="S594" s="31" t="n"/>
      <c r="T594" s="31" t="n"/>
      <c r="U594" s="31" t="n"/>
      <c r="V594" s="31" t="n"/>
      <c r="W594" s="31" t="n"/>
      <c r="X594" s="31" t="n"/>
      <c r="Y594" s="31" t="n"/>
    </row>
    <row r="595" ht="14.25" customHeight="1">
      <c r="A595" s="32" t="n"/>
      <c r="P595" s="31" t="n"/>
      <c r="Q595" s="31" t="n"/>
      <c r="R595" s="31" t="n"/>
      <c r="S595" s="31" t="n"/>
      <c r="T595" s="31" t="n"/>
      <c r="U595" s="31" t="n"/>
      <c r="V595" s="31" t="n"/>
      <c r="W595" s="31" t="n"/>
      <c r="X595" s="31" t="n"/>
      <c r="Y595" s="31" t="n"/>
    </row>
    <row r="596" ht="14.25" customHeight="1">
      <c r="A596" s="32" t="n"/>
      <c r="P596" s="31" t="n"/>
      <c r="Q596" s="31" t="n"/>
      <c r="R596" s="31" t="n"/>
      <c r="S596" s="31" t="n"/>
      <c r="T596" s="31" t="n"/>
      <c r="U596" s="31" t="n"/>
      <c r="V596" s="31" t="n"/>
      <c r="W596" s="31" t="n"/>
      <c r="X596" s="31" t="n"/>
      <c r="Y596" s="31" t="n"/>
    </row>
    <row r="597" ht="14.25" customHeight="1">
      <c r="A597" s="32" t="n"/>
      <c r="P597" s="31" t="n"/>
      <c r="Q597" s="31" t="n"/>
      <c r="R597" s="31" t="n"/>
      <c r="S597" s="31" t="n"/>
      <c r="T597" s="31" t="n"/>
      <c r="U597" s="31" t="n"/>
      <c r="V597" s="31" t="n"/>
      <c r="W597" s="31" t="n"/>
      <c r="X597" s="31" t="n"/>
      <c r="Y597" s="31" t="n"/>
    </row>
    <row r="598" ht="14.25" customHeight="1">
      <c r="A598" s="32" t="n"/>
      <c r="P598" s="31" t="n"/>
      <c r="Q598" s="31" t="n"/>
      <c r="R598" s="31" t="n"/>
      <c r="S598" s="31" t="n"/>
      <c r="T598" s="31" t="n"/>
      <c r="U598" s="31" t="n"/>
      <c r="V598" s="31" t="n"/>
      <c r="W598" s="31" t="n"/>
      <c r="X598" s="31" t="n"/>
      <c r="Y598" s="31" t="n"/>
    </row>
    <row r="599" ht="14.25" customHeight="1">
      <c r="A599" s="32" t="n"/>
      <c r="P599" s="31" t="n"/>
      <c r="Q599" s="31" t="n"/>
      <c r="R599" s="31" t="n"/>
      <c r="S599" s="31" t="n"/>
      <c r="T599" s="31" t="n"/>
      <c r="U599" s="31" t="n"/>
      <c r="V599" s="31" t="n"/>
      <c r="W599" s="31" t="n"/>
      <c r="X599" s="31" t="n"/>
      <c r="Y599" s="31" t="n"/>
    </row>
    <row r="600" ht="14.25" customHeight="1">
      <c r="A600" s="32" t="n"/>
      <c r="P600" s="31" t="n"/>
      <c r="Q600" s="31" t="n"/>
      <c r="R600" s="31" t="n"/>
      <c r="S600" s="31" t="n"/>
      <c r="T600" s="31" t="n"/>
      <c r="U600" s="31" t="n"/>
      <c r="V600" s="31" t="n"/>
      <c r="W600" s="31" t="n"/>
      <c r="X600" s="31" t="n"/>
      <c r="Y600" s="31" t="n"/>
    </row>
    <row r="601" ht="14.25" customHeight="1">
      <c r="A601" s="32" t="n"/>
      <c r="P601" s="31" t="n"/>
      <c r="Q601" s="31" t="n"/>
      <c r="R601" s="31" t="n"/>
      <c r="S601" s="31" t="n"/>
      <c r="T601" s="31" t="n"/>
      <c r="U601" s="31" t="n"/>
      <c r="V601" s="31" t="n"/>
      <c r="W601" s="31" t="n"/>
      <c r="X601" s="31" t="n"/>
      <c r="Y601" s="31" t="n"/>
    </row>
    <row r="602" ht="14.25" customHeight="1">
      <c r="A602" s="32" t="n"/>
      <c r="P602" s="31" t="n"/>
      <c r="Q602" s="31" t="n"/>
      <c r="R602" s="31" t="n"/>
      <c r="S602" s="31" t="n"/>
      <c r="T602" s="31" t="n"/>
      <c r="U602" s="31" t="n"/>
      <c r="V602" s="31" t="n"/>
      <c r="W602" s="31" t="n"/>
      <c r="X602" s="31" t="n"/>
      <c r="Y602" s="31" t="n"/>
    </row>
    <row r="603" ht="14.25" customHeight="1">
      <c r="A603" s="32" t="n"/>
      <c r="P603" s="31" t="n"/>
      <c r="Q603" s="31" t="n"/>
      <c r="R603" s="31" t="n"/>
      <c r="S603" s="31" t="n"/>
      <c r="T603" s="31" t="n"/>
      <c r="U603" s="31" t="n"/>
      <c r="V603" s="31" t="n"/>
      <c r="W603" s="31" t="n"/>
      <c r="X603" s="31" t="n"/>
      <c r="Y603" s="31" t="n"/>
    </row>
    <row r="604" ht="14.25" customHeight="1">
      <c r="A604" s="32" t="n"/>
      <c r="P604" s="31" t="n"/>
      <c r="Q604" s="31" t="n"/>
      <c r="R604" s="31" t="n"/>
      <c r="S604" s="31" t="n"/>
      <c r="T604" s="31" t="n"/>
      <c r="U604" s="31" t="n"/>
      <c r="V604" s="31" t="n"/>
      <c r="W604" s="31" t="n"/>
      <c r="X604" s="31" t="n"/>
      <c r="Y604" s="31" t="n"/>
    </row>
    <row r="605" ht="14.25" customHeight="1">
      <c r="A605" s="32" t="n"/>
      <c r="P605" s="31" t="n"/>
      <c r="Q605" s="31" t="n"/>
      <c r="R605" s="31" t="n"/>
      <c r="S605" s="31" t="n"/>
      <c r="T605" s="31" t="n"/>
      <c r="U605" s="31" t="n"/>
      <c r="V605" s="31" t="n"/>
      <c r="W605" s="31" t="n"/>
      <c r="X605" s="31" t="n"/>
      <c r="Y605" s="31" t="n"/>
    </row>
    <row r="606" ht="14.25" customHeight="1">
      <c r="A606" s="32" t="n"/>
      <c r="P606" s="31" t="n"/>
      <c r="Q606" s="31" t="n"/>
      <c r="R606" s="31" t="n"/>
      <c r="S606" s="31" t="n"/>
      <c r="T606" s="31" t="n"/>
      <c r="U606" s="31" t="n"/>
      <c r="V606" s="31" t="n"/>
      <c r="W606" s="31" t="n"/>
      <c r="X606" s="31" t="n"/>
      <c r="Y606" s="31" t="n"/>
    </row>
    <row r="607" ht="14.25" customHeight="1">
      <c r="A607" s="32" t="n"/>
      <c r="P607" s="31" t="n"/>
      <c r="Q607" s="31" t="n"/>
      <c r="R607" s="31" t="n"/>
      <c r="S607" s="31" t="n"/>
      <c r="T607" s="31" t="n"/>
      <c r="U607" s="31" t="n"/>
      <c r="V607" s="31" t="n"/>
      <c r="W607" s="31" t="n"/>
      <c r="X607" s="31" t="n"/>
      <c r="Y607" s="31" t="n"/>
    </row>
    <row r="608" ht="14.25" customHeight="1">
      <c r="A608" s="32" t="n"/>
      <c r="P608" s="31" t="n"/>
      <c r="Q608" s="31" t="n"/>
      <c r="R608" s="31" t="n"/>
      <c r="S608" s="31" t="n"/>
      <c r="T608" s="31" t="n"/>
      <c r="U608" s="31" t="n"/>
      <c r="V608" s="31" t="n"/>
      <c r="W608" s="31" t="n"/>
      <c r="X608" s="31" t="n"/>
      <c r="Y608" s="31" t="n"/>
    </row>
    <row r="609" ht="14.25" customHeight="1">
      <c r="A609" s="32" t="n"/>
      <c r="P609" s="31" t="n"/>
      <c r="Q609" s="31" t="n"/>
      <c r="R609" s="31" t="n"/>
      <c r="S609" s="31" t="n"/>
      <c r="T609" s="31" t="n"/>
      <c r="U609" s="31" t="n"/>
      <c r="V609" s="31" t="n"/>
      <c r="W609" s="31" t="n"/>
      <c r="X609" s="31" t="n"/>
      <c r="Y609" s="31" t="n"/>
    </row>
    <row r="610" ht="14.25" customHeight="1">
      <c r="A610" s="32" t="n"/>
      <c r="P610" s="31" t="n"/>
      <c r="Q610" s="31" t="n"/>
      <c r="R610" s="31" t="n"/>
      <c r="S610" s="31" t="n"/>
      <c r="T610" s="31" t="n"/>
      <c r="U610" s="31" t="n"/>
      <c r="V610" s="31" t="n"/>
      <c r="W610" s="31" t="n"/>
      <c r="X610" s="31" t="n"/>
      <c r="Y610" s="31" t="n"/>
    </row>
    <row r="611" ht="14.25" customHeight="1">
      <c r="A611" s="32" t="n"/>
      <c r="P611" s="31" t="n"/>
      <c r="Q611" s="31" t="n"/>
      <c r="R611" s="31" t="n"/>
      <c r="S611" s="31" t="n"/>
      <c r="T611" s="31" t="n"/>
      <c r="U611" s="31" t="n"/>
      <c r="V611" s="31" t="n"/>
      <c r="W611" s="31" t="n"/>
      <c r="X611" s="31" t="n"/>
      <c r="Y611" s="31" t="n"/>
    </row>
    <row r="612" ht="14.25" customHeight="1">
      <c r="A612" s="32" t="n"/>
      <c r="P612" s="31" t="n"/>
      <c r="Q612" s="31" t="n"/>
      <c r="R612" s="31" t="n"/>
      <c r="S612" s="31" t="n"/>
      <c r="T612" s="31" t="n"/>
      <c r="U612" s="31" t="n"/>
      <c r="V612" s="31" t="n"/>
      <c r="W612" s="31" t="n"/>
      <c r="X612" s="31" t="n"/>
      <c r="Y612" s="31" t="n"/>
    </row>
    <row r="613" ht="14.25" customHeight="1">
      <c r="A613" s="32" t="n"/>
      <c r="P613" s="31" t="n"/>
      <c r="Q613" s="31" t="n"/>
      <c r="R613" s="31" t="n"/>
      <c r="S613" s="31" t="n"/>
      <c r="T613" s="31" t="n"/>
      <c r="U613" s="31" t="n"/>
      <c r="V613" s="31" t="n"/>
      <c r="W613" s="31" t="n"/>
      <c r="X613" s="31" t="n"/>
      <c r="Y613" s="31" t="n"/>
    </row>
    <row r="614" ht="14.25" customHeight="1">
      <c r="A614" s="32" t="n"/>
      <c r="P614" s="31" t="n"/>
      <c r="Q614" s="31" t="n"/>
      <c r="R614" s="31" t="n"/>
      <c r="S614" s="31" t="n"/>
      <c r="T614" s="31" t="n"/>
      <c r="U614" s="31" t="n"/>
      <c r="V614" s="31" t="n"/>
      <c r="W614" s="31" t="n"/>
      <c r="X614" s="31" t="n"/>
      <c r="Y614" s="31" t="n"/>
    </row>
    <row r="615" ht="14.25" customHeight="1">
      <c r="A615" s="32" t="n"/>
      <c r="P615" s="31" t="n"/>
      <c r="Q615" s="31" t="n"/>
      <c r="R615" s="31" t="n"/>
      <c r="S615" s="31" t="n"/>
      <c r="T615" s="31" t="n"/>
      <c r="U615" s="31" t="n"/>
      <c r="V615" s="31" t="n"/>
      <c r="W615" s="31" t="n"/>
      <c r="X615" s="31" t="n"/>
      <c r="Y615" s="31" t="n"/>
    </row>
    <row r="616" ht="14.25" customHeight="1">
      <c r="A616" s="32" t="n"/>
      <c r="P616" s="31" t="n"/>
      <c r="Q616" s="31" t="n"/>
      <c r="R616" s="31" t="n"/>
      <c r="S616" s="31" t="n"/>
      <c r="T616" s="31" t="n"/>
      <c r="U616" s="31" t="n"/>
      <c r="V616" s="31" t="n"/>
      <c r="W616" s="31" t="n"/>
      <c r="X616" s="31" t="n"/>
      <c r="Y616" s="31" t="n"/>
    </row>
    <row r="617" ht="14.25" customHeight="1">
      <c r="A617" s="32" t="n"/>
      <c r="P617" s="31" t="n"/>
      <c r="Q617" s="31" t="n"/>
      <c r="R617" s="31" t="n"/>
      <c r="S617" s="31" t="n"/>
      <c r="T617" s="31" t="n"/>
      <c r="U617" s="31" t="n"/>
      <c r="V617" s="31" t="n"/>
      <c r="W617" s="31" t="n"/>
      <c r="X617" s="31" t="n"/>
      <c r="Y617" s="31" t="n"/>
    </row>
    <row r="618" ht="14.25" customHeight="1">
      <c r="A618" s="32" t="n"/>
      <c r="P618" s="31" t="n"/>
      <c r="Q618" s="31" t="n"/>
      <c r="R618" s="31" t="n"/>
      <c r="S618" s="31" t="n"/>
      <c r="T618" s="31" t="n"/>
      <c r="U618" s="31" t="n"/>
      <c r="V618" s="31" t="n"/>
      <c r="W618" s="31" t="n"/>
      <c r="X618" s="31" t="n"/>
      <c r="Y618" s="31" t="n"/>
    </row>
    <row r="619" ht="14.25" customHeight="1">
      <c r="A619" s="32" t="n"/>
      <c r="P619" s="31" t="n"/>
      <c r="Q619" s="31" t="n"/>
      <c r="R619" s="31" t="n"/>
      <c r="S619" s="31" t="n"/>
      <c r="T619" s="31" t="n"/>
      <c r="U619" s="31" t="n"/>
      <c r="V619" s="31" t="n"/>
      <c r="W619" s="31" t="n"/>
      <c r="X619" s="31" t="n"/>
      <c r="Y619" s="31" t="n"/>
    </row>
    <row r="620" ht="14.25" customHeight="1">
      <c r="A620" s="32" t="n"/>
      <c r="P620" s="31" t="n"/>
      <c r="Q620" s="31" t="n"/>
      <c r="R620" s="31" t="n"/>
      <c r="S620" s="31" t="n"/>
      <c r="T620" s="31" t="n"/>
      <c r="U620" s="31" t="n"/>
      <c r="V620" s="31" t="n"/>
      <c r="W620" s="31" t="n"/>
      <c r="X620" s="31" t="n"/>
      <c r="Y620" s="31" t="n"/>
    </row>
    <row r="621" ht="14.25" customHeight="1">
      <c r="A621" s="32" t="n"/>
      <c r="P621" s="31" t="n"/>
      <c r="Q621" s="31" t="n"/>
      <c r="R621" s="31" t="n"/>
      <c r="S621" s="31" t="n"/>
      <c r="T621" s="31" t="n"/>
      <c r="U621" s="31" t="n"/>
      <c r="V621" s="31" t="n"/>
      <c r="W621" s="31" t="n"/>
      <c r="X621" s="31" t="n"/>
      <c r="Y621" s="31" t="n"/>
    </row>
    <row r="622" ht="14.25" customHeight="1">
      <c r="A622" s="32" t="n"/>
      <c r="P622" s="31" t="n"/>
      <c r="Q622" s="31" t="n"/>
      <c r="R622" s="31" t="n"/>
      <c r="S622" s="31" t="n"/>
      <c r="T622" s="31" t="n"/>
      <c r="U622" s="31" t="n"/>
      <c r="V622" s="31" t="n"/>
      <c r="W622" s="31" t="n"/>
      <c r="X622" s="31" t="n"/>
      <c r="Y622" s="31" t="n"/>
    </row>
    <row r="623" ht="14.25" customHeight="1">
      <c r="A623" s="32" t="n"/>
      <c r="P623" s="31" t="n"/>
      <c r="Q623" s="31" t="n"/>
      <c r="R623" s="31" t="n"/>
      <c r="S623" s="31" t="n"/>
      <c r="T623" s="31" t="n"/>
      <c r="U623" s="31" t="n"/>
      <c r="V623" s="31" t="n"/>
      <c r="W623" s="31" t="n"/>
      <c r="X623" s="31" t="n"/>
      <c r="Y623" s="31" t="n"/>
    </row>
    <row r="624" ht="14.25" customHeight="1">
      <c r="A624" s="32" t="n"/>
      <c r="P624" s="31" t="n"/>
      <c r="Q624" s="31" t="n"/>
      <c r="R624" s="31" t="n"/>
      <c r="S624" s="31" t="n"/>
      <c r="T624" s="31" t="n"/>
      <c r="U624" s="31" t="n"/>
      <c r="V624" s="31" t="n"/>
      <c r="W624" s="31" t="n"/>
      <c r="X624" s="31" t="n"/>
      <c r="Y624" s="31" t="n"/>
    </row>
    <row r="625" ht="14.25" customHeight="1">
      <c r="A625" s="32" t="n"/>
      <c r="P625" s="31" t="n"/>
      <c r="Q625" s="31" t="n"/>
      <c r="R625" s="31" t="n"/>
      <c r="S625" s="31" t="n"/>
      <c r="T625" s="31" t="n"/>
      <c r="U625" s="31" t="n"/>
      <c r="V625" s="31" t="n"/>
      <c r="W625" s="31" t="n"/>
      <c r="X625" s="31" t="n"/>
      <c r="Y625" s="31" t="n"/>
    </row>
    <row r="626" ht="14.25" customHeight="1">
      <c r="A626" s="32" t="n"/>
      <c r="P626" s="31" t="n"/>
      <c r="Q626" s="31" t="n"/>
      <c r="R626" s="31" t="n"/>
      <c r="S626" s="31" t="n"/>
      <c r="T626" s="31" t="n"/>
      <c r="U626" s="31" t="n"/>
      <c r="V626" s="31" t="n"/>
      <c r="W626" s="31" t="n"/>
      <c r="X626" s="31" t="n"/>
      <c r="Y626" s="31" t="n"/>
    </row>
    <row r="627" ht="14.25" customHeight="1">
      <c r="A627" s="32" t="n"/>
      <c r="P627" s="31" t="n"/>
      <c r="Q627" s="31" t="n"/>
      <c r="R627" s="31" t="n"/>
      <c r="S627" s="31" t="n"/>
      <c r="T627" s="31" t="n"/>
      <c r="U627" s="31" t="n"/>
      <c r="V627" s="31" t="n"/>
      <c r="W627" s="31" t="n"/>
      <c r="X627" s="31" t="n"/>
      <c r="Y627" s="31" t="n"/>
    </row>
    <row r="628" ht="14.25" customHeight="1">
      <c r="A628" s="32" t="n"/>
      <c r="P628" s="31" t="n"/>
      <c r="Q628" s="31" t="n"/>
      <c r="R628" s="31" t="n"/>
      <c r="S628" s="31" t="n"/>
      <c r="T628" s="31" t="n"/>
      <c r="U628" s="31" t="n"/>
      <c r="V628" s="31" t="n"/>
      <c r="W628" s="31" t="n"/>
      <c r="X628" s="31" t="n"/>
      <c r="Y628" s="31" t="n"/>
    </row>
    <row r="629" ht="14.25" customHeight="1">
      <c r="A629" s="32" t="n"/>
      <c r="P629" s="31" t="n"/>
      <c r="Q629" s="31" t="n"/>
      <c r="R629" s="31" t="n"/>
      <c r="S629" s="31" t="n"/>
      <c r="T629" s="31" t="n"/>
      <c r="U629" s="31" t="n"/>
      <c r="V629" s="31" t="n"/>
      <c r="W629" s="31" t="n"/>
      <c r="X629" s="31" t="n"/>
      <c r="Y629" s="31" t="n"/>
    </row>
    <row r="630" ht="14.25" customHeight="1">
      <c r="A630" s="32" t="n"/>
      <c r="P630" s="31" t="n"/>
      <c r="Q630" s="31" t="n"/>
      <c r="R630" s="31" t="n"/>
      <c r="S630" s="31" t="n"/>
      <c r="T630" s="31" t="n"/>
      <c r="U630" s="31" t="n"/>
      <c r="V630" s="31" t="n"/>
      <c r="W630" s="31" t="n"/>
      <c r="X630" s="31" t="n"/>
      <c r="Y630" s="31" t="n"/>
    </row>
    <row r="631" ht="14.25" customHeight="1">
      <c r="A631" s="32" t="n"/>
      <c r="P631" s="31" t="n"/>
      <c r="Q631" s="31" t="n"/>
      <c r="R631" s="31" t="n"/>
      <c r="S631" s="31" t="n"/>
      <c r="T631" s="31" t="n"/>
      <c r="U631" s="31" t="n"/>
      <c r="V631" s="31" t="n"/>
      <c r="W631" s="31" t="n"/>
      <c r="X631" s="31" t="n"/>
      <c r="Y631" s="31" t="n"/>
    </row>
    <row r="632" ht="14.25" customHeight="1">
      <c r="A632" s="32" t="n"/>
      <c r="P632" s="31" t="n"/>
      <c r="Q632" s="31" t="n"/>
      <c r="R632" s="31" t="n"/>
      <c r="S632" s="31" t="n"/>
      <c r="T632" s="31" t="n"/>
      <c r="U632" s="31" t="n"/>
      <c r="V632" s="31" t="n"/>
      <c r="W632" s="31" t="n"/>
      <c r="X632" s="31" t="n"/>
      <c r="Y632" s="31" t="n"/>
    </row>
    <row r="633" ht="14.25" customHeight="1">
      <c r="A633" s="32" t="n"/>
      <c r="P633" s="31" t="n"/>
      <c r="Q633" s="31" t="n"/>
      <c r="R633" s="31" t="n"/>
      <c r="S633" s="31" t="n"/>
      <c r="T633" s="31" t="n"/>
      <c r="U633" s="31" t="n"/>
      <c r="V633" s="31" t="n"/>
      <c r="W633" s="31" t="n"/>
      <c r="X633" s="31" t="n"/>
      <c r="Y633" s="31" t="n"/>
    </row>
    <row r="634" ht="14.25" customHeight="1">
      <c r="A634" s="32" t="n"/>
      <c r="P634" s="31" t="n"/>
      <c r="Q634" s="31" t="n"/>
      <c r="R634" s="31" t="n"/>
      <c r="S634" s="31" t="n"/>
      <c r="T634" s="31" t="n"/>
      <c r="U634" s="31" t="n"/>
      <c r="V634" s="31" t="n"/>
      <c r="W634" s="31" t="n"/>
      <c r="X634" s="31" t="n"/>
      <c r="Y634" s="31" t="n"/>
    </row>
    <row r="635" ht="14.25" customHeight="1">
      <c r="A635" s="32" t="n"/>
      <c r="P635" s="31" t="n"/>
      <c r="Q635" s="31" t="n"/>
      <c r="R635" s="31" t="n"/>
      <c r="S635" s="31" t="n"/>
      <c r="T635" s="31" t="n"/>
      <c r="U635" s="31" t="n"/>
      <c r="V635" s="31" t="n"/>
      <c r="W635" s="31" t="n"/>
      <c r="X635" s="31" t="n"/>
      <c r="Y635" s="31" t="n"/>
    </row>
    <row r="636" ht="14.25" customHeight="1">
      <c r="A636" s="32" t="n"/>
      <c r="P636" s="31" t="n"/>
      <c r="Q636" s="31" t="n"/>
      <c r="R636" s="31" t="n"/>
      <c r="S636" s="31" t="n"/>
      <c r="T636" s="31" t="n"/>
      <c r="U636" s="31" t="n"/>
      <c r="V636" s="31" t="n"/>
      <c r="W636" s="31" t="n"/>
      <c r="X636" s="31" t="n"/>
      <c r="Y636" s="31" t="n"/>
    </row>
    <row r="637" ht="14.25" customHeight="1">
      <c r="A637" s="32" t="n"/>
      <c r="P637" s="31" t="n"/>
      <c r="Q637" s="31" t="n"/>
      <c r="R637" s="31" t="n"/>
      <c r="S637" s="31" t="n"/>
      <c r="T637" s="31" t="n"/>
      <c r="U637" s="31" t="n"/>
      <c r="V637" s="31" t="n"/>
      <c r="W637" s="31" t="n"/>
      <c r="X637" s="31" t="n"/>
      <c r="Y637" s="31" t="n"/>
    </row>
    <row r="638" ht="14.25" customHeight="1">
      <c r="A638" s="32" t="n"/>
      <c r="P638" s="31" t="n"/>
      <c r="Q638" s="31" t="n"/>
      <c r="R638" s="31" t="n"/>
      <c r="S638" s="31" t="n"/>
      <c r="T638" s="31" t="n"/>
      <c r="U638" s="31" t="n"/>
      <c r="V638" s="31" t="n"/>
      <c r="W638" s="31" t="n"/>
      <c r="X638" s="31" t="n"/>
      <c r="Y638" s="31" t="n"/>
    </row>
    <row r="639" ht="14.25" customHeight="1">
      <c r="A639" s="32" t="n"/>
      <c r="P639" s="31" t="n"/>
      <c r="Q639" s="31" t="n"/>
      <c r="R639" s="31" t="n"/>
      <c r="S639" s="31" t="n"/>
      <c r="T639" s="31" t="n"/>
      <c r="U639" s="31" t="n"/>
      <c r="V639" s="31" t="n"/>
      <c r="W639" s="31" t="n"/>
      <c r="X639" s="31" t="n"/>
      <c r="Y639" s="31" t="n"/>
    </row>
    <row r="640" ht="14.25" customHeight="1">
      <c r="A640" s="32" t="n"/>
      <c r="P640" s="31" t="n"/>
      <c r="Q640" s="31" t="n"/>
      <c r="R640" s="31" t="n"/>
      <c r="S640" s="31" t="n"/>
      <c r="T640" s="31" t="n"/>
      <c r="U640" s="31" t="n"/>
      <c r="V640" s="31" t="n"/>
      <c r="W640" s="31" t="n"/>
      <c r="X640" s="31" t="n"/>
      <c r="Y640" s="31" t="n"/>
    </row>
    <row r="641" ht="14.25" customHeight="1">
      <c r="A641" s="32" t="n"/>
      <c r="P641" s="31" t="n"/>
      <c r="Q641" s="31" t="n"/>
      <c r="R641" s="31" t="n"/>
      <c r="S641" s="31" t="n"/>
      <c r="T641" s="31" t="n"/>
      <c r="U641" s="31" t="n"/>
      <c r="V641" s="31" t="n"/>
      <c r="W641" s="31" t="n"/>
      <c r="X641" s="31" t="n"/>
      <c r="Y641" s="31" t="n"/>
    </row>
    <row r="642" ht="14.25" customHeight="1">
      <c r="A642" s="32" t="n"/>
      <c r="P642" s="31" t="n"/>
      <c r="Q642" s="31" t="n"/>
      <c r="R642" s="31" t="n"/>
      <c r="S642" s="31" t="n"/>
      <c r="T642" s="31" t="n"/>
      <c r="U642" s="31" t="n"/>
      <c r="V642" s="31" t="n"/>
      <c r="W642" s="31" t="n"/>
      <c r="X642" s="31" t="n"/>
      <c r="Y642" s="31" t="n"/>
    </row>
    <row r="643" ht="14.25" customHeight="1">
      <c r="A643" s="32" t="n"/>
      <c r="P643" s="31" t="n"/>
      <c r="Q643" s="31" t="n"/>
      <c r="R643" s="31" t="n"/>
      <c r="S643" s="31" t="n"/>
      <c r="T643" s="31" t="n"/>
      <c r="U643" s="31" t="n"/>
      <c r="V643" s="31" t="n"/>
      <c r="W643" s="31" t="n"/>
      <c r="X643" s="31" t="n"/>
      <c r="Y643" s="31" t="n"/>
    </row>
    <row r="644" ht="14.25" customHeight="1">
      <c r="A644" s="32" t="n"/>
      <c r="P644" s="31" t="n"/>
      <c r="Q644" s="31" t="n"/>
      <c r="R644" s="31" t="n"/>
      <c r="S644" s="31" t="n"/>
      <c r="T644" s="31" t="n"/>
      <c r="U644" s="31" t="n"/>
      <c r="V644" s="31" t="n"/>
      <c r="W644" s="31" t="n"/>
      <c r="X644" s="31" t="n"/>
      <c r="Y644" s="31" t="n"/>
    </row>
    <row r="645" ht="14.25" customHeight="1">
      <c r="A645" s="32" t="n"/>
      <c r="P645" s="31" t="n"/>
      <c r="Q645" s="31" t="n"/>
      <c r="R645" s="31" t="n"/>
      <c r="S645" s="31" t="n"/>
      <c r="T645" s="31" t="n"/>
      <c r="U645" s="31" t="n"/>
      <c r="V645" s="31" t="n"/>
      <c r="W645" s="31" t="n"/>
      <c r="X645" s="31" t="n"/>
      <c r="Y645" s="31" t="n"/>
    </row>
    <row r="646" ht="14.25" customHeight="1">
      <c r="A646" s="32" t="n"/>
      <c r="P646" s="31" t="n"/>
      <c r="Q646" s="31" t="n"/>
      <c r="R646" s="31" t="n"/>
      <c r="S646" s="31" t="n"/>
      <c r="T646" s="31" t="n"/>
      <c r="U646" s="31" t="n"/>
      <c r="V646" s="31" t="n"/>
      <c r="W646" s="31" t="n"/>
      <c r="X646" s="31" t="n"/>
      <c r="Y646" s="31" t="n"/>
    </row>
    <row r="647" ht="14.25" customHeight="1">
      <c r="A647" s="32" t="n"/>
      <c r="P647" s="31" t="n"/>
      <c r="Q647" s="31" t="n"/>
      <c r="R647" s="31" t="n"/>
      <c r="S647" s="31" t="n"/>
      <c r="T647" s="31" t="n"/>
      <c r="U647" s="31" t="n"/>
      <c r="V647" s="31" t="n"/>
      <c r="W647" s="31" t="n"/>
      <c r="X647" s="31" t="n"/>
      <c r="Y647" s="31" t="n"/>
    </row>
    <row r="648" ht="14.25" customHeight="1">
      <c r="A648" s="32" t="n"/>
      <c r="P648" s="31" t="n"/>
      <c r="Q648" s="31" t="n"/>
      <c r="R648" s="31" t="n"/>
      <c r="S648" s="31" t="n"/>
      <c r="T648" s="31" t="n"/>
      <c r="U648" s="31" t="n"/>
      <c r="V648" s="31" t="n"/>
      <c r="W648" s="31" t="n"/>
      <c r="X648" s="31" t="n"/>
      <c r="Y648" s="31" t="n"/>
    </row>
    <row r="649" ht="14.25" customHeight="1">
      <c r="A649" s="32" t="n"/>
      <c r="P649" s="31" t="n"/>
      <c r="Q649" s="31" t="n"/>
      <c r="R649" s="31" t="n"/>
      <c r="S649" s="31" t="n"/>
      <c r="T649" s="31" t="n"/>
      <c r="U649" s="31" t="n"/>
      <c r="V649" s="31" t="n"/>
      <c r="W649" s="31" t="n"/>
      <c r="X649" s="31" t="n"/>
      <c r="Y649" s="31" t="n"/>
    </row>
    <row r="650" ht="14.25" customHeight="1">
      <c r="A650" s="32" t="n"/>
      <c r="P650" s="31" t="n"/>
      <c r="Q650" s="31" t="n"/>
      <c r="R650" s="31" t="n"/>
      <c r="S650" s="31" t="n"/>
      <c r="T650" s="31" t="n"/>
      <c r="U650" s="31" t="n"/>
      <c r="V650" s="31" t="n"/>
      <c r="W650" s="31" t="n"/>
      <c r="X650" s="31" t="n"/>
      <c r="Y650" s="31" t="n"/>
    </row>
    <row r="651" ht="14.25" customHeight="1">
      <c r="A651" s="32" t="n"/>
      <c r="P651" s="31" t="n"/>
      <c r="Q651" s="31" t="n"/>
      <c r="R651" s="31" t="n"/>
      <c r="S651" s="31" t="n"/>
      <c r="T651" s="31" t="n"/>
      <c r="U651" s="31" t="n"/>
      <c r="V651" s="31" t="n"/>
      <c r="W651" s="31" t="n"/>
      <c r="X651" s="31" t="n"/>
      <c r="Y651" s="31" t="n"/>
    </row>
    <row r="652" ht="14.25" customHeight="1">
      <c r="A652" s="32" t="n"/>
      <c r="P652" s="31" t="n"/>
      <c r="Q652" s="31" t="n"/>
      <c r="R652" s="31" t="n"/>
      <c r="S652" s="31" t="n"/>
      <c r="T652" s="31" t="n"/>
      <c r="U652" s="31" t="n"/>
      <c r="V652" s="31" t="n"/>
      <c r="W652" s="31" t="n"/>
      <c r="X652" s="31" t="n"/>
      <c r="Y652" s="31" t="n"/>
    </row>
    <row r="653" ht="14.25" customHeight="1">
      <c r="A653" s="32" t="n"/>
      <c r="P653" s="31" t="n"/>
      <c r="Q653" s="31" t="n"/>
      <c r="R653" s="31" t="n"/>
      <c r="S653" s="31" t="n"/>
      <c r="T653" s="31" t="n"/>
      <c r="U653" s="31" t="n"/>
      <c r="V653" s="31" t="n"/>
      <c r="W653" s="31" t="n"/>
      <c r="X653" s="31" t="n"/>
      <c r="Y653" s="31" t="n"/>
    </row>
    <row r="654" ht="14.25" customHeight="1">
      <c r="A654" s="32" t="n"/>
      <c r="P654" s="31" t="n"/>
      <c r="Q654" s="31" t="n"/>
      <c r="R654" s="31" t="n"/>
      <c r="S654" s="31" t="n"/>
      <c r="T654" s="31" t="n"/>
      <c r="U654" s="31" t="n"/>
      <c r="V654" s="31" t="n"/>
      <c r="W654" s="31" t="n"/>
      <c r="X654" s="31" t="n"/>
      <c r="Y654" s="31" t="n"/>
    </row>
    <row r="655" ht="14.25" customHeight="1">
      <c r="A655" s="32" t="n"/>
      <c r="P655" s="31" t="n"/>
      <c r="Q655" s="31" t="n"/>
      <c r="R655" s="31" t="n"/>
      <c r="S655" s="31" t="n"/>
      <c r="T655" s="31" t="n"/>
      <c r="U655" s="31" t="n"/>
      <c r="V655" s="31" t="n"/>
      <c r="W655" s="31" t="n"/>
      <c r="X655" s="31" t="n"/>
      <c r="Y655" s="31" t="n"/>
    </row>
    <row r="656" ht="14.25" customHeight="1">
      <c r="A656" s="32" t="n"/>
      <c r="P656" s="31" t="n"/>
      <c r="Q656" s="31" t="n"/>
      <c r="R656" s="31" t="n"/>
      <c r="S656" s="31" t="n"/>
      <c r="T656" s="31" t="n"/>
      <c r="U656" s="31" t="n"/>
      <c r="V656" s="31" t="n"/>
      <c r="W656" s="31" t="n"/>
      <c r="X656" s="31" t="n"/>
      <c r="Y656" s="31" t="n"/>
    </row>
    <row r="657" ht="14.25" customHeight="1">
      <c r="A657" s="32" t="n"/>
      <c r="P657" s="31" t="n"/>
      <c r="Q657" s="31" t="n"/>
      <c r="R657" s="31" t="n"/>
      <c r="S657" s="31" t="n"/>
      <c r="T657" s="31" t="n"/>
      <c r="U657" s="31" t="n"/>
      <c r="V657" s="31" t="n"/>
      <c r="W657" s="31" t="n"/>
      <c r="X657" s="31" t="n"/>
      <c r="Y657" s="31" t="n"/>
    </row>
    <row r="658" ht="14.25" customHeight="1">
      <c r="A658" s="32" t="n"/>
      <c r="P658" s="31" t="n"/>
      <c r="Q658" s="31" t="n"/>
      <c r="R658" s="31" t="n"/>
      <c r="S658" s="31" t="n"/>
      <c r="T658" s="31" t="n"/>
      <c r="U658" s="31" t="n"/>
      <c r="V658" s="31" t="n"/>
      <c r="W658" s="31" t="n"/>
      <c r="X658" s="31" t="n"/>
      <c r="Y658" s="31" t="n"/>
    </row>
    <row r="659" ht="14.25" customHeight="1">
      <c r="A659" s="32" t="n"/>
      <c r="P659" s="31" t="n"/>
      <c r="Q659" s="31" t="n"/>
      <c r="R659" s="31" t="n"/>
      <c r="S659" s="31" t="n"/>
      <c r="T659" s="31" t="n"/>
      <c r="U659" s="31" t="n"/>
      <c r="V659" s="31" t="n"/>
      <c r="W659" s="31" t="n"/>
      <c r="X659" s="31" t="n"/>
      <c r="Y659" s="31" t="n"/>
    </row>
    <row r="660" ht="14.25" customHeight="1">
      <c r="A660" s="32" t="n"/>
      <c r="P660" s="31" t="n"/>
      <c r="Q660" s="31" t="n"/>
      <c r="R660" s="31" t="n"/>
      <c r="S660" s="31" t="n"/>
      <c r="T660" s="31" t="n"/>
      <c r="U660" s="31" t="n"/>
      <c r="V660" s="31" t="n"/>
      <c r="W660" s="31" t="n"/>
      <c r="X660" s="31" t="n"/>
      <c r="Y660" s="31" t="n"/>
    </row>
    <row r="661" ht="14.25" customHeight="1">
      <c r="A661" s="32" t="n"/>
      <c r="P661" s="31" t="n"/>
      <c r="Q661" s="31" t="n"/>
      <c r="R661" s="31" t="n"/>
      <c r="S661" s="31" t="n"/>
      <c r="T661" s="31" t="n"/>
      <c r="U661" s="31" t="n"/>
      <c r="V661" s="31" t="n"/>
      <c r="W661" s="31" t="n"/>
      <c r="X661" s="31" t="n"/>
      <c r="Y661" s="31" t="n"/>
    </row>
    <row r="662" ht="14.25" customHeight="1">
      <c r="A662" s="32" t="n"/>
      <c r="P662" s="31" t="n"/>
      <c r="Q662" s="31" t="n"/>
      <c r="R662" s="31" t="n"/>
      <c r="S662" s="31" t="n"/>
      <c r="T662" s="31" t="n"/>
      <c r="U662" s="31" t="n"/>
      <c r="V662" s="31" t="n"/>
      <c r="W662" s="31" t="n"/>
      <c r="X662" s="31" t="n"/>
      <c r="Y662" s="31" t="n"/>
    </row>
    <row r="663" ht="14.25" customHeight="1">
      <c r="A663" s="32" t="n"/>
      <c r="P663" s="31" t="n"/>
      <c r="Q663" s="31" t="n"/>
      <c r="R663" s="31" t="n"/>
      <c r="S663" s="31" t="n"/>
      <c r="T663" s="31" t="n"/>
      <c r="U663" s="31" t="n"/>
      <c r="V663" s="31" t="n"/>
      <c r="W663" s="31" t="n"/>
      <c r="X663" s="31" t="n"/>
      <c r="Y663" s="31" t="n"/>
    </row>
    <row r="664" ht="14.25" customHeight="1">
      <c r="A664" s="32" t="n"/>
      <c r="P664" s="31" t="n"/>
      <c r="Q664" s="31" t="n"/>
      <c r="R664" s="31" t="n"/>
      <c r="S664" s="31" t="n"/>
      <c r="T664" s="31" t="n"/>
      <c r="U664" s="31" t="n"/>
      <c r="V664" s="31" t="n"/>
      <c r="W664" s="31" t="n"/>
      <c r="X664" s="31" t="n"/>
      <c r="Y664" s="31" t="n"/>
    </row>
    <row r="665" ht="14.25" customHeight="1">
      <c r="A665" s="32" t="n"/>
      <c r="P665" s="31" t="n"/>
      <c r="Q665" s="31" t="n"/>
      <c r="R665" s="31" t="n"/>
      <c r="S665" s="31" t="n"/>
      <c r="T665" s="31" t="n"/>
      <c r="U665" s="31" t="n"/>
      <c r="V665" s="31" t="n"/>
      <c r="W665" s="31" t="n"/>
      <c r="X665" s="31" t="n"/>
      <c r="Y665" s="31" t="n"/>
    </row>
    <row r="666" ht="14.25" customHeight="1">
      <c r="A666" s="32" t="n"/>
      <c r="P666" s="31" t="n"/>
      <c r="Q666" s="31" t="n"/>
      <c r="R666" s="31" t="n"/>
      <c r="S666" s="31" t="n"/>
      <c r="T666" s="31" t="n"/>
      <c r="U666" s="31" t="n"/>
      <c r="V666" s="31" t="n"/>
      <c r="W666" s="31" t="n"/>
      <c r="X666" s="31" t="n"/>
      <c r="Y666" s="31" t="n"/>
    </row>
    <row r="667" ht="14.25" customHeight="1">
      <c r="A667" s="32" t="n"/>
      <c r="P667" s="31" t="n"/>
      <c r="Q667" s="31" t="n"/>
      <c r="R667" s="31" t="n"/>
      <c r="S667" s="31" t="n"/>
      <c r="T667" s="31" t="n"/>
      <c r="U667" s="31" t="n"/>
      <c r="V667" s="31" t="n"/>
      <c r="W667" s="31" t="n"/>
      <c r="X667" s="31" t="n"/>
      <c r="Y667" s="31" t="n"/>
    </row>
    <row r="668" ht="14.25" customHeight="1">
      <c r="A668" s="32" t="n"/>
      <c r="P668" s="31" t="n"/>
      <c r="Q668" s="31" t="n"/>
      <c r="R668" s="31" t="n"/>
      <c r="S668" s="31" t="n"/>
      <c r="T668" s="31" t="n"/>
      <c r="U668" s="31" t="n"/>
      <c r="V668" s="31" t="n"/>
      <c r="W668" s="31" t="n"/>
      <c r="X668" s="31" t="n"/>
      <c r="Y668" s="31" t="n"/>
    </row>
    <row r="669" ht="14.25" customHeight="1">
      <c r="A669" s="32" t="n"/>
      <c r="P669" s="31" t="n"/>
      <c r="Q669" s="31" t="n"/>
      <c r="R669" s="31" t="n"/>
      <c r="S669" s="31" t="n"/>
      <c r="T669" s="31" t="n"/>
      <c r="U669" s="31" t="n"/>
      <c r="V669" s="31" t="n"/>
      <c r="W669" s="31" t="n"/>
      <c r="X669" s="31" t="n"/>
      <c r="Y669" s="31" t="n"/>
    </row>
    <row r="670" ht="14.25" customHeight="1">
      <c r="A670" s="32" t="n"/>
      <c r="P670" s="31" t="n"/>
      <c r="Q670" s="31" t="n"/>
      <c r="R670" s="31" t="n"/>
      <c r="S670" s="31" t="n"/>
      <c r="T670" s="31" t="n"/>
      <c r="U670" s="31" t="n"/>
      <c r="V670" s="31" t="n"/>
      <c r="W670" s="31" t="n"/>
      <c r="X670" s="31" t="n"/>
      <c r="Y670" s="31" t="n"/>
    </row>
    <row r="671" ht="14.25" customHeight="1">
      <c r="A671" s="32" t="n"/>
      <c r="P671" s="31" t="n"/>
      <c r="Q671" s="31" t="n"/>
      <c r="R671" s="31" t="n"/>
      <c r="S671" s="31" t="n"/>
      <c r="T671" s="31" t="n"/>
      <c r="U671" s="31" t="n"/>
      <c r="V671" s="31" t="n"/>
      <c r="W671" s="31" t="n"/>
      <c r="X671" s="31" t="n"/>
      <c r="Y671" s="31" t="n"/>
    </row>
    <row r="672" ht="14.25" customHeight="1">
      <c r="A672" s="32" t="n"/>
      <c r="P672" s="31" t="n"/>
      <c r="Q672" s="31" t="n"/>
      <c r="R672" s="31" t="n"/>
      <c r="S672" s="31" t="n"/>
      <c r="T672" s="31" t="n"/>
      <c r="U672" s="31" t="n"/>
      <c r="V672" s="31" t="n"/>
      <c r="W672" s="31" t="n"/>
      <c r="X672" s="31" t="n"/>
      <c r="Y672" s="31" t="n"/>
    </row>
    <row r="673" ht="14.25" customHeight="1">
      <c r="A673" s="32" t="n"/>
      <c r="P673" s="31" t="n"/>
      <c r="Q673" s="31" t="n"/>
      <c r="R673" s="31" t="n"/>
      <c r="S673" s="31" t="n"/>
      <c r="T673" s="31" t="n"/>
      <c r="U673" s="31" t="n"/>
      <c r="V673" s="31" t="n"/>
      <c r="W673" s="31" t="n"/>
      <c r="X673" s="31" t="n"/>
      <c r="Y673" s="31" t="n"/>
    </row>
    <row r="674" ht="14.25" customHeight="1">
      <c r="A674" s="32" t="n"/>
      <c r="P674" s="31" t="n"/>
      <c r="Q674" s="31" t="n"/>
      <c r="R674" s="31" t="n"/>
      <c r="S674" s="31" t="n"/>
      <c r="T674" s="31" t="n"/>
      <c r="U674" s="31" t="n"/>
      <c r="V674" s="31" t="n"/>
      <c r="W674" s="31" t="n"/>
      <c r="X674" s="31" t="n"/>
      <c r="Y674" s="31" t="n"/>
    </row>
    <row r="675" ht="14.25" customHeight="1">
      <c r="A675" s="32" t="n"/>
      <c r="P675" s="31" t="n"/>
      <c r="Q675" s="31" t="n"/>
      <c r="R675" s="31" t="n"/>
      <c r="S675" s="31" t="n"/>
      <c r="T675" s="31" t="n"/>
      <c r="U675" s="31" t="n"/>
      <c r="V675" s="31" t="n"/>
      <c r="W675" s="31" t="n"/>
      <c r="X675" s="31" t="n"/>
      <c r="Y675" s="31" t="n"/>
    </row>
    <row r="676" ht="14.25" customHeight="1">
      <c r="A676" s="32" t="n"/>
      <c r="P676" s="31" t="n"/>
      <c r="Q676" s="31" t="n"/>
      <c r="R676" s="31" t="n"/>
      <c r="S676" s="31" t="n"/>
      <c r="T676" s="31" t="n"/>
      <c r="U676" s="31" t="n"/>
      <c r="V676" s="31" t="n"/>
      <c r="W676" s="31" t="n"/>
      <c r="X676" s="31" t="n"/>
      <c r="Y676" s="31" t="n"/>
    </row>
    <row r="677" ht="14.25" customHeight="1">
      <c r="A677" s="32" t="n"/>
      <c r="P677" s="31" t="n"/>
      <c r="Q677" s="31" t="n"/>
      <c r="R677" s="31" t="n"/>
      <c r="S677" s="31" t="n"/>
      <c r="T677" s="31" t="n"/>
      <c r="U677" s="31" t="n"/>
      <c r="V677" s="31" t="n"/>
      <c r="W677" s="31" t="n"/>
      <c r="X677" s="31" t="n"/>
      <c r="Y677" s="31" t="n"/>
    </row>
    <row r="678" ht="14.25" customHeight="1">
      <c r="A678" s="32" t="n"/>
      <c r="P678" s="31" t="n"/>
      <c r="Q678" s="31" t="n"/>
      <c r="R678" s="31" t="n"/>
      <c r="S678" s="31" t="n"/>
      <c r="T678" s="31" t="n"/>
      <c r="U678" s="31" t="n"/>
      <c r="V678" s="31" t="n"/>
      <c r="W678" s="31" t="n"/>
      <c r="X678" s="31" t="n"/>
      <c r="Y678" s="31" t="n"/>
    </row>
    <row r="679" ht="14.25" customHeight="1">
      <c r="A679" s="32" t="n"/>
      <c r="P679" s="31" t="n"/>
      <c r="Q679" s="31" t="n"/>
      <c r="R679" s="31" t="n"/>
      <c r="S679" s="31" t="n"/>
      <c r="T679" s="31" t="n"/>
      <c r="U679" s="31" t="n"/>
      <c r="V679" s="31" t="n"/>
      <c r="W679" s="31" t="n"/>
      <c r="X679" s="31" t="n"/>
      <c r="Y679" s="31" t="n"/>
    </row>
    <row r="680" ht="14.25" customHeight="1">
      <c r="A680" s="32" t="n"/>
      <c r="P680" s="31" t="n"/>
      <c r="Q680" s="31" t="n"/>
      <c r="R680" s="31" t="n"/>
      <c r="S680" s="31" t="n"/>
      <c r="T680" s="31" t="n"/>
      <c r="U680" s="31" t="n"/>
      <c r="V680" s="31" t="n"/>
      <c r="W680" s="31" t="n"/>
      <c r="X680" s="31" t="n"/>
      <c r="Y680" s="31" t="n"/>
    </row>
    <row r="681" ht="14.25" customHeight="1">
      <c r="A681" s="32" t="n"/>
      <c r="P681" s="31" t="n"/>
      <c r="Q681" s="31" t="n"/>
      <c r="R681" s="31" t="n"/>
      <c r="S681" s="31" t="n"/>
      <c r="T681" s="31" t="n"/>
      <c r="U681" s="31" t="n"/>
      <c r="V681" s="31" t="n"/>
      <c r="W681" s="31" t="n"/>
      <c r="X681" s="31" t="n"/>
      <c r="Y681" s="31" t="n"/>
    </row>
    <row r="682" ht="14.25" customHeight="1">
      <c r="A682" s="32" t="n"/>
      <c r="P682" s="31" t="n"/>
      <c r="Q682" s="31" t="n"/>
      <c r="R682" s="31" t="n"/>
      <c r="S682" s="31" t="n"/>
      <c r="T682" s="31" t="n"/>
      <c r="U682" s="31" t="n"/>
      <c r="V682" s="31" t="n"/>
      <c r="W682" s="31" t="n"/>
      <c r="X682" s="31" t="n"/>
      <c r="Y682" s="31" t="n"/>
    </row>
    <row r="683" ht="14.25" customHeight="1">
      <c r="A683" s="32" t="n"/>
      <c r="P683" s="31" t="n"/>
      <c r="Q683" s="31" t="n"/>
      <c r="R683" s="31" t="n"/>
      <c r="S683" s="31" t="n"/>
      <c r="T683" s="31" t="n"/>
      <c r="U683" s="31" t="n"/>
      <c r="V683" s="31" t="n"/>
      <c r="W683" s="31" t="n"/>
      <c r="X683" s="31" t="n"/>
      <c r="Y683" s="31" t="n"/>
    </row>
    <row r="684" ht="14.25" customHeight="1">
      <c r="A684" s="32" t="n"/>
      <c r="P684" s="31" t="n"/>
      <c r="Q684" s="31" t="n"/>
      <c r="R684" s="31" t="n"/>
      <c r="S684" s="31" t="n"/>
      <c r="T684" s="31" t="n"/>
      <c r="U684" s="31" t="n"/>
      <c r="V684" s="31" t="n"/>
      <c r="W684" s="31" t="n"/>
      <c r="X684" s="31" t="n"/>
      <c r="Y684" s="31" t="n"/>
    </row>
    <row r="685" ht="14.25" customHeight="1">
      <c r="A685" s="32" t="n"/>
      <c r="P685" s="31" t="n"/>
      <c r="Q685" s="31" t="n"/>
      <c r="R685" s="31" t="n"/>
      <c r="S685" s="31" t="n"/>
      <c r="T685" s="31" t="n"/>
      <c r="U685" s="31" t="n"/>
      <c r="V685" s="31" t="n"/>
      <c r="W685" s="31" t="n"/>
      <c r="X685" s="31" t="n"/>
      <c r="Y685" s="31" t="n"/>
    </row>
    <row r="686" ht="14.25" customHeight="1">
      <c r="A686" s="32" t="n"/>
      <c r="P686" s="31" t="n"/>
      <c r="Q686" s="31" t="n"/>
      <c r="R686" s="31" t="n"/>
      <c r="S686" s="31" t="n"/>
      <c r="T686" s="31" t="n"/>
      <c r="U686" s="31" t="n"/>
      <c r="V686" s="31" t="n"/>
      <c r="W686" s="31" t="n"/>
      <c r="X686" s="31" t="n"/>
      <c r="Y686" s="31" t="n"/>
    </row>
    <row r="687" ht="14.25" customHeight="1">
      <c r="A687" s="32" t="n"/>
      <c r="P687" s="31" t="n"/>
      <c r="Q687" s="31" t="n"/>
      <c r="R687" s="31" t="n"/>
      <c r="S687" s="31" t="n"/>
      <c r="T687" s="31" t="n"/>
      <c r="U687" s="31" t="n"/>
      <c r="V687" s="31" t="n"/>
      <c r="W687" s="31" t="n"/>
      <c r="X687" s="31" t="n"/>
      <c r="Y687" s="31" t="n"/>
    </row>
    <row r="688" ht="14.25" customHeight="1">
      <c r="A688" s="32" t="n"/>
      <c r="P688" s="31" t="n"/>
      <c r="Q688" s="31" t="n"/>
      <c r="R688" s="31" t="n"/>
      <c r="S688" s="31" t="n"/>
      <c r="T688" s="31" t="n"/>
      <c r="U688" s="31" t="n"/>
      <c r="V688" s="31" t="n"/>
      <c r="W688" s="31" t="n"/>
      <c r="X688" s="31" t="n"/>
      <c r="Y688" s="31" t="n"/>
    </row>
    <row r="689" ht="14.25" customHeight="1">
      <c r="A689" s="32" t="n"/>
      <c r="P689" s="31" t="n"/>
      <c r="Q689" s="31" t="n"/>
      <c r="R689" s="31" t="n"/>
      <c r="S689" s="31" t="n"/>
      <c r="T689" s="31" t="n"/>
      <c r="U689" s="31" t="n"/>
      <c r="V689" s="31" t="n"/>
      <c r="W689" s="31" t="n"/>
      <c r="X689" s="31" t="n"/>
      <c r="Y689" s="31" t="n"/>
    </row>
    <row r="690" ht="14.25" customHeight="1">
      <c r="A690" s="32" t="n"/>
      <c r="P690" s="31" t="n"/>
      <c r="Q690" s="31" t="n"/>
      <c r="R690" s="31" t="n"/>
      <c r="S690" s="31" t="n"/>
      <c r="T690" s="31" t="n"/>
      <c r="U690" s="31" t="n"/>
      <c r="V690" s="31" t="n"/>
      <c r="W690" s="31" t="n"/>
      <c r="X690" s="31" t="n"/>
      <c r="Y690" s="31" t="n"/>
    </row>
    <row r="691" ht="14.25" customHeight="1">
      <c r="A691" s="32" t="n"/>
      <c r="P691" s="31" t="n"/>
      <c r="Q691" s="31" t="n"/>
      <c r="R691" s="31" t="n"/>
      <c r="S691" s="31" t="n"/>
      <c r="T691" s="31" t="n"/>
      <c r="U691" s="31" t="n"/>
      <c r="V691" s="31" t="n"/>
      <c r="W691" s="31" t="n"/>
      <c r="X691" s="31" t="n"/>
      <c r="Y691" s="31" t="n"/>
    </row>
    <row r="692" ht="14.25" customHeight="1">
      <c r="A692" s="32" t="n"/>
      <c r="P692" s="31" t="n"/>
      <c r="Q692" s="31" t="n"/>
      <c r="R692" s="31" t="n"/>
      <c r="S692" s="31" t="n"/>
      <c r="T692" s="31" t="n"/>
      <c r="U692" s="31" t="n"/>
      <c r="V692" s="31" t="n"/>
      <c r="W692" s="31" t="n"/>
      <c r="X692" s="31" t="n"/>
      <c r="Y692" s="31" t="n"/>
    </row>
    <row r="693" ht="14.25" customHeight="1">
      <c r="A693" s="32" t="n"/>
      <c r="P693" s="31" t="n"/>
      <c r="Q693" s="31" t="n"/>
      <c r="R693" s="31" t="n"/>
      <c r="S693" s="31" t="n"/>
      <c r="T693" s="31" t="n"/>
      <c r="U693" s="31" t="n"/>
      <c r="V693" s="31" t="n"/>
      <c r="W693" s="31" t="n"/>
      <c r="X693" s="31" t="n"/>
      <c r="Y693" s="31" t="n"/>
    </row>
    <row r="694" ht="14.25" customHeight="1">
      <c r="A694" s="32" t="n"/>
      <c r="P694" s="31" t="n"/>
      <c r="Q694" s="31" t="n"/>
      <c r="R694" s="31" t="n"/>
      <c r="S694" s="31" t="n"/>
      <c r="T694" s="31" t="n"/>
      <c r="U694" s="31" t="n"/>
      <c r="V694" s="31" t="n"/>
      <c r="W694" s="31" t="n"/>
      <c r="X694" s="31" t="n"/>
      <c r="Y694" s="31" t="n"/>
    </row>
    <row r="695" ht="14.25" customHeight="1">
      <c r="A695" s="32" t="n"/>
      <c r="P695" s="31" t="n"/>
      <c r="Q695" s="31" t="n"/>
      <c r="R695" s="31" t="n"/>
      <c r="S695" s="31" t="n"/>
      <c r="T695" s="31" t="n"/>
      <c r="U695" s="31" t="n"/>
      <c r="V695" s="31" t="n"/>
      <c r="W695" s="31" t="n"/>
      <c r="X695" s="31" t="n"/>
      <c r="Y695" s="31" t="n"/>
    </row>
    <row r="696" ht="14.25" customHeight="1">
      <c r="A696" s="32" t="n"/>
      <c r="P696" s="31" t="n"/>
      <c r="Q696" s="31" t="n"/>
      <c r="R696" s="31" t="n"/>
      <c r="S696" s="31" t="n"/>
      <c r="T696" s="31" t="n"/>
      <c r="U696" s="31" t="n"/>
      <c r="V696" s="31" t="n"/>
      <c r="W696" s="31" t="n"/>
      <c r="X696" s="31" t="n"/>
      <c r="Y696" s="31" t="n"/>
    </row>
    <row r="697" ht="14.25" customHeight="1">
      <c r="A697" s="32" t="n"/>
      <c r="P697" s="31" t="n"/>
      <c r="Q697" s="31" t="n"/>
      <c r="R697" s="31" t="n"/>
      <c r="S697" s="31" t="n"/>
      <c r="T697" s="31" t="n"/>
      <c r="U697" s="31" t="n"/>
      <c r="V697" s="31" t="n"/>
      <c r="W697" s="31" t="n"/>
      <c r="X697" s="31" t="n"/>
      <c r="Y697" s="31" t="n"/>
    </row>
    <row r="698" ht="14.25" customHeight="1">
      <c r="A698" s="32" t="n"/>
      <c r="P698" s="31" t="n"/>
      <c r="Q698" s="31" t="n"/>
      <c r="R698" s="31" t="n"/>
      <c r="S698" s="31" t="n"/>
      <c r="T698" s="31" t="n"/>
      <c r="U698" s="31" t="n"/>
      <c r="V698" s="31" t="n"/>
      <c r="W698" s="31" t="n"/>
      <c r="X698" s="31" t="n"/>
      <c r="Y698" s="31" t="n"/>
    </row>
    <row r="699" ht="14.25" customHeight="1">
      <c r="A699" s="32" t="n"/>
      <c r="P699" s="31" t="n"/>
      <c r="Q699" s="31" t="n"/>
      <c r="R699" s="31" t="n"/>
      <c r="S699" s="31" t="n"/>
      <c r="T699" s="31" t="n"/>
      <c r="U699" s="31" t="n"/>
      <c r="V699" s="31" t="n"/>
      <c r="W699" s="31" t="n"/>
      <c r="X699" s="31" t="n"/>
      <c r="Y699" s="31" t="n"/>
    </row>
    <row r="700" ht="14.25" customHeight="1">
      <c r="A700" s="32" t="n"/>
      <c r="P700" s="31" t="n"/>
      <c r="Q700" s="31" t="n"/>
      <c r="R700" s="31" t="n"/>
      <c r="S700" s="31" t="n"/>
      <c r="T700" s="31" t="n"/>
      <c r="U700" s="31" t="n"/>
      <c r="V700" s="31" t="n"/>
      <c r="W700" s="31" t="n"/>
      <c r="X700" s="31" t="n"/>
      <c r="Y700" s="31" t="n"/>
    </row>
    <row r="701" ht="14.25" customHeight="1">
      <c r="A701" s="32" t="n"/>
      <c r="P701" s="31" t="n"/>
      <c r="Q701" s="31" t="n"/>
      <c r="R701" s="31" t="n"/>
      <c r="S701" s="31" t="n"/>
      <c r="T701" s="31" t="n"/>
      <c r="U701" s="31" t="n"/>
      <c r="V701" s="31" t="n"/>
      <c r="W701" s="31" t="n"/>
      <c r="X701" s="31" t="n"/>
      <c r="Y701" s="31" t="n"/>
    </row>
    <row r="702" ht="14.25" customHeight="1">
      <c r="A702" s="32" t="n"/>
      <c r="P702" s="31" t="n"/>
      <c r="Q702" s="31" t="n"/>
      <c r="R702" s="31" t="n"/>
      <c r="S702" s="31" t="n"/>
      <c r="T702" s="31" t="n"/>
      <c r="U702" s="31" t="n"/>
      <c r="V702" s="31" t="n"/>
      <c r="W702" s="31" t="n"/>
      <c r="X702" s="31" t="n"/>
      <c r="Y702" s="31" t="n"/>
    </row>
    <row r="703" ht="14.25" customHeight="1">
      <c r="A703" s="32" t="n"/>
      <c r="P703" s="31" t="n"/>
      <c r="Q703" s="31" t="n"/>
      <c r="R703" s="31" t="n"/>
      <c r="S703" s="31" t="n"/>
      <c r="T703" s="31" t="n"/>
      <c r="U703" s="31" t="n"/>
      <c r="V703" s="31" t="n"/>
      <c r="W703" s="31" t="n"/>
      <c r="X703" s="31" t="n"/>
      <c r="Y703" s="31" t="n"/>
    </row>
    <row r="704" ht="14.25" customHeight="1">
      <c r="A704" s="32" t="n"/>
      <c r="P704" s="31" t="n"/>
      <c r="Q704" s="31" t="n"/>
      <c r="R704" s="31" t="n"/>
      <c r="S704" s="31" t="n"/>
      <c r="T704" s="31" t="n"/>
      <c r="U704" s="31" t="n"/>
      <c r="V704" s="31" t="n"/>
      <c r="W704" s="31" t="n"/>
      <c r="X704" s="31" t="n"/>
      <c r="Y704" s="31" t="n"/>
    </row>
    <row r="705" ht="14.25" customHeight="1">
      <c r="A705" s="32" t="n"/>
      <c r="P705" s="31" t="n"/>
      <c r="Q705" s="31" t="n"/>
      <c r="R705" s="31" t="n"/>
      <c r="S705" s="31" t="n"/>
      <c r="T705" s="31" t="n"/>
      <c r="U705" s="31" t="n"/>
      <c r="V705" s="31" t="n"/>
      <c r="W705" s="31" t="n"/>
      <c r="X705" s="31" t="n"/>
      <c r="Y705" s="31" t="n"/>
    </row>
    <row r="706" ht="14.25" customHeight="1">
      <c r="A706" s="32" t="n"/>
      <c r="P706" s="31" t="n"/>
      <c r="Q706" s="31" t="n"/>
      <c r="R706" s="31" t="n"/>
      <c r="S706" s="31" t="n"/>
      <c r="T706" s="31" t="n"/>
      <c r="U706" s="31" t="n"/>
      <c r="V706" s="31" t="n"/>
      <c r="W706" s="31" t="n"/>
      <c r="X706" s="31" t="n"/>
      <c r="Y706" s="31" t="n"/>
    </row>
    <row r="707" ht="14.25" customHeight="1">
      <c r="A707" s="32" t="n"/>
      <c r="P707" s="31" t="n"/>
      <c r="Q707" s="31" t="n"/>
      <c r="R707" s="31" t="n"/>
      <c r="S707" s="31" t="n"/>
      <c r="T707" s="31" t="n"/>
      <c r="U707" s="31" t="n"/>
      <c r="V707" s="31" t="n"/>
      <c r="W707" s="31" t="n"/>
      <c r="X707" s="31" t="n"/>
      <c r="Y707" s="31" t="n"/>
    </row>
    <row r="708" ht="14.25" customHeight="1">
      <c r="A708" s="32" t="n"/>
      <c r="P708" s="31" t="n"/>
      <c r="Q708" s="31" t="n"/>
      <c r="R708" s="31" t="n"/>
      <c r="S708" s="31" t="n"/>
      <c r="T708" s="31" t="n"/>
      <c r="U708" s="31" t="n"/>
      <c r="V708" s="31" t="n"/>
      <c r="W708" s="31" t="n"/>
      <c r="X708" s="31" t="n"/>
      <c r="Y708" s="31" t="n"/>
    </row>
    <row r="709" ht="14.25" customHeight="1">
      <c r="A709" s="32" t="n"/>
      <c r="P709" s="31" t="n"/>
      <c r="Q709" s="31" t="n"/>
      <c r="R709" s="31" t="n"/>
      <c r="S709" s="31" t="n"/>
      <c r="T709" s="31" t="n"/>
      <c r="U709" s="31" t="n"/>
      <c r="V709" s="31" t="n"/>
      <c r="W709" s="31" t="n"/>
      <c r="X709" s="31" t="n"/>
      <c r="Y709" s="31" t="n"/>
    </row>
    <row r="710" ht="14.25" customHeight="1">
      <c r="A710" s="32" t="n"/>
      <c r="P710" s="31" t="n"/>
      <c r="Q710" s="31" t="n"/>
      <c r="R710" s="31" t="n"/>
      <c r="S710" s="31" t="n"/>
      <c r="T710" s="31" t="n"/>
      <c r="U710" s="31" t="n"/>
      <c r="V710" s="31" t="n"/>
      <c r="W710" s="31" t="n"/>
      <c r="X710" s="31" t="n"/>
      <c r="Y710" s="31" t="n"/>
    </row>
    <row r="711" ht="14.25" customHeight="1">
      <c r="A711" s="32" t="n"/>
      <c r="P711" s="31" t="n"/>
      <c r="Q711" s="31" t="n"/>
      <c r="R711" s="31" t="n"/>
      <c r="S711" s="31" t="n"/>
      <c r="T711" s="31" t="n"/>
      <c r="U711" s="31" t="n"/>
      <c r="V711" s="31" t="n"/>
      <c r="W711" s="31" t="n"/>
      <c r="X711" s="31" t="n"/>
      <c r="Y711" s="31" t="n"/>
    </row>
    <row r="712" ht="14.25" customHeight="1">
      <c r="A712" s="32" t="n"/>
      <c r="P712" s="31" t="n"/>
      <c r="Q712" s="31" t="n"/>
      <c r="R712" s="31" t="n"/>
      <c r="S712" s="31" t="n"/>
      <c r="T712" s="31" t="n"/>
      <c r="U712" s="31" t="n"/>
      <c r="V712" s="31" t="n"/>
      <c r="W712" s="31" t="n"/>
      <c r="X712" s="31" t="n"/>
      <c r="Y712" s="31" t="n"/>
    </row>
    <row r="713" ht="14.25" customHeight="1">
      <c r="A713" s="32" t="n"/>
      <c r="P713" s="31" t="n"/>
      <c r="Q713" s="31" t="n"/>
      <c r="R713" s="31" t="n"/>
      <c r="S713" s="31" t="n"/>
      <c r="T713" s="31" t="n"/>
      <c r="U713" s="31" t="n"/>
      <c r="V713" s="31" t="n"/>
      <c r="W713" s="31" t="n"/>
      <c r="X713" s="31" t="n"/>
      <c r="Y713" s="31" t="n"/>
    </row>
    <row r="714" ht="14.25" customHeight="1">
      <c r="A714" s="32" t="n"/>
      <c r="P714" s="31" t="n"/>
      <c r="Q714" s="31" t="n"/>
      <c r="R714" s="31" t="n"/>
      <c r="S714" s="31" t="n"/>
      <c r="T714" s="31" t="n"/>
      <c r="U714" s="31" t="n"/>
      <c r="V714" s="31" t="n"/>
      <c r="W714" s="31" t="n"/>
      <c r="X714" s="31" t="n"/>
      <c r="Y714" s="31" t="n"/>
    </row>
    <row r="715" ht="14.25" customHeight="1">
      <c r="A715" s="32" t="n"/>
      <c r="P715" s="31" t="n"/>
      <c r="Q715" s="31" t="n"/>
      <c r="R715" s="31" t="n"/>
      <c r="S715" s="31" t="n"/>
      <c r="T715" s="31" t="n"/>
      <c r="U715" s="31" t="n"/>
      <c r="V715" s="31" t="n"/>
      <c r="W715" s="31" t="n"/>
      <c r="X715" s="31" t="n"/>
      <c r="Y715" s="31" t="n"/>
    </row>
    <row r="716" ht="14.25" customHeight="1">
      <c r="A716" s="32" t="n"/>
      <c r="P716" s="31" t="n"/>
      <c r="Q716" s="31" t="n"/>
      <c r="R716" s="31" t="n"/>
      <c r="S716" s="31" t="n"/>
      <c r="T716" s="31" t="n"/>
      <c r="U716" s="31" t="n"/>
      <c r="V716" s="31" t="n"/>
      <c r="W716" s="31" t="n"/>
      <c r="X716" s="31" t="n"/>
      <c r="Y716" s="31" t="n"/>
    </row>
    <row r="717" ht="14.25" customHeight="1">
      <c r="A717" s="32" t="n"/>
      <c r="P717" s="31" t="n"/>
      <c r="Q717" s="31" t="n"/>
      <c r="R717" s="31" t="n"/>
      <c r="S717" s="31" t="n"/>
      <c r="T717" s="31" t="n"/>
      <c r="U717" s="31" t="n"/>
      <c r="V717" s="31" t="n"/>
      <c r="W717" s="31" t="n"/>
      <c r="X717" s="31" t="n"/>
      <c r="Y717" s="31" t="n"/>
    </row>
    <row r="718" ht="14.25" customHeight="1">
      <c r="A718" s="32" t="n"/>
      <c r="P718" s="31" t="n"/>
      <c r="Q718" s="31" t="n"/>
      <c r="R718" s="31" t="n"/>
      <c r="S718" s="31" t="n"/>
      <c r="T718" s="31" t="n"/>
      <c r="U718" s="31" t="n"/>
      <c r="V718" s="31" t="n"/>
      <c r="W718" s="31" t="n"/>
      <c r="X718" s="31" t="n"/>
      <c r="Y718" s="31" t="n"/>
    </row>
    <row r="719" ht="14.25" customHeight="1">
      <c r="A719" s="32" t="n"/>
      <c r="P719" s="31" t="n"/>
      <c r="Q719" s="31" t="n"/>
      <c r="R719" s="31" t="n"/>
      <c r="S719" s="31" t="n"/>
      <c r="T719" s="31" t="n"/>
      <c r="U719" s="31" t="n"/>
      <c r="V719" s="31" t="n"/>
      <c r="W719" s="31" t="n"/>
      <c r="X719" s="31" t="n"/>
      <c r="Y719" s="31" t="n"/>
    </row>
    <row r="720" ht="14.25" customHeight="1">
      <c r="A720" s="32" t="n"/>
      <c r="P720" s="31" t="n"/>
      <c r="Q720" s="31" t="n"/>
      <c r="R720" s="31" t="n"/>
      <c r="S720" s="31" t="n"/>
      <c r="T720" s="31" t="n"/>
      <c r="U720" s="31" t="n"/>
      <c r="V720" s="31" t="n"/>
      <c r="W720" s="31" t="n"/>
      <c r="X720" s="31" t="n"/>
      <c r="Y720" s="31" t="n"/>
    </row>
    <row r="721" ht="14.25" customHeight="1">
      <c r="A721" s="32" t="n"/>
      <c r="P721" s="31" t="n"/>
      <c r="Q721" s="31" t="n"/>
      <c r="R721" s="31" t="n"/>
      <c r="S721" s="31" t="n"/>
      <c r="T721" s="31" t="n"/>
      <c r="U721" s="31" t="n"/>
      <c r="V721" s="31" t="n"/>
      <c r="W721" s="31" t="n"/>
      <c r="X721" s="31" t="n"/>
      <c r="Y721" s="31" t="n"/>
    </row>
    <row r="722" ht="14.25" customHeight="1">
      <c r="A722" s="32" t="n"/>
      <c r="P722" s="31" t="n"/>
      <c r="Q722" s="31" t="n"/>
      <c r="R722" s="31" t="n"/>
      <c r="S722" s="31" t="n"/>
      <c r="T722" s="31" t="n"/>
      <c r="U722" s="31" t="n"/>
      <c r="V722" s="31" t="n"/>
      <c r="W722" s="31" t="n"/>
      <c r="X722" s="31" t="n"/>
      <c r="Y722" s="31" t="n"/>
    </row>
    <row r="723" ht="14.25" customHeight="1">
      <c r="A723" s="32" t="n"/>
      <c r="P723" s="31" t="n"/>
      <c r="Q723" s="31" t="n"/>
      <c r="R723" s="31" t="n"/>
      <c r="S723" s="31" t="n"/>
      <c r="T723" s="31" t="n"/>
      <c r="U723" s="31" t="n"/>
      <c r="V723" s="31" t="n"/>
      <c r="W723" s="31" t="n"/>
      <c r="X723" s="31" t="n"/>
      <c r="Y723" s="31" t="n"/>
    </row>
    <row r="724" ht="14.25" customHeight="1">
      <c r="A724" s="32" t="n"/>
      <c r="P724" s="31" t="n"/>
      <c r="Q724" s="31" t="n"/>
      <c r="R724" s="31" t="n"/>
      <c r="S724" s="31" t="n"/>
      <c r="T724" s="31" t="n"/>
      <c r="U724" s="31" t="n"/>
      <c r="V724" s="31" t="n"/>
      <c r="W724" s="31" t="n"/>
      <c r="X724" s="31" t="n"/>
      <c r="Y724" s="31" t="n"/>
    </row>
    <row r="725" ht="14.25" customHeight="1">
      <c r="A725" s="32" t="n"/>
      <c r="P725" s="31" t="n"/>
      <c r="Q725" s="31" t="n"/>
      <c r="R725" s="31" t="n"/>
      <c r="S725" s="31" t="n"/>
      <c r="T725" s="31" t="n"/>
      <c r="U725" s="31" t="n"/>
      <c r="V725" s="31" t="n"/>
      <c r="W725" s="31" t="n"/>
      <c r="X725" s="31" t="n"/>
      <c r="Y725" s="31" t="n"/>
    </row>
    <row r="726" ht="14.25" customHeight="1">
      <c r="A726" s="32" t="n"/>
      <c r="P726" s="31" t="n"/>
      <c r="Q726" s="31" t="n"/>
      <c r="R726" s="31" t="n"/>
      <c r="S726" s="31" t="n"/>
      <c r="T726" s="31" t="n"/>
      <c r="U726" s="31" t="n"/>
      <c r="V726" s="31" t="n"/>
      <c r="W726" s="31" t="n"/>
      <c r="X726" s="31" t="n"/>
      <c r="Y726" s="31" t="n"/>
    </row>
    <row r="727" ht="14.25" customHeight="1">
      <c r="A727" s="32" t="n"/>
      <c r="P727" s="31" t="n"/>
      <c r="Q727" s="31" t="n"/>
      <c r="R727" s="31" t="n"/>
      <c r="S727" s="31" t="n"/>
      <c r="T727" s="31" t="n"/>
      <c r="U727" s="31" t="n"/>
      <c r="V727" s="31" t="n"/>
      <c r="W727" s="31" t="n"/>
      <c r="X727" s="31" t="n"/>
      <c r="Y727" s="31" t="n"/>
    </row>
    <row r="728" ht="14.25" customHeight="1">
      <c r="A728" s="32" t="n"/>
      <c r="P728" s="31" t="n"/>
      <c r="Q728" s="31" t="n"/>
      <c r="R728" s="31" t="n"/>
      <c r="S728" s="31" t="n"/>
      <c r="T728" s="31" t="n"/>
      <c r="U728" s="31" t="n"/>
      <c r="V728" s="31" t="n"/>
      <c r="W728" s="31" t="n"/>
      <c r="X728" s="31" t="n"/>
      <c r="Y728" s="31" t="n"/>
    </row>
    <row r="729" ht="14.25" customHeight="1">
      <c r="A729" s="32" t="n"/>
      <c r="P729" s="31" t="n"/>
      <c r="Q729" s="31" t="n"/>
      <c r="R729" s="31" t="n"/>
      <c r="S729" s="31" t="n"/>
      <c r="T729" s="31" t="n"/>
      <c r="U729" s="31" t="n"/>
      <c r="V729" s="31" t="n"/>
      <c r="W729" s="31" t="n"/>
      <c r="X729" s="31" t="n"/>
      <c r="Y729" s="31" t="n"/>
    </row>
    <row r="730" ht="14.25" customHeight="1">
      <c r="A730" s="32" t="n"/>
      <c r="P730" s="31" t="n"/>
      <c r="Q730" s="31" t="n"/>
      <c r="R730" s="31" t="n"/>
      <c r="S730" s="31" t="n"/>
      <c r="T730" s="31" t="n"/>
      <c r="U730" s="31" t="n"/>
      <c r="V730" s="31" t="n"/>
      <c r="W730" s="31" t="n"/>
      <c r="X730" s="31" t="n"/>
      <c r="Y730" s="31" t="n"/>
    </row>
    <row r="731" ht="14.25" customHeight="1">
      <c r="A731" s="32" t="n"/>
      <c r="P731" s="31" t="n"/>
      <c r="Q731" s="31" t="n"/>
      <c r="R731" s="31" t="n"/>
      <c r="S731" s="31" t="n"/>
      <c r="T731" s="31" t="n"/>
      <c r="U731" s="31" t="n"/>
      <c r="V731" s="31" t="n"/>
      <c r="W731" s="31" t="n"/>
      <c r="X731" s="31" t="n"/>
      <c r="Y731" s="31" t="n"/>
    </row>
    <row r="732" ht="14.25" customHeight="1">
      <c r="A732" s="32" t="n"/>
      <c r="P732" s="31" t="n"/>
      <c r="Q732" s="31" t="n"/>
      <c r="R732" s="31" t="n"/>
      <c r="S732" s="31" t="n"/>
      <c r="T732" s="31" t="n"/>
      <c r="U732" s="31" t="n"/>
      <c r="V732" s="31" t="n"/>
      <c r="W732" s="31" t="n"/>
      <c r="X732" s="31" t="n"/>
      <c r="Y732" s="31" t="n"/>
    </row>
    <row r="733" ht="14.25" customHeight="1">
      <c r="A733" s="32" t="n"/>
      <c r="P733" s="31" t="n"/>
      <c r="Q733" s="31" t="n"/>
      <c r="R733" s="31" t="n"/>
      <c r="S733" s="31" t="n"/>
      <c r="T733" s="31" t="n"/>
      <c r="U733" s="31" t="n"/>
      <c r="V733" s="31" t="n"/>
      <c r="W733" s="31" t="n"/>
      <c r="X733" s="31" t="n"/>
      <c r="Y733" s="31" t="n"/>
    </row>
    <row r="734" ht="14.25" customHeight="1">
      <c r="A734" s="32" t="n"/>
      <c r="P734" s="31" t="n"/>
      <c r="Q734" s="31" t="n"/>
      <c r="R734" s="31" t="n"/>
      <c r="S734" s="31" t="n"/>
      <c r="T734" s="31" t="n"/>
      <c r="U734" s="31" t="n"/>
      <c r="V734" s="31" t="n"/>
      <c r="W734" s="31" t="n"/>
      <c r="X734" s="31" t="n"/>
      <c r="Y734" s="31" t="n"/>
    </row>
    <row r="735" ht="14.25" customHeight="1">
      <c r="A735" s="32" t="n"/>
      <c r="P735" s="31" t="n"/>
      <c r="Q735" s="31" t="n"/>
      <c r="R735" s="31" t="n"/>
      <c r="S735" s="31" t="n"/>
      <c r="T735" s="31" t="n"/>
      <c r="U735" s="31" t="n"/>
      <c r="V735" s="31" t="n"/>
      <c r="W735" s="31" t="n"/>
      <c r="X735" s="31" t="n"/>
      <c r="Y735" s="31" t="n"/>
    </row>
    <row r="736" ht="14.25" customHeight="1">
      <c r="A736" s="32" t="n"/>
      <c r="P736" s="31" t="n"/>
      <c r="Q736" s="31" t="n"/>
      <c r="R736" s="31" t="n"/>
      <c r="S736" s="31" t="n"/>
      <c r="T736" s="31" t="n"/>
      <c r="U736" s="31" t="n"/>
      <c r="V736" s="31" t="n"/>
      <c r="W736" s="31" t="n"/>
      <c r="X736" s="31" t="n"/>
      <c r="Y736" s="31" t="n"/>
    </row>
    <row r="737" ht="14.25" customHeight="1">
      <c r="A737" s="32" t="n"/>
      <c r="P737" s="31" t="n"/>
      <c r="Q737" s="31" t="n"/>
      <c r="R737" s="31" t="n"/>
      <c r="S737" s="31" t="n"/>
      <c r="T737" s="31" t="n"/>
      <c r="U737" s="31" t="n"/>
      <c r="V737" s="31" t="n"/>
      <c r="W737" s="31" t="n"/>
      <c r="X737" s="31" t="n"/>
      <c r="Y737" s="31" t="n"/>
    </row>
    <row r="738" ht="14.25" customHeight="1">
      <c r="A738" s="32" t="n"/>
      <c r="P738" s="31" t="n"/>
      <c r="Q738" s="31" t="n"/>
      <c r="R738" s="31" t="n"/>
      <c r="S738" s="31" t="n"/>
      <c r="T738" s="31" t="n"/>
      <c r="U738" s="31" t="n"/>
      <c r="V738" s="31" t="n"/>
      <c r="W738" s="31" t="n"/>
      <c r="X738" s="31" t="n"/>
      <c r="Y738" s="31" t="n"/>
    </row>
    <row r="739" ht="14.25" customHeight="1">
      <c r="A739" s="32" t="n"/>
      <c r="P739" s="31" t="n"/>
      <c r="Q739" s="31" t="n"/>
      <c r="R739" s="31" t="n"/>
      <c r="S739" s="31" t="n"/>
      <c r="T739" s="31" t="n"/>
      <c r="U739" s="31" t="n"/>
      <c r="V739" s="31" t="n"/>
      <c r="W739" s="31" t="n"/>
      <c r="X739" s="31" t="n"/>
      <c r="Y739" s="31" t="n"/>
    </row>
    <row r="740" ht="14.25" customHeight="1">
      <c r="A740" s="32" t="n"/>
      <c r="P740" s="31" t="n"/>
      <c r="Q740" s="31" t="n"/>
      <c r="R740" s="31" t="n"/>
      <c r="S740" s="31" t="n"/>
      <c r="T740" s="31" t="n"/>
      <c r="U740" s="31" t="n"/>
      <c r="V740" s="31" t="n"/>
      <c r="W740" s="31" t="n"/>
      <c r="X740" s="31" t="n"/>
      <c r="Y740" s="31" t="n"/>
    </row>
    <row r="741" ht="14.25" customHeight="1">
      <c r="A741" s="32" t="n"/>
      <c r="P741" s="31" t="n"/>
      <c r="Q741" s="31" t="n"/>
      <c r="R741" s="31" t="n"/>
      <c r="S741" s="31" t="n"/>
      <c r="T741" s="31" t="n"/>
      <c r="U741" s="31" t="n"/>
      <c r="V741" s="31" t="n"/>
      <c r="W741" s="31" t="n"/>
      <c r="X741" s="31" t="n"/>
      <c r="Y741" s="31" t="n"/>
    </row>
    <row r="742" ht="14.25" customHeight="1">
      <c r="A742" s="32" t="n"/>
      <c r="P742" s="31" t="n"/>
      <c r="Q742" s="31" t="n"/>
      <c r="R742" s="31" t="n"/>
      <c r="S742" s="31" t="n"/>
      <c r="T742" s="31" t="n"/>
      <c r="U742" s="31" t="n"/>
      <c r="V742" s="31" t="n"/>
      <c r="W742" s="31" t="n"/>
      <c r="X742" s="31" t="n"/>
      <c r="Y742" s="31" t="n"/>
    </row>
    <row r="743" ht="14.25" customHeight="1">
      <c r="A743" s="32" t="n"/>
      <c r="P743" s="31" t="n"/>
      <c r="Q743" s="31" t="n"/>
      <c r="R743" s="31" t="n"/>
      <c r="S743" s="31" t="n"/>
      <c r="T743" s="31" t="n"/>
      <c r="U743" s="31" t="n"/>
      <c r="V743" s="31" t="n"/>
      <c r="W743" s="31" t="n"/>
      <c r="X743" s="31" t="n"/>
      <c r="Y743" s="31" t="n"/>
    </row>
    <row r="744" ht="14.25" customHeight="1">
      <c r="A744" s="32" t="n"/>
      <c r="P744" s="31" t="n"/>
      <c r="Q744" s="31" t="n"/>
      <c r="R744" s="31" t="n"/>
      <c r="S744" s="31" t="n"/>
      <c r="T744" s="31" t="n"/>
      <c r="U744" s="31" t="n"/>
      <c r="V744" s="31" t="n"/>
      <c r="W744" s="31" t="n"/>
      <c r="X744" s="31" t="n"/>
      <c r="Y744" s="31" t="n"/>
    </row>
    <row r="745" ht="14.25" customHeight="1">
      <c r="A745" s="32" t="n"/>
      <c r="P745" s="31" t="n"/>
      <c r="Q745" s="31" t="n"/>
      <c r="R745" s="31" t="n"/>
      <c r="S745" s="31" t="n"/>
      <c r="T745" s="31" t="n"/>
      <c r="U745" s="31" t="n"/>
      <c r="V745" s="31" t="n"/>
      <c r="W745" s="31" t="n"/>
      <c r="X745" s="31" t="n"/>
      <c r="Y745" s="31" t="n"/>
    </row>
    <row r="746" ht="14.25" customHeight="1">
      <c r="A746" s="32" t="n"/>
      <c r="P746" s="31" t="n"/>
      <c r="Q746" s="31" t="n"/>
      <c r="R746" s="31" t="n"/>
      <c r="S746" s="31" t="n"/>
      <c r="T746" s="31" t="n"/>
      <c r="U746" s="31" t="n"/>
      <c r="V746" s="31" t="n"/>
      <c r="W746" s="31" t="n"/>
      <c r="X746" s="31" t="n"/>
      <c r="Y746" s="31" t="n"/>
    </row>
    <row r="747" ht="14.25" customHeight="1">
      <c r="A747" s="32" t="n"/>
      <c r="P747" s="31" t="n"/>
      <c r="Q747" s="31" t="n"/>
      <c r="R747" s="31" t="n"/>
      <c r="S747" s="31" t="n"/>
      <c r="T747" s="31" t="n"/>
      <c r="U747" s="31" t="n"/>
      <c r="V747" s="31" t="n"/>
      <c r="W747" s="31" t="n"/>
      <c r="X747" s="31" t="n"/>
      <c r="Y747" s="31" t="n"/>
    </row>
    <row r="748" ht="14.25" customHeight="1">
      <c r="A748" s="32" t="n"/>
      <c r="P748" s="31" t="n"/>
      <c r="Q748" s="31" t="n"/>
      <c r="R748" s="31" t="n"/>
      <c r="S748" s="31" t="n"/>
      <c r="T748" s="31" t="n"/>
      <c r="U748" s="31" t="n"/>
      <c r="V748" s="31" t="n"/>
      <c r="W748" s="31" t="n"/>
      <c r="X748" s="31" t="n"/>
      <c r="Y748" s="31" t="n"/>
    </row>
    <row r="749" ht="14.25" customHeight="1">
      <c r="A749" s="32" t="n"/>
      <c r="P749" s="31" t="n"/>
      <c r="Q749" s="31" t="n"/>
      <c r="R749" s="31" t="n"/>
      <c r="S749" s="31" t="n"/>
      <c r="T749" s="31" t="n"/>
      <c r="U749" s="31" t="n"/>
      <c r="V749" s="31" t="n"/>
      <c r="W749" s="31" t="n"/>
      <c r="X749" s="31" t="n"/>
      <c r="Y749" s="31" t="n"/>
    </row>
    <row r="750" ht="14.25" customHeight="1">
      <c r="A750" s="32" t="n"/>
      <c r="P750" s="31" t="n"/>
      <c r="Q750" s="31" t="n"/>
      <c r="R750" s="31" t="n"/>
      <c r="S750" s="31" t="n"/>
      <c r="T750" s="31" t="n"/>
      <c r="U750" s="31" t="n"/>
      <c r="V750" s="31" t="n"/>
      <c r="W750" s="31" t="n"/>
      <c r="X750" s="31" t="n"/>
      <c r="Y750" s="31" t="n"/>
    </row>
    <row r="751" ht="14.25" customHeight="1">
      <c r="A751" s="32" t="n"/>
      <c r="P751" s="31" t="n"/>
      <c r="Q751" s="31" t="n"/>
      <c r="R751" s="31" t="n"/>
      <c r="S751" s="31" t="n"/>
      <c r="T751" s="31" t="n"/>
      <c r="U751" s="31" t="n"/>
      <c r="V751" s="31" t="n"/>
      <c r="W751" s="31" t="n"/>
      <c r="X751" s="31" t="n"/>
      <c r="Y751" s="31" t="n"/>
    </row>
    <row r="752" ht="14.25" customHeight="1">
      <c r="A752" s="32" t="n"/>
      <c r="P752" s="31" t="n"/>
      <c r="Q752" s="31" t="n"/>
      <c r="R752" s="31" t="n"/>
      <c r="S752" s="31" t="n"/>
      <c r="T752" s="31" t="n"/>
      <c r="U752" s="31" t="n"/>
      <c r="V752" s="31" t="n"/>
      <c r="W752" s="31" t="n"/>
      <c r="X752" s="31" t="n"/>
      <c r="Y752" s="31" t="n"/>
    </row>
    <row r="753" ht="14.25" customHeight="1">
      <c r="A753" s="32" t="n"/>
      <c r="P753" s="31" t="n"/>
      <c r="Q753" s="31" t="n"/>
      <c r="R753" s="31" t="n"/>
      <c r="S753" s="31" t="n"/>
      <c r="T753" s="31" t="n"/>
      <c r="U753" s="31" t="n"/>
      <c r="V753" s="31" t="n"/>
      <c r="W753" s="31" t="n"/>
      <c r="X753" s="31" t="n"/>
      <c r="Y753" s="31" t="n"/>
    </row>
    <row r="754" ht="14.25" customHeight="1">
      <c r="A754" s="32" t="n"/>
      <c r="P754" s="31" t="n"/>
      <c r="Q754" s="31" t="n"/>
      <c r="R754" s="31" t="n"/>
      <c r="S754" s="31" t="n"/>
      <c r="T754" s="31" t="n"/>
      <c r="U754" s="31" t="n"/>
      <c r="V754" s="31" t="n"/>
      <c r="W754" s="31" t="n"/>
      <c r="X754" s="31" t="n"/>
      <c r="Y754" s="31" t="n"/>
    </row>
    <row r="755" ht="14.25" customHeight="1">
      <c r="A755" s="32" t="n"/>
      <c r="P755" s="31" t="n"/>
      <c r="Q755" s="31" t="n"/>
      <c r="R755" s="31" t="n"/>
      <c r="S755" s="31" t="n"/>
      <c r="T755" s="31" t="n"/>
      <c r="U755" s="31" t="n"/>
      <c r="V755" s="31" t="n"/>
      <c r="W755" s="31" t="n"/>
      <c r="X755" s="31" t="n"/>
      <c r="Y755" s="31" t="n"/>
    </row>
    <row r="756" ht="14.25" customHeight="1">
      <c r="A756" s="32" t="n"/>
      <c r="P756" s="31" t="n"/>
      <c r="Q756" s="31" t="n"/>
      <c r="R756" s="31" t="n"/>
      <c r="S756" s="31" t="n"/>
      <c r="T756" s="31" t="n"/>
      <c r="U756" s="31" t="n"/>
      <c r="V756" s="31" t="n"/>
      <c r="W756" s="31" t="n"/>
      <c r="X756" s="31" t="n"/>
      <c r="Y756" s="31" t="n"/>
    </row>
    <row r="757" ht="14.25" customHeight="1">
      <c r="A757" s="32" t="n"/>
      <c r="P757" s="31" t="n"/>
      <c r="Q757" s="31" t="n"/>
      <c r="R757" s="31" t="n"/>
      <c r="S757" s="31" t="n"/>
      <c r="T757" s="31" t="n"/>
      <c r="U757" s="31" t="n"/>
      <c r="V757" s="31" t="n"/>
      <c r="W757" s="31" t="n"/>
      <c r="X757" s="31" t="n"/>
      <c r="Y757" s="31" t="n"/>
    </row>
    <row r="758" ht="14.25" customHeight="1">
      <c r="A758" s="32" t="n"/>
      <c r="P758" s="31" t="n"/>
      <c r="Q758" s="31" t="n"/>
      <c r="R758" s="31" t="n"/>
      <c r="S758" s="31" t="n"/>
      <c r="T758" s="31" t="n"/>
      <c r="U758" s="31" t="n"/>
      <c r="V758" s="31" t="n"/>
      <c r="W758" s="31" t="n"/>
      <c r="X758" s="31" t="n"/>
      <c r="Y758" s="31" t="n"/>
    </row>
    <row r="759" ht="14.25" customHeight="1">
      <c r="A759" s="32" t="n"/>
      <c r="P759" s="31" t="n"/>
      <c r="Q759" s="31" t="n"/>
      <c r="R759" s="31" t="n"/>
      <c r="S759" s="31" t="n"/>
      <c r="T759" s="31" t="n"/>
      <c r="U759" s="31" t="n"/>
      <c r="V759" s="31" t="n"/>
      <c r="W759" s="31" t="n"/>
      <c r="X759" s="31" t="n"/>
      <c r="Y759" s="31" t="n"/>
    </row>
    <row r="760" ht="14.25" customHeight="1">
      <c r="A760" s="32" t="n"/>
      <c r="P760" s="31" t="n"/>
      <c r="Q760" s="31" t="n"/>
      <c r="R760" s="31" t="n"/>
      <c r="S760" s="31" t="n"/>
      <c r="T760" s="31" t="n"/>
      <c r="U760" s="31" t="n"/>
      <c r="V760" s="31" t="n"/>
      <c r="W760" s="31" t="n"/>
      <c r="X760" s="31" t="n"/>
      <c r="Y760" s="31" t="n"/>
    </row>
    <row r="761" ht="14.25" customHeight="1">
      <c r="A761" s="32" t="n"/>
      <c r="P761" s="31" t="n"/>
      <c r="Q761" s="31" t="n"/>
      <c r="R761" s="31" t="n"/>
      <c r="S761" s="31" t="n"/>
      <c r="T761" s="31" t="n"/>
      <c r="U761" s="31" t="n"/>
      <c r="V761" s="31" t="n"/>
      <c r="W761" s="31" t="n"/>
      <c r="X761" s="31" t="n"/>
      <c r="Y761" s="31" t="n"/>
    </row>
    <row r="762" ht="14.25" customHeight="1">
      <c r="A762" s="32" t="n"/>
      <c r="P762" s="31" t="n"/>
      <c r="Q762" s="31" t="n"/>
      <c r="R762" s="31" t="n"/>
      <c r="S762" s="31" t="n"/>
      <c r="T762" s="31" t="n"/>
      <c r="U762" s="31" t="n"/>
      <c r="V762" s="31" t="n"/>
      <c r="W762" s="31" t="n"/>
      <c r="X762" s="31" t="n"/>
      <c r="Y762" s="31" t="n"/>
    </row>
    <row r="763" ht="14.25" customHeight="1">
      <c r="A763" s="32" t="n"/>
      <c r="P763" s="31" t="n"/>
      <c r="Q763" s="31" t="n"/>
      <c r="R763" s="31" t="n"/>
      <c r="S763" s="31" t="n"/>
      <c r="T763" s="31" t="n"/>
      <c r="U763" s="31" t="n"/>
      <c r="V763" s="31" t="n"/>
      <c r="W763" s="31" t="n"/>
      <c r="X763" s="31" t="n"/>
      <c r="Y763" s="31" t="n"/>
    </row>
    <row r="764" ht="14.25" customHeight="1">
      <c r="A764" s="32" t="n"/>
      <c r="P764" s="31" t="n"/>
      <c r="Q764" s="31" t="n"/>
      <c r="R764" s="31" t="n"/>
      <c r="S764" s="31" t="n"/>
      <c r="T764" s="31" t="n"/>
      <c r="U764" s="31" t="n"/>
      <c r="V764" s="31" t="n"/>
      <c r="W764" s="31" t="n"/>
      <c r="X764" s="31" t="n"/>
      <c r="Y764" s="31" t="n"/>
    </row>
    <row r="765" ht="14.25" customHeight="1">
      <c r="A765" s="32" t="n"/>
      <c r="P765" s="31" t="n"/>
      <c r="Q765" s="31" t="n"/>
      <c r="R765" s="31" t="n"/>
      <c r="S765" s="31" t="n"/>
      <c r="T765" s="31" t="n"/>
      <c r="U765" s="31" t="n"/>
      <c r="V765" s="31" t="n"/>
      <c r="W765" s="31" t="n"/>
      <c r="X765" s="31" t="n"/>
      <c r="Y765" s="31" t="n"/>
    </row>
    <row r="766" ht="14.25" customHeight="1">
      <c r="A766" s="32" t="n"/>
      <c r="P766" s="31" t="n"/>
      <c r="Q766" s="31" t="n"/>
      <c r="R766" s="31" t="n"/>
      <c r="S766" s="31" t="n"/>
      <c r="T766" s="31" t="n"/>
      <c r="U766" s="31" t="n"/>
      <c r="V766" s="31" t="n"/>
      <c r="W766" s="31" t="n"/>
      <c r="X766" s="31" t="n"/>
      <c r="Y766" s="31" t="n"/>
    </row>
    <row r="767" ht="14.25" customHeight="1">
      <c r="A767" s="32" t="n"/>
      <c r="P767" s="31" t="n"/>
      <c r="Q767" s="31" t="n"/>
      <c r="R767" s="31" t="n"/>
      <c r="S767" s="31" t="n"/>
      <c r="T767" s="31" t="n"/>
      <c r="U767" s="31" t="n"/>
      <c r="V767" s="31" t="n"/>
      <c r="W767" s="31" t="n"/>
      <c r="X767" s="31" t="n"/>
      <c r="Y767" s="31" t="n"/>
    </row>
    <row r="768" ht="14.25" customHeight="1">
      <c r="A768" s="32" t="n"/>
      <c r="P768" s="31" t="n"/>
      <c r="Q768" s="31" t="n"/>
      <c r="R768" s="31" t="n"/>
      <c r="S768" s="31" t="n"/>
      <c r="T768" s="31" t="n"/>
      <c r="U768" s="31" t="n"/>
      <c r="V768" s="31" t="n"/>
      <c r="W768" s="31" t="n"/>
      <c r="X768" s="31" t="n"/>
      <c r="Y768" s="31" t="n"/>
    </row>
    <row r="769" ht="14.25" customHeight="1">
      <c r="A769" s="32" t="n"/>
      <c r="P769" s="31" t="n"/>
      <c r="Q769" s="31" t="n"/>
      <c r="R769" s="31" t="n"/>
      <c r="S769" s="31" t="n"/>
      <c r="T769" s="31" t="n"/>
      <c r="U769" s="31" t="n"/>
      <c r="V769" s="31" t="n"/>
      <c r="W769" s="31" t="n"/>
      <c r="X769" s="31" t="n"/>
      <c r="Y769" s="31" t="n"/>
    </row>
    <row r="770" ht="14.25" customHeight="1">
      <c r="A770" s="32" t="n"/>
      <c r="P770" s="31" t="n"/>
      <c r="Q770" s="31" t="n"/>
      <c r="R770" s="31" t="n"/>
      <c r="S770" s="31" t="n"/>
      <c r="T770" s="31" t="n"/>
      <c r="U770" s="31" t="n"/>
      <c r="V770" s="31" t="n"/>
      <c r="W770" s="31" t="n"/>
      <c r="X770" s="31" t="n"/>
      <c r="Y770" s="31" t="n"/>
    </row>
    <row r="771" ht="14.25" customHeight="1">
      <c r="A771" s="32" t="n"/>
      <c r="P771" s="31" t="n"/>
      <c r="Q771" s="31" t="n"/>
      <c r="R771" s="31" t="n"/>
      <c r="S771" s="31" t="n"/>
      <c r="T771" s="31" t="n"/>
      <c r="U771" s="31" t="n"/>
      <c r="V771" s="31" t="n"/>
      <c r="W771" s="31" t="n"/>
      <c r="X771" s="31" t="n"/>
      <c r="Y771" s="31" t="n"/>
    </row>
    <row r="772" ht="14.25" customHeight="1">
      <c r="A772" s="32" t="n"/>
      <c r="P772" s="31" t="n"/>
      <c r="Q772" s="31" t="n"/>
      <c r="R772" s="31" t="n"/>
      <c r="S772" s="31" t="n"/>
      <c r="T772" s="31" t="n"/>
      <c r="U772" s="31" t="n"/>
      <c r="V772" s="31" t="n"/>
      <c r="W772" s="31" t="n"/>
      <c r="X772" s="31" t="n"/>
      <c r="Y772" s="31" t="n"/>
    </row>
    <row r="773" ht="14.25" customHeight="1">
      <c r="A773" s="32" t="n"/>
      <c r="P773" s="31" t="n"/>
      <c r="Q773" s="31" t="n"/>
      <c r="R773" s="31" t="n"/>
      <c r="S773" s="31" t="n"/>
      <c r="T773" s="31" t="n"/>
      <c r="U773" s="31" t="n"/>
      <c r="V773" s="31" t="n"/>
      <c r="W773" s="31" t="n"/>
      <c r="X773" s="31" t="n"/>
      <c r="Y773" s="31" t="n"/>
    </row>
    <row r="774" ht="14.25" customHeight="1">
      <c r="A774" s="32" t="n"/>
      <c r="P774" s="31" t="n"/>
      <c r="Q774" s="31" t="n"/>
      <c r="R774" s="31" t="n"/>
      <c r="S774" s="31" t="n"/>
      <c r="T774" s="31" t="n"/>
      <c r="U774" s="31" t="n"/>
      <c r="V774" s="31" t="n"/>
      <c r="W774" s="31" t="n"/>
      <c r="X774" s="31" t="n"/>
      <c r="Y774" s="31" t="n"/>
    </row>
    <row r="775" ht="14.25" customHeight="1">
      <c r="A775" s="32" t="n"/>
      <c r="P775" s="31" t="n"/>
      <c r="Q775" s="31" t="n"/>
      <c r="R775" s="31" t="n"/>
      <c r="S775" s="31" t="n"/>
      <c r="T775" s="31" t="n"/>
      <c r="U775" s="31" t="n"/>
      <c r="V775" s="31" t="n"/>
      <c r="W775" s="31" t="n"/>
      <c r="X775" s="31" t="n"/>
      <c r="Y775" s="31" t="n"/>
    </row>
    <row r="776" ht="14.25" customHeight="1">
      <c r="A776" s="32" t="n"/>
      <c r="P776" s="31" t="n"/>
      <c r="Q776" s="31" t="n"/>
      <c r="R776" s="31" t="n"/>
      <c r="S776" s="31" t="n"/>
      <c r="T776" s="31" t="n"/>
      <c r="U776" s="31" t="n"/>
      <c r="V776" s="31" t="n"/>
      <c r="W776" s="31" t="n"/>
      <c r="X776" s="31" t="n"/>
      <c r="Y776" s="31" t="n"/>
    </row>
    <row r="777" ht="14.25" customHeight="1">
      <c r="A777" s="32" t="n"/>
      <c r="P777" s="31" t="n"/>
      <c r="Q777" s="31" t="n"/>
      <c r="R777" s="31" t="n"/>
      <c r="S777" s="31" t="n"/>
      <c r="T777" s="31" t="n"/>
      <c r="U777" s="31" t="n"/>
      <c r="V777" s="31" t="n"/>
      <c r="W777" s="31" t="n"/>
      <c r="X777" s="31" t="n"/>
      <c r="Y777" s="31" t="n"/>
    </row>
    <row r="778" ht="14.25" customHeight="1">
      <c r="A778" s="32" t="n"/>
      <c r="P778" s="31" t="n"/>
      <c r="Q778" s="31" t="n"/>
      <c r="R778" s="31" t="n"/>
      <c r="S778" s="31" t="n"/>
      <c r="T778" s="31" t="n"/>
      <c r="U778" s="31" t="n"/>
      <c r="V778" s="31" t="n"/>
      <c r="W778" s="31" t="n"/>
      <c r="X778" s="31" t="n"/>
      <c r="Y778" s="31" t="n"/>
    </row>
    <row r="779" ht="14.25" customHeight="1">
      <c r="A779" s="32" t="n"/>
      <c r="P779" s="31" t="n"/>
      <c r="Q779" s="31" t="n"/>
      <c r="R779" s="31" t="n"/>
      <c r="S779" s="31" t="n"/>
      <c r="T779" s="31" t="n"/>
      <c r="U779" s="31" t="n"/>
      <c r="V779" s="31" t="n"/>
      <c r="W779" s="31" t="n"/>
      <c r="X779" s="31" t="n"/>
      <c r="Y779" s="31" t="n"/>
    </row>
    <row r="780" ht="14.25" customHeight="1">
      <c r="A780" s="32" t="n"/>
      <c r="P780" s="31" t="n"/>
      <c r="Q780" s="31" t="n"/>
      <c r="R780" s="31" t="n"/>
      <c r="S780" s="31" t="n"/>
      <c r="T780" s="31" t="n"/>
      <c r="U780" s="31" t="n"/>
      <c r="V780" s="31" t="n"/>
      <c r="W780" s="31" t="n"/>
      <c r="X780" s="31" t="n"/>
      <c r="Y780" s="31" t="n"/>
    </row>
    <row r="781" ht="14.25" customHeight="1">
      <c r="A781" s="32" t="n"/>
      <c r="P781" s="31" t="n"/>
      <c r="Q781" s="31" t="n"/>
      <c r="R781" s="31" t="n"/>
      <c r="S781" s="31" t="n"/>
      <c r="T781" s="31" t="n"/>
      <c r="U781" s="31" t="n"/>
      <c r="V781" s="31" t="n"/>
      <c r="W781" s="31" t="n"/>
      <c r="X781" s="31" t="n"/>
      <c r="Y781" s="31" t="n"/>
    </row>
    <row r="782" ht="14.25" customHeight="1">
      <c r="A782" s="32" t="n"/>
      <c r="P782" s="31" t="n"/>
      <c r="Q782" s="31" t="n"/>
      <c r="R782" s="31" t="n"/>
      <c r="S782" s="31" t="n"/>
      <c r="T782" s="31" t="n"/>
      <c r="U782" s="31" t="n"/>
      <c r="V782" s="31" t="n"/>
      <c r="W782" s="31" t="n"/>
      <c r="X782" s="31" t="n"/>
      <c r="Y782" s="31" t="n"/>
    </row>
    <row r="783" ht="14.25" customHeight="1">
      <c r="A783" s="32" t="n"/>
      <c r="P783" s="31" t="n"/>
      <c r="Q783" s="31" t="n"/>
      <c r="R783" s="31" t="n"/>
      <c r="S783" s="31" t="n"/>
      <c r="T783" s="31" t="n"/>
      <c r="U783" s="31" t="n"/>
      <c r="V783" s="31" t="n"/>
      <c r="W783" s="31" t="n"/>
      <c r="X783" s="31" t="n"/>
      <c r="Y783" s="31" t="n"/>
    </row>
    <row r="784" ht="14.25" customHeight="1">
      <c r="A784" s="32" t="n"/>
      <c r="P784" s="31" t="n"/>
      <c r="Q784" s="31" t="n"/>
      <c r="R784" s="31" t="n"/>
      <c r="S784" s="31" t="n"/>
      <c r="T784" s="31" t="n"/>
      <c r="U784" s="31" t="n"/>
      <c r="V784" s="31" t="n"/>
      <c r="W784" s="31" t="n"/>
      <c r="X784" s="31" t="n"/>
      <c r="Y784" s="31" t="n"/>
    </row>
    <row r="785" ht="14.25" customHeight="1">
      <c r="A785" s="32" t="n"/>
      <c r="P785" s="31" t="n"/>
      <c r="Q785" s="31" t="n"/>
      <c r="R785" s="31" t="n"/>
      <c r="S785" s="31" t="n"/>
      <c r="T785" s="31" t="n"/>
      <c r="U785" s="31" t="n"/>
      <c r="V785" s="31" t="n"/>
      <c r="W785" s="31" t="n"/>
      <c r="X785" s="31" t="n"/>
      <c r="Y785" s="31" t="n"/>
    </row>
    <row r="786" ht="14.25" customHeight="1">
      <c r="A786" s="32" t="n"/>
      <c r="P786" s="31" t="n"/>
      <c r="Q786" s="31" t="n"/>
      <c r="R786" s="31" t="n"/>
      <c r="S786" s="31" t="n"/>
      <c r="T786" s="31" t="n"/>
      <c r="U786" s="31" t="n"/>
      <c r="V786" s="31" t="n"/>
      <c r="W786" s="31" t="n"/>
      <c r="X786" s="31" t="n"/>
      <c r="Y786" s="31" t="n"/>
    </row>
    <row r="787" ht="14.25" customHeight="1">
      <c r="A787" s="32" t="n"/>
      <c r="P787" s="31" t="n"/>
      <c r="Q787" s="31" t="n"/>
      <c r="R787" s="31" t="n"/>
      <c r="S787" s="31" t="n"/>
      <c r="T787" s="31" t="n"/>
      <c r="U787" s="31" t="n"/>
      <c r="V787" s="31" t="n"/>
      <c r="W787" s="31" t="n"/>
      <c r="X787" s="31" t="n"/>
      <c r="Y787" s="31" t="n"/>
    </row>
    <row r="788" ht="14.25" customHeight="1">
      <c r="A788" s="32" t="n"/>
      <c r="P788" s="31" t="n"/>
      <c r="Q788" s="31" t="n"/>
      <c r="R788" s="31" t="n"/>
      <c r="S788" s="31" t="n"/>
      <c r="T788" s="31" t="n"/>
      <c r="U788" s="31" t="n"/>
      <c r="V788" s="31" t="n"/>
      <c r="W788" s="31" t="n"/>
      <c r="X788" s="31" t="n"/>
      <c r="Y788" s="31" t="n"/>
    </row>
    <row r="789" ht="14.25" customHeight="1">
      <c r="A789" s="32" t="n"/>
      <c r="P789" s="31" t="n"/>
      <c r="Q789" s="31" t="n"/>
      <c r="R789" s="31" t="n"/>
      <c r="S789" s="31" t="n"/>
      <c r="T789" s="31" t="n"/>
      <c r="U789" s="31" t="n"/>
      <c r="V789" s="31" t="n"/>
      <c r="W789" s="31" t="n"/>
      <c r="X789" s="31" t="n"/>
      <c r="Y789" s="31" t="n"/>
    </row>
    <row r="790" ht="14.25" customHeight="1">
      <c r="A790" s="32" t="n"/>
      <c r="P790" s="31" t="n"/>
      <c r="Q790" s="31" t="n"/>
      <c r="R790" s="31" t="n"/>
      <c r="S790" s="31" t="n"/>
      <c r="T790" s="31" t="n"/>
      <c r="U790" s="31" t="n"/>
      <c r="V790" s="31" t="n"/>
      <c r="W790" s="31" t="n"/>
      <c r="X790" s="31" t="n"/>
      <c r="Y790" s="31" t="n"/>
    </row>
    <row r="791" ht="14.25" customHeight="1">
      <c r="A791" s="32" t="n"/>
      <c r="P791" s="31" t="n"/>
      <c r="Q791" s="31" t="n"/>
      <c r="R791" s="31" t="n"/>
      <c r="S791" s="31" t="n"/>
      <c r="T791" s="31" t="n"/>
      <c r="U791" s="31" t="n"/>
      <c r="V791" s="31" t="n"/>
      <c r="W791" s="31" t="n"/>
      <c r="X791" s="31" t="n"/>
      <c r="Y791" s="31" t="n"/>
    </row>
    <row r="792" ht="14.25" customHeight="1">
      <c r="A792" s="32" t="n"/>
      <c r="P792" s="31" t="n"/>
      <c r="Q792" s="31" t="n"/>
      <c r="R792" s="31" t="n"/>
      <c r="S792" s="31" t="n"/>
      <c r="T792" s="31" t="n"/>
      <c r="U792" s="31" t="n"/>
      <c r="V792" s="31" t="n"/>
      <c r="W792" s="31" t="n"/>
      <c r="X792" s="31" t="n"/>
      <c r="Y792" s="31" t="n"/>
    </row>
    <row r="793" ht="14.25" customHeight="1">
      <c r="A793" s="32" t="n"/>
      <c r="P793" s="31" t="n"/>
      <c r="Q793" s="31" t="n"/>
      <c r="R793" s="31" t="n"/>
      <c r="S793" s="31" t="n"/>
      <c r="T793" s="31" t="n"/>
      <c r="U793" s="31" t="n"/>
      <c r="V793" s="31" t="n"/>
      <c r="W793" s="31" t="n"/>
      <c r="X793" s="31" t="n"/>
      <c r="Y793" s="31" t="n"/>
    </row>
    <row r="794" ht="14.25" customHeight="1">
      <c r="A794" s="32" t="n"/>
      <c r="P794" s="31" t="n"/>
      <c r="Q794" s="31" t="n"/>
      <c r="R794" s="31" t="n"/>
      <c r="S794" s="31" t="n"/>
      <c r="T794" s="31" t="n"/>
      <c r="U794" s="31" t="n"/>
      <c r="V794" s="31" t="n"/>
      <c r="W794" s="31" t="n"/>
      <c r="X794" s="31" t="n"/>
      <c r="Y794" s="31" t="n"/>
    </row>
    <row r="795" ht="14.25" customHeight="1">
      <c r="A795" s="32" t="n"/>
      <c r="P795" s="31" t="n"/>
      <c r="Q795" s="31" t="n"/>
      <c r="R795" s="31" t="n"/>
      <c r="S795" s="31" t="n"/>
      <c r="T795" s="31" t="n"/>
      <c r="U795" s="31" t="n"/>
      <c r="V795" s="31" t="n"/>
      <c r="W795" s="31" t="n"/>
      <c r="X795" s="31" t="n"/>
      <c r="Y795" s="31" t="n"/>
    </row>
    <row r="796" ht="14.25" customHeight="1">
      <c r="A796" s="32" t="n"/>
      <c r="P796" s="31" t="n"/>
      <c r="Q796" s="31" t="n"/>
      <c r="R796" s="31" t="n"/>
      <c r="S796" s="31" t="n"/>
      <c r="T796" s="31" t="n"/>
      <c r="U796" s="31" t="n"/>
      <c r="V796" s="31" t="n"/>
      <c r="W796" s="31" t="n"/>
      <c r="X796" s="31" t="n"/>
      <c r="Y796" s="31" t="n"/>
    </row>
    <row r="797" ht="14.25" customHeight="1">
      <c r="A797" s="32" t="n"/>
      <c r="P797" s="31" t="n"/>
      <c r="Q797" s="31" t="n"/>
      <c r="R797" s="31" t="n"/>
      <c r="S797" s="31" t="n"/>
      <c r="T797" s="31" t="n"/>
      <c r="U797" s="31" t="n"/>
      <c r="V797" s="31" t="n"/>
      <c r="W797" s="31" t="n"/>
      <c r="X797" s="31" t="n"/>
      <c r="Y797" s="31" t="n"/>
    </row>
    <row r="798" ht="14.25" customHeight="1">
      <c r="A798" s="32" t="n"/>
      <c r="P798" s="31" t="n"/>
      <c r="Q798" s="31" t="n"/>
      <c r="R798" s="31" t="n"/>
      <c r="S798" s="31" t="n"/>
      <c r="T798" s="31" t="n"/>
      <c r="U798" s="31" t="n"/>
      <c r="V798" s="31" t="n"/>
      <c r="W798" s="31" t="n"/>
      <c r="X798" s="31" t="n"/>
      <c r="Y798" s="31" t="n"/>
    </row>
    <row r="799" ht="14.25" customHeight="1">
      <c r="A799" s="32" t="n"/>
      <c r="P799" s="31" t="n"/>
      <c r="Q799" s="31" t="n"/>
      <c r="R799" s="31" t="n"/>
      <c r="S799" s="31" t="n"/>
      <c r="T799" s="31" t="n"/>
      <c r="U799" s="31" t="n"/>
      <c r="V799" s="31" t="n"/>
      <c r="W799" s="31" t="n"/>
      <c r="X799" s="31" t="n"/>
      <c r="Y799" s="31" t="n"/>
    </row>
    <row r="800" ht="14.25" customHeight="1">
      <c r="A800" s="32" t="n"/>
      <c r="P800" s="31" t="n"/>
      <c r="Q800" s="31" t="n"/>
      <c r="R800" s="31" t="n"/>
      <c r="S800" s="31" t="n"/>
      <c r="T800" s="31" t="n"/>
      <c r="U800" s="31" t="n"/>
      <c r="V800" s="31" t="n"/>
      <c r="W800" s="31" t="n"/>
      <c r="X800" s="31" t="n"/>
      <c r="Y800" s="31" t="n"/>
    </row>
    <row r="801" ht="14.25" customHeight="1">
      <c r="A801" s="32" t="n"/>
      <c r="P801" s="31" t="n"/>
      <c r="Q801" s="31" t="n"/>
      <c r="R801" s="31" t="n"/>
      <c r="S801" s="31" t="n"/>
      <c r="T801" s="31" t="n"/>
      <c r="U801" s="31" t="n"/>
      <c r="V801" s="31" t="n"/>
      <c r="W801" s="31" t="n"/>
      <c r="X801" s="31" t="n"/>
      <c r="Y801" s="31" t="n"/>
    </row>
    <row r="802" ht="14.25" customHeight="1">
      <c r="A802" s="32" t="n"/>
      <c r="P802" s="31" t="n"/>
      <c r="Q802" s="31" t="n"/>
      <c r="R802" s="31" t="n"/>
      <c r="S802" s="31" t="n"/>
      <c r="T802" s="31" t="n"/>
      <c r="U802" s="31" t="n"/>
      <c r="V802" s="31" t="n"/>
      <c r="W802" s="31" t="n"/>
      <c r="X802" s="31" t="n"/>
      <c r="Y802" s="31" t="n"/>
    </row>
    <row r="803" ht="14.25" customHeight="1">
      <c r="A803" s="32" t="n"/>
      <c r="P803" s="31" t="n"/>
      <c r="Q803" s="31" t="n"/>
      <c r="R803" s="31" t="n"/>
      <c r="S803" s="31" t="n"/>
      <c r="T803" s="31" t="n"/>
      <c r="U803" s="31" t="n"/>
      <c r="V803" s="31" t="n"/>
      <c r="W803" s="31" t="n"/>
      <c r="X803" s="31" t="n"/>
      <c r="Y803" s="31" t="n"/>
    </row>
    <row r="804" ht="14.25" customHeight="1">
      <c r="A804" s="32" t="n"/>
      <c r="P804" s="31" t="n"/>
      <c r="Q804" s="31" t="n"/>
      <c r="R804" s="31" t="n"/>
      <c r="S804" s="31" t="n"/>
      <c r="T804" s="31" t="n"/>
      <c r="U804" s="31" t="n"/>
      <c r="V804" s="31" t="n"/>
      <c r="W804" s="31" t="n"/>
      <c r="X804" s="31" t="n"/>
      <c r="Y804" s="31" t="n"/>
    </row>
    <row r="805" ht="14.25" customHeight="1">
      <c r="A805" s="32" t="n"/>
      <c r="P805" s="31" t="n"/>
      <c r="Q805" s="31" t="n"/>
      <c r="R805" s="31" t="n"/>
      <c r="S805" s="31" t="n"/>
      <c r="T805" s="31" t="n"/>
      <c r="U805" s="31" t="n"/>
      <c r="V805" s="31" t="n"/>
      <c r="W805" s="31" t="n"/>
      <c r="X805" s="31" t="n"/>
      <c r="Y805" s="31" t="n"/>
    </row>
    <row r="806" ht="14.25" customHeight="1">
      <c r="A806" s="32" t="n"/>
      <c r="P806" s="31" t="n"/>
      <c r="Q806" s="31" t="n"/>
      <c r="R806" s="31" t="n"/>
      <c r="S806" s="31" t="n"/>
      <c r="T806" s="31" t="n"/>
      <c r="U806" s="31" t="n"/>
      <c r="V806" s="31" t="n"/>
      <c r="W806" s="31" t="n"/>
      <c r="X806" s="31" t="n"/>
      <c r="Y806" s="31" t="n"/>
    </row>
    <row r="807" ht="14.25" customHeight="1">
      <c r="A807" s="32" t="n"/>
      <c r="P807" s="31" t="n"/>
      <c r="Q807" s="31" t="n"/>
      <c r="R807" s="31" t="n"/>
      <c r="S807" s="31" t="n"/>
      <c r="T807" s="31" t="n"/>
      <c r="U807" s="31" t="n"/>
      <c r="V807" s="31" t="n"/>
      <c r="W807" s="31" t="n"/>
      <c r="X807" s="31" t="n"/>
      <c r="Y807" s="31" t="n"/>
    </row>
    <row r="808" ht="14.25" customHeight="1">
      <c r="A808" s="32" t="n"/>
      <c r="P808" s="31" t="n"/>
      <c r="Q808" s="31" t="n"/>
      <c r="R808" s="31" t="n"/>
      <c r="S808" s="31" t="n"/>
      <c r="T808" s="31" t="n"/>
      <c r="U808" s="31" t="n"/>
      <c r="V808" s="31" t="n"/>
      <c r="W808" s="31" t="n"/>
      <c r="X808" s="31" t="n"/>
      <c r="Y808" s="31" t="n"/>
    </row>
    <row r="809" ht="14.25" customHeight="1">
      <c r="A809" s="32" t="n"/>
      <c r="P809" s="31" t="n"/>
      <c r="Q809" s="31" t="n"/>
      <c r="R809" s="31" t="n"/>
      <c r="S809" s="31" t="n"/>
      <c r="T809" s="31" t="n"/>
      <c r="U809" s="31" t="n"/>
      <c r="V809" s="31" t="n"/>
      <c r="W809" s="31" t="n"/>
      <c r="X809" s="31" t="n"/>
      <c r="Y809" s="31" t="n"/>
    </row>
    <row r="810" ht="14.25" customHeight="1">
      <c r="A810" s="32" t="n"/>
      <c r="P810" s="31" t="n"/>
      <c r="Q810" s="31" t="n"/>
      <c r="R810" s="31" t="n"/>
      <c r="S810" s="31" t="n"/>
      <c r="T810" s="31" t="n"/>
      <c r="U810" s="31" t="n"/>
      <c r="V810" s="31" t="n"/>
      <c r="W810" s="31" t="n"/>
      <c r="X810" s="31" t="n"/>
      <c r="Y810" s="31" t="n"/>
    </row>
    <row r="811" ht="14.25" customHeight="1">
      <c r="A811" s="32" t="n"/>
      <c r="P811" s="31" t="n"/>
      <c r="Q811" s="31" t="n"/>
      <c r="R811" s="31" t="n"/>
      <c r="S811" s="31" t="n"/>
      <c r="T811" s="31" t="n"/>
      <c r="U811" s="31" t="n"/>
      <c r="V811" s="31" t="n"/>
      <c r="W811" s="31" t="n"/>
      <c r="X811" s="31" t="n"/>
      <c r="Y811" s="31" t="n"/>
    </row>
    <row r="812" ht="14.25" customHeight="1">
      <c r="A812" s="32" t="n"/>
      <c r="P812" s="31" t="n"/>
      <c r="Q812" s="31" t="n"/>
      <c r="R812" s="31" t="n"/>
      <c r="S812" s="31" t="n"/>
      <c r="T812" s="31" t="n"/>
      <c r="U812" s="31" t="n"/>
      <c r="V812" s="31" t="n"/>
      <c r="W812" s="31" t="n"/>
      <c r="X812" s="31" t="n"/>
      <c r="Y812" s="31" t="n"/>
    </row>
    <row r="813" ht="14.25" customHeight="1">
      <c r="A813" s="32" t="n"/>
      <c r="P813" s="31" t="n"/>
      <c r="Q813" s="31" t="n"/>
      <c r="R813" s="31" t="n"/>
      <c r="S813" s="31" t="n"/>
      <c r="T813" s="31" t="n"/>
      <c r="U813" s="31" t="n"/>
      <c r="V813" s="31" t="n"/>
      <c r="W813" s="31" t="n"/>
      <c r="X813" s="31" t="n"/>
      <c r="Y813" s="31" t="n"/>
    </row>
    <row r="814" ht="14.25" customHeight="1">
      <c r="A814" s="32" t="n"/>
      <c r="P814" s="31" t="n"/>
      <c r="Q814" s="31" t="n"/>
      <c r="R814" s="31" t="n"/>
      <c r="S814" s="31" t="n"/>
      <c r="T814" s="31" t="n"/>
      <c r="U814" s="31" t="n"/>
      <c r="V814" s="31" t="n"/>
      <c r="W814" s="31" t="n"/>
      <c r="X814" s="31" t="n"/>
      <c r="Y814" s="31" t="n"/>
    </row>
    <row r="815" ht="14.25" customHeight="1">
      <c r="A815" s="32" t="n"/>
      <c r="P815" s="31" t="n"/>
      <c r="Q815" s="31" t="n"/>
      <c r="R815" s="31" t="n"/>
      <c r="S815" s="31" t="n"/>
      <c r="T815" s="31" t="n"/>
      <c r="U815" s="31" t="n"/>
      <c r="V815" s="31" t="n"/>
      <c r="W815" s="31" t="n"/>
      <c r="X815" s="31" t="n"/>
      <c r="Y815" s="31" t="n"/>
    </row>
    <row r="816" ht="14.25" customHeight="1">
      <c r="A816" s="32" t="n"/>
      <c r="P816" s="31" t="n"/>
      <c r="Q816" s="31" t="n"/>
      <c r="R816" s="31" t="n"/>
      <c r="S816" s="31" t="n"/>
      <c r="T816" s="31" t="n"/>
      <c r="U816" s="31" t="n"/>
      <c r="V816" s="31" t="n"/>
      <c r="W816" s="31" t="n"/>
      <c r="X816" s="31" t="n"/>
      <c r="Y816" s="31" t="n"/>
    </row>
    <row r="817" ht="14.25" customHeight="1">
      <c r="A817" s="32" t="n"/>
      <c r="P817" s="31" t="n"/>
      <c r="Q817" s="31" t="n"/>
      <c r="R817" s="31" t="n"/>
      <c r="S817" s="31" t="n"/>
      <c r="T817" s="31" t="n"/>
      <c r="U817" s="31" t="n"/>
      <c r="V817" s="31" t="n"/>
      <c r="W817" s="31" t="n"/>
      <c r="X817" s="31" t="n"/>
      <c r="Y817" s="31" t="n"/>
    </row>
    <row r="818" ht="14.25" customHeight="1">
      <c r="A818" s="32" t="n"/>
      <c r="P818" s="31" t="n"/>
      <c r="Q818" s="31" t="n"/>
      <c r="R818" s="31" t="n"/>
      <c r="S818" s="31" t="n"/>
      <c r="T818" s="31" t="n"/>
      <c r="U818" s="31" t="n"/>
      <c r="V818" s="31" t="n"/>
      <c r="W818" s="31" t="n"/>
      <c r="X818" s="31" t="n"/>
      <c r="Y818" s="31" t="n"/>
    </row>
    <row r="819" ht="14.25" customHeight="1">
      <c r="A819" s="32" t="n"/>
      <c r="P819" s="31" t="n"/>
      <c r="Q819" s="31" t="n"/>
      <c r="R819" s="31" t="n"/>
      <c r="S819" s="31" t="n"/>
      <c r="T819" s="31" t="n"/>
      <c r="U819" s="31" t="n"/>
      <c r="V819" s="31" t="n"/>
      <c r="W819" s="31" t="n"/>
      <c r="X819" s="31" t="n"/>
      <c r="Y819" s="31" t="n"/>
    </row>
    <row r="820" ht="14.25" customHeight="1">
      <c r="A820" s="32" t="n"/>
      <c r="P820" s="31" t="n"/>
      <c r="Q820" s="31" t="n"/>
      <c r="R820" s="31" t="n"/>
      <c r="S820" s="31" t="n"/>
      <c r="T820" s="31" t="n"/>
      <c r="U820" s="31" t="n"/>
      <c r="V820" s="31" t="n"/>
      <c r="W820" s="31" t="n"/>
      <c r="X820" s="31" t="n"/>
      <c r="Y820" s="31" t="n"/>
    </row>
    <row r="821" ht="14.25" customHeight="1">
      <c r="A821" s="32" t="n"/>
      <c r="P821" s="31" t="n"/>
      <c r="Q821" s="31" t="n"/>
      <c r="R821" s="31" t="n"/>
      <c r="S821" s="31" t="n"/>
      <c r="T821" s="31" t="n"/>
      <c r="U821" s="31" t="n"/>
      <c r="V821" s="31" t="n"/>
      <c r="W821" s="31" t="n"/>
      <c r="X821" s="31" t="n"/>
      <c r="Y821" s="31" t="n"/>
    </row>
    <row r="822" ht="14.25" customHeight="1">
      <c r="A822" s="32" t="n"/>
      <c r="P822" s="31" t="n"/>
      <c r="Q822" s="31" t="n"/>
      <c r="R822" s="31" t="n"/>
      <c r="S822" s="31" t="n"/>
      <c r="T822" s="31" t="n"/>
      <c r="U822" s="31" t="n"/>
      <c r="V822" s="31" t="n"/>
      <c r="W822" s="31" t="n"/>
      <c r="X822" s="31" t="n"/>
      <c r="Y822" s="31" t="n"/>
    </row>
    <row r="823" ht="14.25" customHeight="1">
      <c r="A823" s="32" t="n"/>
      <c r="P823" s="31" t="n"/>
      <c r="Q823" s="31" t="n"/>
      <c r="R823" s="31" t="n"/>
      <c r="S823" s="31" t="n"/>
      <c r="T823" s="31" t="n"/>
      <c r="U823" s="31" t="n"/>
      <c r="V823" s="31" t="n"/>
      <c r="W823" s="31" t="n"/>
      <c r="X823" s="31" t="n"/>
      <c r="Y823" s="31" t="n"/>
    </row>
    <row r="824" ht="14.25" customHeight="1">
      <c r="A824" s="32" t="n"/>
      <c r="P824" s="31" t="n"/>
      <c r="Q824" s="31" t="n"/>
      <c r="R824" s="31" t="n"/>
      <c r="S824" s="31" t="n"/>
      <c r="T824" s="31" t="n"/>
      <c r="U824" s="31" t="n"/>
      <c r="V824" s="31" t="n"/>
      <c r="W824" s="31" t="n"/>
      <c r="X824" s="31" t="n"/>
      <c r="Y824" s="31" t="n"/>
    </row>
    <row r="825" ht="14.25" customHeight="1">
      <c r="A825" s="32" t="n"/>
      <c r="P825" s="31" t="n"/>
      <c r="Q825" s="31" t="n"/>
      <c r="R825" s="31" t="n"/>
      <c r="S825" s="31" t="n"/>
      <c r="T825" s="31" t="n"/>
      <c r="U825" s="31" t="n"/>
      <c r="V825" s="31" t="n"/>
      <c r="W825" s="31" t="n"/>
      <c r="X825" s="31" t="n"/>
      <c r="Y825" s="31" t="n"/>
    </row>
    <row r="826" ht="14.25" customHeight="1">
      <c r="A826" s="32" t="n"/>
      <c r="P826" s="31" t="n"/>
      <c r="Q826" s="31" t="n"/>
      <c r="R826" s="31" t="n"/>
      <c r="S826" s="31" t="n"/>
      <c r="T826" s="31" t="n"/>
      <c r="U826" s="31" t="n"/>
      <c r="V826" s="31" t="n"/>
      <c r="W826" s="31" t="n"/>
      <c r="X826" s="31" t="n"/>
      <c r="Y826" s="31" t="n"/>
    </row>
    <row r="827" ht="14.25" customHeight="1">
      <c r="A827" s="32" t="n"/>
      <c r="P827" s="31" t="n"/>
      <c r="Q827" s="31" t="n"/>
      <c r="R827" s="31" t="n"/>
      <c r="S827" s="31" t="n"/>
      <c r="T827" s="31" t="n"/>
      <c r="U827" s="31" t="n"/>
      <c r="V827" s="31" t="n"/>
      <c r="W827" s="31" t="n"/>
      <c r="X827" s="31" t="n"/>
      <c r="Y827" s="31" t="n"/>
    </row>
    <row r="828" ht="14.25" customHeight="1">
      <c r="A828" s="32" t="n"/>
      <c r="P828" s="31" t="n"/>
      <c r="Q828" s="31" t="n"/>
      <c r="R828" s="31" t="n"/>
      <c r="S828" s="31" t="n"/>
      <c r="T828" s="31" t="n"/>
      <c r="U828" s="31" t="n"/>
      <c r="V828" s="31" t="n"/>
      <c r="W828" s="31" t="n"/>
      <c r="X828" s="31" t="n"/>
      <c r="Y828" s="31" t="n"/>
    </row>
    <row r="829" ht="14.25" customHeight="1">
      <c r="A829" s="32" t="n"/>
      <c r="P829" s="31" t="n"/>
      <c r="Q829" s="31" t="n"/>
      <c r="R829" s="31" t="n"/>
      <c r="S829" s="31" t="n"/>
      <c r="T829" s="31" t="n"/>
      <c r="U829" s="31" t="n"/>
      <c r="V829" s="31" t="n"/>
      <c r="W829" s="31" t="n"/>
      <c r="X829" s="31" t="n"/>
      <c r="Y829" s="31" t="n"/>
    </row>
    <row r="830" ht="14.25" customHeight="1">
      <c r="A830" s="32" t="n"/>
      <c r="P830" s="31" t="n"/>
      <c r="Q830" s="31" t="n"/>
      <c r="R830" s="31" t="n"/>
      <c r="S830" s="31" t="n"/>
      <c r="T830" s="31" t="n"/>
      <c r="U830" s="31" t="n"/>
      <c r="V830" s="31" t="n"/>
      <c r="W830" s="31" t="n"/>
      <c r="X830" s="31" t="n"/>
      <c r="Y830" s="31" t="n"/>
    </row>
    <row r="831" ht="14.25" customHeight="1">
      <c r="A831" s="32" t="n"/>
      <c r="P831" s="31" t="n"/>
      <c r="Q831" s="31" t="n"/>
      <c r="R831" s="31" t="n"/>
      <c r="S831" s="31" t="n"/>
      <c r="T831" s="31" t="n"/>
      <c r="U831" s="31" t="n"/>
      <c r="V831" s="31" t="n"/>
      <c r="W831" s="31" t="n"/>
      <c r="X831" s="31" t="n"/>
      <c r="Y831" s="31" t="n"/>
    </row>
    <row r="832" ht="14.25" customHeight="1">
      <c r="A832" s="32" t="n"/>
      <c r="P832" s="31" t="n"/>
      <c r="Q832" s="31" t="n"/>
      <c r="R832" s="31" t="n"/>
      <c r="S832" s="31" t="n"/>
      <c r="T832" s="31" t="n"/>
      <c r="U832" s="31" t="n"/>
      <c r="V832" s="31" t="n"/>
      <c r="W832" s="31" t="n"/>
      <c r="X832" s="31" t="n"/>
      <c r="Y832" s="31" t="n"/>
    </row>
    <row r="833" ht="14.25" customHeight="1">
      <c r="A833" s="32" t="n"/>
      <c r="P833" s="31" t="n"/>
      <c r="Q833" s="31" t="n"/>
      <c r="R833" s="31" t="n"/>
      <c r="S833" s="31" t="n"/>
      <c r="T833" s="31" t="n"/>
      <c r="U833" s="31" t="n"/>
      <c r="V833" s="31" t="n"/>
      <c r="W833" s="31" t="n"/>
      <c r="X833" s="31" t="n"/>
      <c r="Y833" s="31" t="n"/>
    </row>
    <row r="834" ht="14.25" customHeight="1">
      <c r="A834" s="32" t="n"/>
      <c r="P834" s="31" t="n"/>
      <c r="Q834" s="31" t="n"/>
      <c r="R834" s="31" t="n"/>
      <c r="S834" s="31" t="n"/>
      <c r="T834" s="31" t="n"/>
      <c r="U834" s="31" t="n"/>
      <c r="V834" s="31" t="n"/>
      <c r="W834" s="31" t="n"/>
      <c r="X834" s="31" t="n"/>
      <c r="Y834" s="31" t="n"/>
    </row>
    <row r="835" ht="14.25" customHeight="1">
      <c r="A835" s="32" t="n"/>
      <c r="P835" s="31" t="n"/>
      <c r="Q835" s="31" t="n"/>
      <c r="R835" s="31" t="n"/>
      <c r="S835" s="31" t="n"/>
      <c r="T835" s="31" t="n"/>
      <c r="U835" s="31" t="n"/>
      <c r="V835" s="31" t="n"/>
      <c r="W835" s="31" t="n"/>
      <c r="X835" s="31" t="n"/>
      <c r="Y835" s="31" t="n"/>
    </row>
    <row r="836" ht="14.25" customHeight="1">
      <c r="A836" s="32" t="n"/>
      <c r="P836" s="31" t="n"/>
      <c r="Q836" s="31" t="n"/>
      <c r="R836" s="31" t="n"/>
      <c r="S836" s="31" t="n"/>
      <c r="T836" s="31" t="n"/>
      <c r="U836" s="31" t="n"/>
      <c r="V836" s="31" t="n"/>
      <c r="W836" s="31" t="n"/>
      <c r="X836" s="31" t="n"/>
      <c r="Y836" s="31" t="n"/>
    </row>
    <row r="837" ht="14.25" customHeight="1">
      <c r="A837" s="32" t="n"/>
      <c r="P837" s="31" t="n"/>
      <c r="Q837" s="31" t="n"/>
      <c r="R837" s="31" t="n"/>
      <c r="S837" s="31" t="n"/>
      <c r="T837" s="31" t="n"/>
      <c r="U837" s="31" t="n"/>
      <c r="V837" s="31" t="n"/>
      <c r="W837" s="31" t="n"/>
      <c r="X837" s="31" t="n"/>
      <c r="Y837" s="31" t="n"/>
    </row>
    <row r="838" ht="14.25" customHeight="1">
      <c r="A838" s="32" t="n"/>
      <c r="P838" s="31" t="n"/>
      <c r="Q838" s="31" t="n"/>
      <c r="R838" s="31" t="n"/>
      <c r="S838" s="31" t="n"/>
      <c r="T838" s="31" t="n"/>
      <c r="U838" s="31" t="n"/>
      <c r="V838" s="31" t="n"/>
      <c r="W838" s="31" t="n"/>
      <c r="X838" s="31" t="n"/>
      <c r="Y838" s="31" t="n"/>
    </row>
    <row r="839" ht="14.25" customHeight="1">
      <c r="A839" s="32" t="n"/>
      <c r="P839" s="31" t="n"/>
      <c r="Q839" s="31" t="n"/>
      <c r="R839" s="31" t="n"/>
      <c r="S839" s="31" t="n"/>
      <c r="T839" s="31" t="n"/>
      <c r="U839" s="31" t="n"/>
      <c r="V839" s="31" t="n"/>
      <c r="W839" s="31" t="n"/>
      <c r="X839" s="31" t="n"/>
      <c r="Y839" s="31" t="n"/>
    </row>
    <row r="840" ht="14.25" customHeight="1">
      <c r="A840" s="32" t="n"/>
      <c r="P840" s="31" t="n"/>
      <c r="Q840" s="31" t="n"/>
      <c r="R840" s="31" t="n"/>
      <c r="S840" s="31" t="n"/>
      <c r="T840" s="31" t="n"/>
      <c r="U840" s="31" t="n"/>
      <c r="V840" s="31" t="n"/>
      <c r="W840" s="31" t="n"/>
      <c r="X840" s="31" t="n"/>
      <c r="Y840" s="31" t="n"/>
    </row>
    <row r="841" ht="14.25" customHeight="1">
      <c r="A841" s="32" t="n"/>
      <c r="P841" s="31" t="n"/>
      <c r="Q841" s="31" t="n"/>
      <c r="R841" s="31" t="n"/>
      <c r="S841" s="31" t="n"/>
      <c r="T841" s="31" t="n"/>
      <c r="U841" s="31" t="n"/>
      <c r="V841" s="31" t="n"/>
      <c r="W841" s="31" t="n"/>
      <c r="X841" s="31" t="n"/>
      <c r="Y841" s="31" t="n"/>
    </row>
    <row r="842" ht="14.25" customHeight="1">
      <c r="A842" s="32" t="n"/>
      <c r="P842" s="31" t="n"/>
      <c r="Q842" s="31" t="n"/>
      <c r="R842" s="31" t="n"/>
      <c r="S842" s="31" t="n"/>
      <c r="T842" s="31" t="n"/>
      <c r="U842" s="31" t="n"/>
      <c r="V842" s="31" t="n"/>
      <c r="W842" s="31" t="n"/>
      <c r="X842" s="31" t="n"/>
      <c r="Y842" s="31" t="n"/>
    </row>
    <row r="843" ht="14.25" customHeight="1">
      <c r="A843" s="32" t="n"/>
      <c r="P843" s="31" t="n"/>
      <c r="Q843" s="31" t="n"/>
      <c r="R843" s="31" t="n"/>
      <c r="S843" s="31" t="n"/>
      <c r="T843" s="31" t="n"/>
      <c r="U843" s="31" t="n"/>
      <c r="V843" s="31" t="n"/>
      <c r="W843" s="31" t="n"/>
      <c r="X843" s="31" t="n"/>
      <c r="Y843" s="31" t="n"/>
    </row>
    <row r="844" ht="14.25" customHeight="1">
      <c r="A844" s="32" t="n"/>
      <c r="P844" s="31" t="n"/>
      <c r="Q844" s="31" t="n"/>
      <c r="R844" s="31" t="n"/>
      <c r="S844" s="31" t="n"/>
      <c r="T844" s="31" t="n"/>
      <c r="U844" s="31" t="n"/>
      <c r="V844" s="31" t="n"/>
      <c r="W844" s="31" t="n"/>
      <c r="X844" s="31" t="n"/>
      <c r="Y844" s="31" t="n"/>
    </row>
    <row r="845" ht="14.25" customHeight="1">
      <c r="A845" s="32" t="n"/>
      <c r="P845" s="31" t="n"/>
      <c r="Q845" s="31" t="n"/>
      <c r="R845" s="31" t="n"/>
      <c r="S845" s="31" t="n"/>
      <c r="T845" s="31" t="n"/>
      <c r="U845" s="31" t="n"/>
      <c r="V845" s="31" t="n"/>
      <c r="W845" s="31" t="n"/>
      <c r="X845" s="31" t="n"/>
      <c r="Y845" s="31" t="n"/>
    </row>
    <row r="846" ht="14.25" customHeight="1">
      <c r="A846" s="32" t="n"/>
      <c r="P846" s="31" t="n"/>
      <c r="Q846" s="31" t="n"/>
      <c r="R846" s="31" t="n"/>
      <c r="S846" s="31" t="n"/>
      <c r="T846" s="31" t="n"/>
      <c r="U846" s="31" t="n"/>
      <c r="V846" s="31" t="n"/>
      <c r="W846" s="31" t="n"/>
      <c r="X846" s="31" t="n"/>
      <c r="Y846" s="31" t="n"/>
    </row>
    <row r="847" ht="14.25" customHeight="1">
      <c r="A847" s="32" t="n"/>
      <c r="P847" s="31" t="n"/>
      <c r="Q847" s="31" t="n"/>
      <c r="R847" s="31" t="n"/>
      <c r="S847" s="31" t="n"/>
      <c r="T847" s="31" t="n"/>
      <c r="U847" s="31" t="n"/>
      <c r="V847" s="31" t="n"/>
      <c r="W847" s="31" t="n"/>
      <c r="X847" s="31" t="n"/>
      <c r="Y847" s="31" t="n"/>
    </row>
    <row r="848" ht="14.25" customHeight="1">
      <c r="A848" s="32" t="n"/>
      <c r="P848" s="31" t="n"/>
      <c r="Q848" s="31" t="n"/>
      <c r="R848" s="31" t="n"/>
      <c r="S848" s="31" t="n"/>
      <c r="T848" s="31" t="n"/>
      <c r="U848" s="31" t="n"/>
      <c r="V848" s="31" t="n"/>
      <c r="W848" s="31" t="n"/>
      <c r="X848" s="31" t="n"/>
      <c r="Y848" s="31" t="n"/>
    </row>
    <row r="849" ht="14.25" customHeight="1">
      <c r="A849" s="32" t="n"/>
      <c r="P849" s="31" t="n"/>
      <c r="Q849" s="31" t="n"/>
      <c r="R849" s="31" t="n"/>
      <c r="S849" s="31" t="n"/>
      <c r="T849" s="31" t="n"/>
      <c r="U849" s="31" t="n"/>
      <c r="V849" s="31" t="n"/>
      <c r="W849" s="31" t="n"/>
      <c r="X849" s="31" t="n"/>
      <c r="Y849" s="31" t="n"/>
    </row>
    <row r="850" ht="14.25" customHeight="1">
      <c r="A850" s="32" t="n"/>
      <c r="P850" s="31" t="n"/>
      <c r="Q850" s="31" t="n"/>
      <c r="R850" s="31" t="n"/>
      <c r="S850" s="31" t="n"/>
      <c r="T850" s="31" t="n"/>
      <c r="U850" s="31" t="n"/>
      <c r="V850" s="31" t="n"/>
      <c r="W850" s="31" t="n"/>
      <c r="X850" s="31" t="n"/>
      <c r="Y850" s="31" t="n"/>
    </row>
    <row r="851" ht="14.25" customHeight="1">
      <c r="A851" s="32" t="n"/>
      <c r="P851" s="31" t="n"/>
      <c r="Q851" s="31" t="n"/>
      <c r="R851" s="31" t="n"/>
      <c r="S851" s="31" t="n"/>
      <c r="T851" s="31" t="n"/>
      <c r="U851" s="31" t="n"/>
      <c r="V851" s="31" t="n"/>
      <c r="W851" s="31" t="n"/>
      <c r="X851" s="31" t="n"/>
      <c r="Y851" s="31" t="n"/>
    </row>
    <row r="852" ht="14.25" customHeight="1">
      <c r="A852" s="32" t="n"/>
      <c r="P852" s="31" t="n"/>
      <c r="Q852" s="31" t="n"/>
      <c r="R852" s="31" t="n"/>
      <c r="S852" s="31" t="n"/>
      <c r="T852" s="31" t="n"/>
      <c r="U852" s="31" t="n"/>
      <c r="V852" s="31" t="n"/>
      <c r="W852" s="31" t="n"/>
      <c r="X852" s="31" t="n"/>
      <c r="Y852" s="31" t="n"/>
    </row>
    <row r="853" ht="14.25" customHeight="1">
      <c r="A853" s="32" t="n"/>
      <c r="P853" s="31" t="n"/>
      <c r="Q853" s="31" t="n"/>
      <c r="R853" s="31" t="n"/>
      <c r="S853" s="31" t="n"/>
      <c r="T853" s="31" t="n"/>
      <c r="U853" s="31" t="n"/>
      <c r="V853" s="31" t="n"/>
      <c r="W853" s="31" t="n"/>
      <c r="X853" s="31" t="n"/>
      <c r="Y853" s="31" t="n"/>
    </row>
    <row r="854" ht="14.25" customHeight="1">
      <c r="A854" s="32" t="n"/>
      <c r="P854" s="31" t="n"/>
      <c r="Q854" s="31" t="n"/>
      <c r="R854" s="31" t="n"/>
      <c r="S854" s="31" t="n"/>
      <c r="T854" s="31" t="n"/>
      <c r="U854" s="31" t="n"/>
      <c r="V854" s="31" t="n"/>
      <c r="W854" s="31" t="n"/>
      <c r="X854" s="31" t="n"/>
      <c r="Y854" s="31" t="n"/>
    </row>
    <row r="855" ht="14.25" customHeight="1">
      <c r="A855" s="32" t="n"/>
      <c r="P855" s="31" t="n"/>
      <c r="Q855" s="31" t="n"/>
      <c r="R855" s="31" t="n"/>
      <c r="S855" s="31" t="n"/>
      <c r="T855" s="31" t="n"/>
      <c r="U855" s="31" t="n"/>
      <c r="V855" s="31" t="n"/>
      <c r="W855" s="31" t="n"/>
      <c r="X855" s="31" t="n"/>
      <c r="Y855" s="31" t="n"/>
    </row>
    <row r="856" ht="14.25" customHeight="1">
      <c r="A856" s="32" t="n"/>
      <c r="P856" s="31" t="n"/>
      <c r="Q856" s="31" t="n"/>
      <c r="R856" s="31" t="n"/>
      <c r="S856" s="31" t="n"/>
      <c r="T856" s="31" t="n"/>
      <c r="U856" s="31" t="n"/>
      <c r="V856" s="31" t="n"/>
      <c r="W856" s="31" t="n"/>
      <c r="X856" s="31" t="n"/>
      <c r="Y856" s="31" t="n"/>
    </row>
    <row r="857" ht="14.25" customHeight="1">
      <c r="A857" s="32" t="n"/>
      <c r="P857" s="31" t="n"/>
      <c r="Q857" s="31" t="n"/>
      <c r="R857" s="31" t="n"/>
      <c r="S857" s="31" t="n"/>
      <c r="T857" s="31" t="n"/>
      <c r="U857" s="31" t="n"/>
      <c r="V857" s="31" t="n"/>
      <c r="W857" s="31" t="n"/>
      <c r="X857" s="31" t="n"/>
      <c r="Y857" s="31" t="n"/>
    </row>
    <row r="858" ht="14.25" customHeight="1">
      <c r="A858" s="32" t="n"/>
      <c r="P858" s="31" t="n"/>
      <c r="Q858" s="31" t="n"/>
      <c r="R858" s="31" t="n"/>
      <c r="S858" s="31" t="n"/>
      <c r="T858" s="31" t="n"/>
      <c r="U858" s="31" t="n"/>
      <c r="V858" s="31" t="n"/>
      <c r="W858" s="31" t="n"/>
      <c r="X858" s="31" t="n"/>
      <c r="Y858" s="31" t="n"/>
    </row>
    <row r="859" ht="14.25" customHeight="1">
      <c r="A859" s="32" t="n"/>
      <c r="P859" s="31" t="n"/>
      <c r="Q859" s="31" t="n"/>
      <c r="R859" s="31" t="n"/>
      <c r="S859" s="31" t="n"/>
      <c r="T859" s="31" t="n"/>
      <c r="U859" s="31" t="n"/>
      <c r="V859" s="31" t="n"/>
      <c r="W859" s="31" t="n"/>
      <c r="X859" s="31" t="n"/>
      <c r="Y859" s="31" t="n"/>
    </row>
    <row r="860" ht="14.25" customHeight="1">
      <c r="A860" s="32" t="n"/>
      <c r="P860" s="31" t="n"/>
      <c r="Q860" s="31" t="n"/>
      <c r="R860" s="31" t="n"/>
      <c r="S860" s="31" t="n"/>
      <c r="T860" s="31" t="n"/>
      <c r="U860" s="31" t="n"/>
      <c r="V860" s="31" t="n"/>
      <c r="W860" s="31" t="n"/>
      <c r="X860" s="31" t="n"/>
      <c r="Y860" s="31" t="n"/>
    </row>
    <row r="861" ht="14.25" customHeight="1">
      <c r="A861" s="32" t="n"/>
      <c r="P861" s="31" t="n"/>
      <c r="Q861" s="31" t="n"/>
      <c r="R861" s="31" t="n"/>
      <c r="S861" s="31" t="n"/>
      <c r="T861" s="31" t="n"/>
      <c r="U861" s="31" t="n"/>
      <c r="V861" s="31" t="n"/>
      <c r="W861" s="31" t="n"/>
      <c r="X861" s="31" t="n"/>
      <c r="Y861" s="31" t="n"/>
    </row>
    <row r="862" ht="14.25" customHeight="1">
      <c r="A862" s="32" t="n"/>
      <c r="P862" s="31" t="n"/>
      <c r="Q862" s="31" t="n"/>
      <c r="R862" s="31" t="n"/>
      <c r="S862" s="31" t="n"/>
      <c r="T862" s="31" t="n"/>
      <c r="U862" s="31" t="n"/>
      <c r="V862" s="31" t="n"/>
      <c r="W862" s="31" t="n"/>
      <c r="X862" s="31" t="n"/>
      <c r="Y862" s="31" t="n"/>
    </row>
    <row r="863" ht="14.25" customHeight="1">
      <c r="A863" s="32" t="n"/>
      <c r="P863" s="31" t="n"/>
      <c r="Q863" s="31" t="n"/>
      <c r="R863" s="31" t="n"/>
      <c r="S863" s="31" t="n"/>
      <c r="T863" s="31" t="n"/>
      <c r="U863" s="31" t="n"/>
      <c r="V863" s="31" t="n"/>
      <c r="W863" s="31" t="n"/>
      <c r="X863" s="31" t="n"/>
      <c r="Y863" s="31" t="n"/>
    </row>
    <row r="864" ht="14.25" customHeight="1">
      <c r="A864" s="32" t="n"/>
      <c r="P864" s="31" t="n"/>
      <c r="Q864" s="31" t="n"/>
      <c r="R864" s="31" t="n"/>
      <c r="S864" s="31" t="n"/>
      <c r="T864" s="31" t="n"/>
      <c r="U864" s="31" t="n"/>
      <c r="V864" s="31" t="n"/>
      <c r="W864" s="31" t="n"/>
      <c r="X864" s="31" t="n"/>
      <c r="Y864" s="31" t="n"/>
    </row>
    <row r="865" ht="14.25" customHeight="1">
      <c r="A865" s="32" t="n"/>
      <c r="P865" s="31" t="n"/>
      <c r="Q865" s="31" t="n"/>
      <c r="R865" s="31" t="n"/>
      <c r="S865" s="31" t="n"/>
      <c r="T865" s="31" t="n"/>
      <c r="U865" s="31" t="n"/>
      <c r="V865" s="31" t="n"/>
      <c r="W865" s="31" t="n"/>
      <c r="X865" s="31" t="n"/>
      <c r="Y865" s="31" t="n"/>
    </row>
    <row r="866" ht="14.25" customHeight="1">
      <c r="A866" s="32" t="n"/>
      <c r="P866" s="31" t="n"/>
      <c r="Q866" s="31" t="n"/>
      <c r="R866" s="31" t="n"/>
      <c r="S866" s="31" t="n"/>
      <c r="T866" s="31" t="n"/>
      <c r="U866" s="31" t="n"/>
      <c r="V866" s="31" t="n"/>
      <c r="W866" s="31" t="n"/>
      <c r="X866" s="31" t="n"/>
      <c r="Y866" s="31" t="n"/>
    </row>
    <row r="867" ht="14.25" customHeight="1">
      <c r="A867" s="32" t="n"/>
      <c r="P867" s="31" t="n"/>
      <c r="Q867" s="31" t="n"/>
      <c r="R867" s="31" t="n"/>
      <c r="S867" s="31" t="n"/>
      <c r="T867" s="31" t="n"/>
      <c r="U867" s="31" t="n"/>
      <c r="V867" s="31" t="n"/>
      <c r="W867" s="31" t="n"/>
      <c r="X867" s="31" t="n"/>
      <c r="Y867" s="31" t="n"/>
    </row>
    <row r="868" ht="14.25" customHeight="1">
      <c r="A868" s="32" t="n"/>
      <c r="P868" s="31" t="n"/>
      <c r="Q868" s="31" t="n"/>
      <c r="R868" s="31" t="n"/>
      <c r="S868" s="31" t="n"/>
      <c r="T868" s="31" t="n"/>
      <c r="U868" s="31" t="n"/>
      <c r="V868" s="31" t="n"/>
      <c r="W868" s="31" t="n"/>
      <c r="X868" s="31" t="n"/>
      <c r="Y868" s="31" t="n"/>
    </row>
    <row r="869" ht="14.25" customHeight="1">
      <c r="A869" s="32" t="n"/>
      <c r="P869" s="31" t="n"/>
      <c r="Q869" s="31" t="n"/>
      <c r="R869" s="31" t="n"/>
      <c r="S869" s="31" t="n"/>
      <c r="T869" s="31" t="n"/>
      <c r="U869" s="31" t="n"/>
      <c r="V869" s="31" t="n"/>
      <c r="W869" s="31" t="n"/>
      <c r="X869" s="31" t="n"/>
      <c r="Y869" s="31" t="n"/>
    </row>
    <row r="870" ht="14.25" customHeight="1">
      <c r="A870" s="32" t="n"/>
      <c r="P870" s="31" t="n"/>
      <c r="Q870" s="31" t="n"/>
      <c r="R870" s="31" t="n"/>
      <c r="S870" s="31" t="n"/>
      <c r="T870" s="31" t="n"/>
      <c r="U870" s="31" t="n"/>
      <c r="V870" s="31" t="n"/>
      <c r="W870" s="31" t="n"/>
      <c r="X870" s="31" t="n"/>
      <c r="Y870" s="31" t="n"/>
    </row>
    <row r="871" ht="14.25" customHeight="1">
      <c r="A871" s="32" t="n"/>
      <c r="P871" s="31" t="n"/>
      <c r="Q871" s="31" t="n"/>
      <c r="R871" s="31" t="n"/>
      <c r="S871" s="31" t="n"/>
      <c r="T871" s="31" t="n"/>
      <c r="U871" s="31" t="n"/>
      <c r="V871" s="31" t="n"/>
      <c r="W871" s="31" t="n"/>
      <c r="X871" s="31" t="n"/>
      <c r="Y871" s="31" t="n"/>
    </row>
    <row r="872" ht="14.25" customHeight="1">
      <c r="A872" s="32" t="n"/>
      <c r="P872" s="31" t="n"/>
      <c r="Q872" s="31" t="n"/>
      <c r="R872" s="31" t="n"/>
      <c r="S872" s="31" t="n"/>
      <c r="T872" s="31" t="n"/>
      <c r="U872" s="31" t="n"/>
      <c r="V872" s="31" t="n"/>
      <c r="W872" s="31" t="n"/>
      <c r="X872" s="31" t="n"/>
      <c r="Y872" s="31" t="n"/>
    </row>
    <row r="873" ht="14.25" customHeight="1">
      <c r="A873" s="32" t="n"/>
      <c r="P873" s="31" t="n"/>
      <c r="Q873" s="31" t="n"/>
      <c r="R873" s="31" t="n"/>
      <c r="S873" s="31" t="n"/>
      <c r="T873" s="31" t="n"/>
      <c r="U873" s="31" t="n"/>
      <c r="V873" s="31" t="n"/>
      <c r="W873" s="31" t="n"/>
      <c r="X873" s="31" t="n"/>
      <c r="Y873" s="31" t="n"/>
    </row>
    <row r="874" ht="14.25" customHeight="1">
      <c r="A874" s="32" t="n"/>
      <c r="P874" s="31" t="n"/>
      <c r="Q874" s="31" t="n"/>
      <c r="R874" s="31" t="n"/>
      <c r="S874" s="31" t="n"/>
      <c r="T874" s="31" t="n"/>
      <c r="U874" s="31" t="n"/>
      <c r="V874" s="31" t="n"/>
      <c r="W874" s="31" t="n"/>
      <c r="X874" s="31" t="n"/>
      <c r="Y874" s="31" t="n"/>
    </row>
    <row r="875" ht="14.25" customHeight="1">
      <c r="A875" s="32" t="n"/>
      <c r="P875" s="31" t="n"/>
      <c r="Q875" s="31" t="n"/>
      <c r="R875" s="31" t="n"/>
      <c r="S875" s="31" t="n"/>
      <c r="T875" s="31" t="n"/>
      <c r="U875" s="31" t="n"/>
      <c r="V875" s="31" t="n"/>
      <c r="W875" s="31" t="n"/>
      <c r="X875" s="31" t="n"/>
      <c r="Y875" s="31" t="n"/>
    </row>
    <row r="876" ht="14.25" customHeight="1">
      <c r="A876" s="32" t="n"/>
      <c r="P876" s="31" t="n"/>
      <c r="Q876" s="31" t="n"/>
      <c r="R876" s="31" t="n"/>
      <c r="S876" s="31" t="n"/>
      <c r="T876" s="31" t="n"/>
      <c r="U876" s="31" t="n"/>
      <c r="V876" s="31" t="n"/>
      <c r="W876" s="31" t="n"/>
      <c r="X876" s="31" t="n"/>
      <c r="Y876" s="31" t="n"/>
    </row>
    <row r="877" ht="14.25" customHeight="1">
      <c r="A877" s="32" t="n"/>
      <c r="P877" s="31" t="n"/>
      <c r="Q877" s="31" t="n"/>
      <c r="R877" s="31" t="n"/>
      <c r="S877" s="31" t="n"/>
      <c r="T877" s="31" t="n"/>
      <c r="U877" s="31" t="n"/>
      <c r="V877" s="31" t="n"/>
      <c r="W877" s="31" t="n"/>
      <c r="X877" s="31" t="n"/>
      <c r="Y877" s="31" t="n"/>
    </row>
    <row r="878" ht="14.25" customHeight="1">
      <c r="A878" s="32" t="n"/>
      <c r="P878" s="31" t="n"/>
      <c r="Q878" s="31" t="n"/>
      <c r="R878" s="31" t="n"/>
      <c r="S878" s="31" t="n"/>
      <c r="T878" s="31" t="n"/>
      <c r="U878" s="31" t="n"/>
      <c r="V878" s="31" t="n"/>
      <c r="W878" s="31" t="n"/>
      <c r="X878" s="31" t="n"/>
      <c r="Y878" s="31" t="n"/>
    </row>
    <row r="879" ht="14.25" customHeight="1">
      <c r="A879" s="32" t="n"/>
      <c r="P879" s="31" t="n"/>
      <c r="Q879" s="31" t="n"/>
      <c r="R879" s="31" t="n"/>
      <c r="S879" s="31" t="n"/>
      <c r="T879" s="31" t="n"/>
      <c r="U879" s="31" t="n"/>
      <c r="V879" s="31" t="n"/>
      <c r="W879" s="31" t="n"/>
      <c r="X879" s="31" t="n"/>
      <c r="Y879" s="31" t="n"/>
    </row>
    <row r="880" ht="14.25" customHeight="1">
      <c r="A880" s="32" t="n"/>
      <c r="P880" s="31" t="n"/>
      <c r="Q880" s="31" t="n"/>
      <c r="R880" s="31" t="n"/>
      <c r="S880" s="31" t="n"/>
      <c r="T880" s="31" t="n"/>
      <c r="U880" s="31" t="n"/>
      <c r="V880" s="31" t="n"/>
      <c r="W880" s="31" t="n"/>
      <c r="X880" s="31" t="n"/>
      <c r="Y880" s="31" t="n"/>
    </row>
    <row r="881" ht="14.25" customHeight="1">
      <c r="A881" s="32" t="n"/>
      <c r="P881" s="31" t="n"/>
      <c r="Q881" s="31" t="n"/>
      <c r="R881" s="31" t="n"/>
      <c r="S881" s="31" t="n"/>
      <c r="T881" s="31" t="n"/>
      <c r="U881" s="31" t="n"/>
      <c r="V881" s="31" t="n"/>
      <c r="W881" s="31" t="n"/>
      <c r="X881" s="31" t="n"/>
      <c r="Y881" s="31" t="n"/>
    </row>
    <row r="882" ht="14.25" customHeight="1">
      <c r="A882" s="32" t="n"/>
      <c r="P882" s="31" t="n"/>
      <c r="Q882" s="31" t="n"/>
      <c r="R882" s="31" t="n"/>
      <c r="S882" s="31" t="n"/>
      <c r="T882" s="31" t="n"/>
      <c r="U882" s="31" t="n"/>
      <c r="V882" s="31" t="n"/>
      <c r="W882" s="31" t="n"/>
      <c r="X882" s="31" t="n"/>
      <c r="Y882" s="31" t="n"/>
    </row>
    <row r="883" ht="14.25" customHeight="1">
      <c r="A883" s="32" t="n"/>
      <c r="P883" s="31" t="n"/>
      <c r="Q883" s="31" t="n"/>
      <c r="R883" s="31" t="n"/>
      <c r="S883" s="31" t="n"/>
      <c r="T883" s="31" t="n"/>
      <c r="U883" s="31" t="n"/>
      <c r="V883" s="31" t="n"/>
      <c r="W883" s="31" t="n"/>
      <c r="X883" s="31" t="n"/>
      <c r="Y883" s="31" t="n"/>
    </row>
    <row r="884" ht="14.25" customHeight="1">
      <c r="A884" s="32" t="n"/>
      <c r="P884" s="31" t="n"/>
      <c r="Q884" s="31" t="n"/>
      <c r="R884" s="31" t="n"/>
      <c r="S884" s="31" t="n"/>
      <c r="T884" s="31" t="n"/>
      <c r="U884" s="31" t="n"/>
      <c r="V884" s="31" t="n"/>
      <c r="W884" s="31" t="n"/>
      <c r="X884" s="31" t="n"/>
      <c r="Y884" s="31" t="n"/>
    </row>
    <row r="885" ht="14.25" customHeight="1">
      <c r="A885" s="32" t="n"/>
      <c r="P885" s="31" t="n"/>
      <c r="Q885" s="31" t="n"/>
      <c r="R885" s="31" t="n"/>
      <c r="S885" s="31" t="n"/>
      <c r="T885" s="31" t="n"/>
      <c r="U885" s="31" t="n"/>
      <c r="V885" s="31" t="n"/>
      <c r="W885" s="31" t="n"/>
      <c r="X885" s="31" t="n"/>
      <c r="Y885" s="31" t="n"/>
    </row>
    <row r="886" ht="14.25" customHeight="1">
      <c r="A886" s="32" t="n"/>
      <c r="P886" s="31" t="n"/>
      <c r="Q886" s="31" t="n"/>
      <c r="R886" s="31" t="n"/>
      <c r="S886" s="31" t="n"/>
      <c r="T886" s="31" t="n"/>
      <c r="U886" s="31" t="n"/>
      <c r="V886" s="31" t="n"/>
      <c r="W886" s="31" t="n"/>
      <c r="X886" s="31" t="n"/>
      <c r="Y886" s="31" t="n"/>
    </row>
    <row r="887" ht="14.25" customHeight="1">
      <c r="A887" s="32" t="n"/>
      <c r="P887" s="31" t="n"/>
      <c r="Q887" s="31" t="n"/>
      <c r="R887" s="31" t="n"/>
      <c r="S887" s="31" t="n"/>
      <c r="T887" s="31" t="n"/>
      <c r="U887" s="31" t="n"/>
      <c r="V887" s="31" t="n"/>
      <c r="W887" s="31" t="n"/>
      <c r="X887" s="31" t="n"/>
      <c r="Y887" s="31" t="n"/>
    </row>
    <row r="888" ht="14.25" customHeight="1">
      <c r="A888" s="32" t="n"/>
      <c r="P888" s="31" t="n"/>
      <c r="Q888" s="31" t="n"/>
      <c r="R888" s="31" t="n"/>
      <c r="S888" s="31" t="n"/>
      <c r="T888" s="31" t="n"/>
      <c r="U888" s="31" t="n"/>
      <c r="V888" s="31" t="n"/>
      <c r="W888" s="31" t="n"/>
      <c r="X888" s="31" t="n"/>
      <c r="Y888" s="31" t="n"/>
    </row>
    <row r="889" ht="14.25" customHeight="1">
      <c r="A889" s="32" t="n"/>
      <c r="P889" s="31" t="n"/>
      <c r="Q889" s="31" t="n"/>
      <c r="R889" s="31" t="n"/>
      <c r="S889" s="31" t="n"/>
      <c r="T889" s="31" t="n"/>
      <c r="U889" s="31" t="n"/>
      <c r="V889" s="31" t="n"/>
      <c r="W889" s="31" t="n"/>
      <c r="X889" s="31" t="n"/>
      <c r="Y889" s="31" t="n"/>
    </row>
    <row r="890" ht="14.25" customHeight="1">
      <c r="A890" s="32" t="n"/>
      <c r="P890" s="31" t="n"/>
      <c r="Q890" s="31" t="n"/>
      <c r="R890" s="31" t="n"/>
      <c r="S890" s="31" t="n"/>
      <c r="T890" s="31" t="n"/>
      <c r="U890" s="31" t="n"/>
      <c r="V890" s="31" t="n"/>
      <c r="W890" s="31" t="n"/>
      <c r="X890" s="31" t="n"/>
      <c r="Y890" s="31" t="n"/>
    </row>
    <row r="891" ht="14.25" customHeight="1">
      <c r="A891" s="32" t="n"/>
      <c r="P891" s="31" t="n"/>
      <c r="Q891" s="31" t="n"/>
      <c r="R891" s="31" t="n"/>
      <c r="S891" s="31" t="n"/>
      <c r="T891" s="31" t="n"/>
      <c r="U891" s="31" t="n"/>
      <c r="V891" s="31" t="n"/>
      <c r="W891" s="31" t="n"/>
      <c r="X891" s="31" t="n"/>
      <c r="Y891" s="31" t="n"/>
    </row>
    <row r="892" ht="14.25" customHeight="1">
      <c r="A892" s="32" t="n"/>
      <c r="P892" s="31" t="n"/>
      <c r="Q892" s="31" t="n"/>
      <c r="R892" s="31" t="n"/>
      <c r="S892" s="31" t="n"/>
      <c r="T892" s="31" t="n"/>
      <c r="U892" s="31" t="n"/>
      <c r="V892" s="31" t="n"/>
      <c r="W892" s="31" t="n"/>
      <c r="X892" s="31" t="n"/>
      <c r="Y892" s="31" t="n"/>
    </row>
    <row r="893" ht="14.25" customHeight="1">
      <c r="A893" s="32" t="n"/>
      <c r="P893" s="31" t="n"/>
      <c r="Q893" s="31" t="n"/>
      <c r="R893" s="31" t="n"/>
      <c r="S893" s="31" t="n"/>
      <c r="T893" s="31" t="n"/>
      <c r="U893" s="31" t="n"/>
      <c r="V893" s="31" t="n"/>
      <c r="W893" s="31" t="n"/>
      <c r="X893" s="31" t="n"/>
      <c r="Y893" s="31" t="n"/>
    </row>
    <row r="894" ht="14.25" customHeight="1">
      <c r="A894" s="32" t="n"/>
      <c r="P894" s="31" t="n"/>
      <c r="Q894" s="31" t="n"/>
      <c r="R894" s="31" t="n"/>
      <c r="S894" s="31" t="n"/>
      <c r="T894" s="31" t="n"/>
      <c r="U894" s="31" t="n"/>
      <c r="V894" s="31" t="n"/>
      <c r="W894" s="31" t="n"/>
      <c r="X894" s="31" t="n"/>
      <c r="Y894" s="31" t="n"/>
    </row>
    <row r="895" ht="14.25" customHeight="1">
      <c r="A895" s="32" t="n"/>
      <c r="P895" s="31" t="n"/>
      <c r="Q895" s="31" t="n"/>
      <c r="R895" s="31" t="n"/>
      <c r="S895" s="31" t="n"/>
      <c r="T895" s="31" t="n"/>
      <c r="U895" s="31" t="n"/>
      <c r="V895" s="31" t="n"/>
      <c r="W895" s="31" t="n"/>
      <c r="X895" s="31" t="n"/>
      <c r="Y895" s="31" t="n"/>
    </row>
    <row r="896" ht="14.25" customHeight="1">
      <c r="A896" s="32" t="n"/>
      <c r="P896" s="31" t="n"/>
      <c r="Q896" s="31" t="n"/>
      <c r="R896" s="31" t="n"/>
      <c r="S896" s="31" t="n"/>
      <c r="T896" s="31" t="n"/>
      <c r="U896" s="31" t="n"/>
      <c r="V896" s="31" t="n"/>
      <c r="W896" s="31" t="n"/>
      <c r="X896" s="31" t="n"/>
      <c r="Y896" s="31" t="n"/>
    </row>
    <row r="897" ht="14.25" customHeight="1">
      <c r="A897" s="32" t="n"/>
      <c r="P897" s="31" t="n"/>
      <c r="Q897" s="31" t="n"/>
      <c r="R897" s="31" t="n"/>
      <c r="S897" s="31" t="n"/>
      <c r="T897" s="31" t="n"/>
      <c r="U897" s="31" t="n"/>
      <c r="V897" s="31" t="n"/>
      <c r="W897" s="31" t="n"/>
      <c r="X897" s="31" t="n"/>
      <c r="Y897" s="31" t="n"/>
    </row>
    <row r="898" ht="14.25" customHeight="1">
      <c r="A898" s="32" t="n"/>
      <c r="P898" s="31" t="n"/>
      <c r="Q898" s="31" t="n"/>
      <c r="R898" s="31" t="n"/>
      <c r="S898" s="31" t="n"/>
      <c r="T898" s="31" t="n"/>
      <c r="U898" s="31" t="n"/>
      <c r="V898" s="31" t="n"/>
      <c r="W898" s="31" t="n"/>
      <c r="X898" s="31" t="n"/>
      <c r="Y898" s="31" t="n"/>
    </row>
    <row r="899" ht="14.25" customHeight="1">
      <c r="A899" s="32" t="n"/>
      <c r="P899" s="31" t="n"/>
      <c r="Q899" s="31" t="n"/>
      <c r="R899" s="31" t="n"/>
      <c r="S899" s="31" t="n"/>
      <c r="T899" s="31" t="n"/>
      <c r="U899" s="31" t="n"/>
      <c r="V899" s="31" t="n"/>
      <c r="W899" s="31" t="n"/>
      <c r="X899" s="31" t="n"/>
      <c r="Y899" s="31" t="n"/>
    </row>
    <row r="900" ht="14.25" customHeight="1">
      <c r="A900" s="32" t="n"/>
      <c r="P900" s="31" t="n"/>
      <c r="Q900" s="31" t="n"/>
      <c r="R900" s="31" t="n"/>
      <c r="S900" s="31" t="n"/>
      <c r="T900" s="31" t="n"/>
      <c r="U900" s="31" t="n"/>
      <c r="V900" s="31" t="n"/>
      <c r="W900" s="31" t="n"/>
      <c r="X900" s="31" t="n"/>
      <c r="Y900" s="31" t="n"/>
    </row>
    <row r="901" ht="14.25" customHeight="1">
      <c r="A901" s="32" t="n"/>
      <c r="P901" s="31" t="n"/>
      <c r="Q901" s="31" t="n"/>
      <c r="R901" s="31" t="n"/>
      <c r="S901" s="31" t="n"/>
      <c r="T901" s="31" t="n"/>
      <c r="U901" s="31" t="n"/>
      <c r="V901" s="31" t="n"/>
      <c r="W901" s="31" t="n"/>
      <c r="X901" s="31" t="n"/>
      <c r="Y901" s="31" t="n"/>
    </row>
    <row r="902" ht="14.25" customHeight="1">
      <c r="A902" s="32" t="n"/>
      <c r="P902" s="31" t="n"/>
      <c r="Q902" s="31" t="n"/>
      <c r="R902" s="31" t="n"/>
      <c r="S902" s="31" t="n"/>
      <c r="T902" s="31" t="n"/>
      <c r="U902" s="31" t="n"/>
      <c r="V902" s="31" t="n"/>
      <c r="W902" s="31" t="n"/>
      <c r="X902" s="31" t="n"/>
      <c r="Y902" s="31" t="n"/>
    </row>
    <row r="903" ht="14.25" customHeight="1">
      <c r="A903" s="32" t="n"/>
      <c r="P903" s="31" t="n"/>
      <c r="Q903" s="31" t="n"/>
      <c r="R903" s="31" t="n"/>
      <c r="S903" s="31" t="n"/>
      <c r="T903" s="31" t="n"/>
      <c r="U903" s="31" t="n"/>
      <c r="V903" s="31" t="n"/>
      <c r="W903" s="31" t="n"/>
      <c r="X903" s="31" t="n"/>
      <c r="Y903" s="31" t="n"/>
    </row>
    <row r="904" ht="14.25" customHeight="1">
      <c r="A904" s="32" t="n"/>
      <c r="P904" s="31" t="n"/>
      <c r="Q904" s="31" t="n"/>
      <c r="R904" s="31" t="n"/>
      <c r="S904" s="31" t="n"/>
      <c r="T904" s="31" t="n"/>
      <c r="U904" s="31" t="n"/>
      <c r="V904" s="31" t="n"/>
      <c r="W904" s="31" t="n"/>
      <c r="X904" s="31" t="n"/>
      <c r="Y904" s="31" t="n"/>
    </row>
    <row r="905" ht="14.25" customHeight="1">
      <c r="A905" s="32" t="n"/>
      <c r="P905" s="31" t="n"/>
      <c r="Q905" s="31" t="n"/>
      <c r="R905" s="31" t="n"/>
      <c r="S905" s="31" t="n"/>
      <c r="T905" s="31" t="n"/>
      <c r="U905" s="31" t="n"/>
      <c r="V905" s="31" t="n"/>
      <c r="W905" s="31" t="n"/>
      <c r="X905" s="31" t="n"/>
      <c r="Y905" s="31" t="n"/>
    </row>
    <row r="906" ht="14.25" customHeight="1">
      <c r="A906" s="32" t="n"/>
      <c r="P906" s="31" t="n"/>
      <c r="Q906" s="31" t="n"/>
      <c r="R906" s="31" t="n"/>
      <c r="S906" s="31" t="n"/>
      <c r="T906" s="31" t="n"/>
      <c r="U906" s="31" t="n"/>
      <c r="V906" s="31" t="n"/>
      <c r="W906" s="31" t="n"/>
      <c r="X906" s="31" t="n"/>
      <c r="Y906" s="31" t="n"/>
    </row>
    <row r="907" ht="14.25" customHeight="1">
      <c r="A907" s="32" t="n"/>
      <c r="P907" s="31" t="n"/>
      <c r="Q907" s="31" t="n"/>
      <c r="R907" s="31" t="n"/>
      <c r="S907" s="31" t="n"/>
      <c r="T907" s="31" t="n"/>
      <c r="U907" s="31" t="n"/>
      <c r="V907" s="31" t="n"/>
      <c r="W907" s="31" t="n"/>
      <c r="X907" s="31" t="n"/>
      <c r="Y907" s="31" t="n"/>
    </row>
    <row r="908" ht="14.25" customHeight="1">
      <c r="A908" s="32" t="n"/>
      <c r="P908" s="31" t="n"/>
      <c r="Q908" s="31" t="n"/>
      <c r="R908" s="31" t="n"/>
      <c r="S908" s="31" t="n"/>
      <c r="T908" s="31" t="n"/>
      <c r="U908" s="31" t="n"/>
      <c r="V908" s="31" t="n"/>
      <c r="W908" s="31" t="n"/>
      <c r="X908" s="31" t="n"/>
      <c r="Y908" s="31" t="n"/>
    </row>
    <row r="909" ht="14.25" customHeight="1">
      <c r="A909" s="32" t="n"/>
      <c r="P909" s="31" t="n"/>
      <c r="Q909" s="31" t="n"/>
      <c r="R909" s="31" t="n"/>
      <c r="S909" s="31" t="n"/>
      <c r="T909" s="31" t="n"/>
      <c r="U909" s="31" t="n"/>
      <c r="V909" s="31" t="n"/>
      <c r="W909" s="31" t="n"/>
      <c r="X909" s="31" t="n"/>
      <c r="Y909" s="31" t="n"/>
    </row>
    <row r="910" ht="14.25" customHeight="1">
      <c r="A910" s="32" t="n"/>
      <c r="P910" s="31" t="n"/>
      <c r="Q910" s="31" t="n"/>
      <c r="R910" s="31" t="n"/>
      <c r="S910" s="31" t="n"/>
      <c r="T910" s="31" t="n"/>
      <c r="U910" s="31" t="n"/>
      <c r="V910" s="31" t="n"/>
      <c r="W910" s="31" t="n"/>
      <c r="X910" s="31" t="n"/>
      <c r="Y910" s="31" t="n"/>
    </row>
    <row r="911" ht="14.25" customHeight="1">
      <c r="A911" s="32" t="n"/>
      <c r="P911" s="31" t="n"/>
      <c r="Q911" s="31" t="n"/>
      <c r="R911" s="31" t="n"/>
      <c r="S911" s="31" t="n"/>
      <c r="T911" s="31" t="n"/>
      <c r="U911" s="31" t="n"/>
      <c r="V911" s="31" t="n"/>
      <c r="W911" s="31" t="n"/>
      <c r="X911" s="31" t="n"/>
      <c r="Y911" s="31" t="n"/>
    </row>
    <row r="912" ht="14.25" customHeight="1">
      <c r="A912" s="32" t="n"/>
      <c r="P912" s="31" t="n"/>
      <c r="Q912" s="31" t="n"/>
      <c r="R912" s="31" t="n"/>
      <c r="S912" s="31" t="n"/>
      <c r="T912" s="31" t="n"/>
      <c r="U912" s="31" t="n"/>
      <c r="V912" s="31" t="n"/>
      <c r="W912" s="31" t="n"/>
      <c r="X912" s="31" t="n"/>
      <c r="Y912" s="31" t="n"/>
    </row>
    <row r="913" ht="14.25" customHeight="1">
      <c r="A913" s="32" t="n"/>
      <c r="P913" s="31" t="n"/>
      <c r="Q913" s="31" t="n"/>
      <c r="R913" s="31" t="n"/>
      <c r="S913" s="31" t="n"/>
      <c r="T913" s="31" t="n"/>
      <c r="U913" s="31" t="n"/>
      <c r="V913" s="31" t="n"/>
      <c r="W913" s="31" t="n"/>
      <c r="X913" s="31" t="n"/>
      <c r="Y913" s="31" t="n"/>
    </row>
    <row r="914" ht="14.25" customHeight="1">
      <c r="A914" s="32" t="n"/>
      <c r="P914" s="31" t="n"/>
      <c r="Q914" s="31" t="n"/>
      <c r="R914" s="31" t="n"/>
      <c r="S914" s="31" t="n"/>
      <c r="T914" s="31" t="n"/>
      <c r="U914" s="31" t="n"/>
      <c r="V914" s="31" t="n"/>
      <c r="W914" s="31" t="n"/>
      <c r="X914" s="31" t="n"/>
      <c r="Y914" s="31" t="n"/>
    </row>
    <row r="915" ht="14.25" customHeight="1">
      <c r="A915" s="32" t="n"/>
      <c r="P915" s="31" t="n"/>
      <c r="Q915" s="31" t="n"/>
      <c r="R915" s="31" t="n"/>
      <c r="S915" s="31" t="n"/>
      <c r="T915" s="31" t="n"/>
      <c r="U915" s="31" t="n"/>
      <c r="V915" s="31" t="n"/>
      <c r="W915" s="31" t="n"/>
      <c r="X915" s="31" t="n"/>
      <c r="Y915" s="31" t="n"/>
    </row>
    <row r="916" ht="14.25" customHeight="1">
      <c r="A916" s="32" t="n"/>
      <c r="P916" s="31" t="n"/>
      <c r="Q916" s="31" t="n"/>
      <c r="R916" s="31" t="n"/>
      <c r="S916" s="31" t="n"/>
      <c r="T916" s="31" t="n"/>
      <c r="U916" s="31" t="n"/>
      <c r="V916" s="31" t="n"/>
      <c r="W916" s="31" t="n"/>
      <c r="X916" s="31" t="n"/>
      <c r="Y916" s="31" t="n"/>
    </row>
    <row r="917" ht="14.25" customHeight="1">
      <c r="A917" s="32" t="n"/>
      <c r="P917" s="31" t="n"/>
      <c r="Q917" s="31" t="n"/>
      <c r="R917" s="31" t="n"/>
      <c r="S917" s="31" t="n"/>
      <c r="T917" s="31" t="n"/>
      <c r="U917" s="31" t="n"/>
      <c r="V917" s="31" t="n"/>
      <c r="W917" s="31" t="n"/>
      <c r="X917" s="31" t="n"/>
      <c r="Y917" s="31" t="n"/>
    </row>
    <row r="918" ht="14.25" customHeight="1">
      <c r="A918" s="32" t="n"/>
      <c r="P918" s="31" t="n"/>
      <c r="Q918" s="31" t="n"/>
      <c r="R918" s="31" t="n"/>
      <c r="S918" s="31" t="n"/>
      <c r="T918" s="31" t="n"/>
      <c r="U918" s="31" t="n"/>
      <c r="V918" s="31" t="n"/>
      <c r="W918" s="31" t="n"/>
      <c r="X918" s="31" t="n"/>
      <c r="Y918" s="31" t="n"/>
    </row>
    <row r="919" ht="14.25" customHeight="1">
      <c r="A919" s="32" t="n"/>
      <c r="P919" s="31" t="n"/>
      <c r="Q919" s="31" t="n"/>
      <c r="R919" s="31" t="n"/>
      <c r="S919" s="31" t="n"/>
      <c r="T919" s="31" t="n"/>
      <c r="U919" s="31" t="n"/>
      <c r="V919" s="31" t="n"/>
      <c r="W919" s="31" t="n"/>
      <c r="X919" s="31" t="n"/>
      <c r="Y919" s="31" t="n"/>
    </row>
    <row r="920" ht="14.25" customHeight="1">
      <c r="A920" s="32" t="n"/>
      <c r="P920" s="31" t="n"/>
      <c r="Q920" s="31" t="n"/>
      <c r="R920" s="31" t="n"/>
      <c r="S920" s="31" t="n"/>
      <c r="T920" s="31" t="n"/>
      <c r="U920" s="31" t="n"/>
      <c r="V920" s="31" t="n"/>
      <c r="W920" s="31" t="n"/>
      <c r="X920" s="31" t="n"/>
      <c r="Y920" s="31" t="n"/>
    </row>
    <row r="921" ht="14.25" customHeight="1">
      <c r="A921" s="32" t="n"/>
      <c r="P921" s="31" t="n"/>
      <c r="Q921" s="31" t="n"/>
      <c r="R921" s="31" t="n"/>
      <c r="S921" s="31" t="n"/>
      <c r="T921" s="31" t="n"/>
      <c r="U921" s="31" t="n"/>
      <c r="V921" s="31" t="n"/>
      <c r="W921" s="31" t="n"/>
      <c r="X921" s="31" t="n"/>
      <c r="Y921" s="31" t="n"/>
    </row>
    <row r="922" ht="14.25" customHeight="1">
      <c r="A922" s="32" t="n"/>
      <c r="P922" s="31" t="n"/>
      <c r="Q922" s="31" t="n"/>
      <c r="R922" s="31" t="n"/>
      <c r="S922" s="31" t="n"/>
      <c r="T922" s="31" t="n"/>
      <c r="U922" s="31" t="n"/>
      <c r="V922" s="31" t="n"/>
      <c r="W922" s="31" t="n"/>
      <c r="X922" s="31" t="n"/>
      <c r="Y922" s="31" t="n"/>
    </row>
    <row r="923" ht="14.25" customHeight="1">
      <c r="A923" s="32" t="n"/>
      <c r="P923" s="31" t="n"/>
      <c r="Q923" s="31" t="n"/>
      <c r="R923" s="31" t="n"/>
      <c r="S923" s="31" t="n"/>
      <c r="T923" s="31" t="n"/>
      <c r="U923" s="31" t="n"/>
      <c r="V923" s="31" t="n"/>
      <c r="W923" s="31" t="n"/>
      <c r="X923" s="31" t="n"/>
      <c r="Y923" s="31" t="n"/>
    </row>
    <row r="924" ht="14.25" customHeight="1">
      <c r="A924" s="32" t="n"/>
      <c r="P924" s="31" t="n"/>
      <c r="Q924" s="31" t="n"/>
      <c r="R924" s="31" t="n"/>
      <c r="S924" s="31" t="n"/>
      <c r="T924" s="31" t="n"/>
      <c r="U924" s="31" t="n"/>
      <c r="V924" s="31" t="n"/>
      <c r="W924" s="31" t="n"/>
      <c r="X924" s="31" t="n"/>
      <c r="Y924" s="31" t="n"/>
    </row>
    <row r="925" ht="14.25" customHeight="1">
      <c r="A925" s="32" t="n"/>
      <c r="P925" s="31" t="n"/>
      <c r="Q925" s="31" t="n"/>
      <c r="R925" s="31" t="n"/>
      <c r="S925" s="31" t="n"/>
      <c r="T925" s="31" t="n"/>
      <c r="U925" s="31" t="n"/>
      <c r="V925" s="31" t="n"/>
      <c r="W925" s="31" t="n"/>
      <c r="X925" s="31" t="n"/>
      <c r="Y925" s="31" t="n"/>
    </row>
    <row r="926" ht="14.25" customHeight="1">
      <c r="A926" s="32" t="n"/>
      <c r="P926" s="31" t="n"/>
      <c r="Q926" s="31" t="n"/>
      <c r="R926" s="31" t="n"/>
      <c r="S926" s="31" t="n"/>
      <c r="T926" s="31" t="n"/>
      <c r="U926" s="31" t="n"/>
      <c r="V926" s="31" t="n"/>
      <c r="W926" s="31" t="n"/>
      <c r="X926" s="31" t="n"/>
      <c r="Y926" s="31" t="n"/>
    </row>
    <row r="927" ht="14.25" customHeight="1">
      <c r="A927" s="32" t="n"/>
      <c r="P927" s="31" t="n"/>
      <c r="Q927" s="31" t="n"/>
      <c r="R927" s="31" t="n"/>
      <c r="S927" s="31" t="n"/>
      <c r="T927" s="31" t="n"/>
      <c r="U927" s="31" t="n"/>
      <c r="V927" s="31" t="n"/>
      <c r="W927" s="31" t="n"/>
      <c r="X927" s="31" t="n"/>
      <c r="Y927" s="31" t="n"/>
    </row>
    <row r="928" ht="14.25" customHeight="1">
      <c r="A928" s="32" t="n"/>
      <c r="P928" s="31" t="n"/>
      <c r="Q928" s="31" t="n"/>
      <c r="R928" s="31" t="n"/>
      <c r="S928" s="31" t="n"/>
      <c r="T928" s="31" t="n"/>
      <c r="U928" s="31" t="n"/>
      <c r="V928" s="31" t="n"/>
      <c r="W928" s="31" t="n"/>
      <c r="X928" s="31" t="n"/>
      <c r="Y928" s="31" t="n"/>
    </row>
    <row r="929" ht="14.25" customHeight="1">
      <c r="A929" s="32" t="n"/>
      <c r="P929" s="31" t="n"/>
      <c r="Q929" s="31" t="n"/>
      <c r="R929" s="31" t="n"/>
      <c r="S929" s="31" t="n"/>
      <c r="T929" s="31" t="n"/>
      <c r="U929" s="31" t="n"/>
      <c r="V929" s="31" t="n"/>
      <c r="W929" s="31" t="n"/>
      <c r="X929" s="31" t="n"/>
      <c r="Y929" s="31" t="n"/>
    </row>
    <row r="930" ht="14.25" customHeight="1">
      <c r="A930" s="32" t="n"/>
      <c r="P930" s="31" t="n"/>
      <c r="Q930" s="31" t="n"/>
      <c r="R930" s="31" t="n"/>
      <c r="S930" s="31" t="n"/>
      <c r="T930" s="31" t="n"/>
      <c r="U930" s="31" t="n"/>
      <c r="V930" s="31" t="n"/>
      <c r="W930" s="31" t="n"/>
      <c r="X930" s="31" t="n"/>
      <c r="Y930" s="31" t="n"/>
    </row>
    <row r="931" ht="14.25" customHeight="1">
      <c r="A931" s="32" t="n"/>
      <c r="P931" s="31" t="n"/>
      <c r="Q931" s="31" t="n"/>
      <c r="R931" s="31" t="n"/>
      <c r="S931" s="31" t="n"/>
      <c r="T931" s="31" t="n"/>
      <c r="U931" s="31" t="n"/>
      <c r="V931" s="31" t="n"/>
      <c r="W931" s="31" t="n"/>
      <c r="X931" s="31" t="n"/>
      <c r="Y931" s="31" t="n"/>
    </row>
    <row r="932" ht="14.25" customHeight="1">
      <c r="A932" s="32" t="n"/>
      <c r="P932" s="31" t="n"/>
      <c r="Q932" s="31" t="n"/>
      <c r="R932" s="31" t="n"/>
      <c r="S932" s="31" t="n"/>
      <c r="T932" s="31" t="n"/>
      <c r="U932" s="31" t="n"/>
      <c r="V932" s="31" t="n"/>
      <c r="W932" s="31" t="n"/>
      <c r="X932" s="31" t="n"/>
      <c r="Y932" s="31" t="n"/>
    </row>
    <row r="933" ht="14.25" customHeight="1">
      <c r="A933" s="32" t="n"/>
      <c r="P933" s="31" t="n"/>
      <c r="Q933" s="31" t="n"/>
      <c r="R933" s="31" t="n"/>
      <c r="S933" s="31" t="n"/>
      <c r="T933" s="31" t="n"/>
      <c r="U933" s="31" t="n"/>
      <c r="V933" s="31" t="n"/>
      <c r="W933" s="31" t="n"/>
      <c r="X933" s="31" t="n"/>
      <c r="Y933" s="31" t="n"/>
    </row>
    <row r="934" ht="14.25" customHeight="1">
      <c r="A934" s="32" t="n"/>
      <c r="P934" s="31" t="n"/>
      <c r="Q934" s="31" t="n"/>
      <c r="R934" s="31" t="n"/>
      <c r="S934" s="31" t="n"/>
      <c r="T934" s="31" t="n"/>
      <c r="U934" s="31" t="n"/>
      <c r="V934" s="31" t="n"/>
      <c r="W934" s="31" t="n"/>
      <c r="X934" s="31" t="n"/>
      <c r="Y934" s="31" t="n"/>
    </row>
    <row r="935" ht="14.25" customHeight="1">
      <c r="A935" s="32" t="n"/>
      <c r="P935" s="31" t="n"/>
      <c r="Q935" s="31" t="n"/>
      <c r="R935" s="31" t="n"/>
      <c r="S935" s="31" t="n"/>
      <c r="T935" s="31" t="n"/>
      <c r="U935" s="31" t="n"/>
      <c r="V935" s="31" t="n"/>
      <c r="W935" s="31" t="n"/>
      <c r="X935" s="31" t="n"/>
      <c r="Y935" s="31" t="n"/>
    </row>
    <row r="936" ht="14.25" customHeight="1">
      <c r="A936" s="32" t="n"/>
      <c r="P936" s="31" t="n"/>
      <c r="Q936" s="31" t="n"/>
      <c r="R936" s="31" t="n"/>
      <c r="S936" s="31" t="n"/>
      <c r="T936" s="31" t="n"/>
      <c r="U936" s="31" t="n"/>
      <c r="V936" s="31" t="n"/>
      <c r="W936" s="31" t="n"/>
      <c r="X936" s="31" t="n"/>
      <c r="Y936" s="31" t="n"/>
    </row>
    <row r="937" ht="14.25" customHeight="1">
      <c r="A937" s="32" t="n"/>
      <c r="P937" s="31" t="n"/>
      <c r="Q937" s="31" t="n"/>
      <c r="R937" s="31" t="n"/>
      <c r="S937" s="31" t="n"/>
      <c r="T937" s="31" t="n"/>
      <c r="U937" s="31" t="n"/>
      <c r="V937" s="31" t="n"/>
      <c r="W937" s="31" t="n"/>
      <c r="X937" s="31" t="n"/>
      <c r="Y937" s="31" t="n"/>
    </row>
    <row r="938" ht="14.25" customHeight="1">
      <c r="A938" s="32" t="n"/>
      <c r="P938" s="31" t="n"/>
      <c r="Q938" s="31" t="n"/>
      <c r="R938" s="31" t="n"/>
      <c r="S938" s="31" t="n"/>
      <c r="T938" s="31" t="n"/>
      <c r="U938" s="31" t="n"/>
      <c r="V938" s="31" t="n"/>
      <c r="W938" s="31" t="n"/>
      <c r="X938" s="31" t="n"/>
      <c r="Y938" s="31" t="n"/>
    </row>
    <row r="939" ht="14.25" customHeight="1">
      <c r="A939" s="32" t="n"/>
      <c r="P939" s="31" t="n"/>
      <c r="Q939" s="31" t="n"/>
      <c r="R939" s="31" t="n"/>
      <c r="S939" s="31" t="n"/>
      <c r="T939" s="31" t="n"/>
      <c r="U939" s="31" t="n"/>
      <c r="V939" s="31" t="n"/>
      <c r="W939" s="31" t="n"/>
      <c r="X939" s="31" t="n"/>
      <c r="Y939" s="31" t="n"/>
    </row>
    <row r="940" ht="14.25" customHeight="1">
      <c r="A940" s="32" t="n"/>
      <c r="P940" s="31" t="n"/>
      <c r="Q940" s="31" t="n"/>
      <c r="R940" s="31" t="n"/>
      <c r="S940" s="31" t="n"/>
      <c r="T940" s="31" t="n"/>
      <c r="U940" s="31" t="n"/>
      <c r="V940" s="31" t="n"/>
      <c r="W940" s="31" t="n"/>
      <c r="X940" s="31" t="n"/>
      <c r="Y940" s="31" t="n"/>
    </row>
    <row r="941" ht="14.25" customHeight="1">
      <c r="A941" s="32" t="n"/>
      <c r="P941" s="31" t="n"/>
      <c r="Q941" s="31" t="n"/>
      <c r="R941" s="31" t="n"/>
      <c r="S941" s="31" t="n"/>
      <c r="T941" s="31" t="n"/>
      <c r="U941" s="31" t="n"/>
      <c r="V941" s="31" t="n"/>
      <c r="W941" s="31" t="n"/>
      <c r="X941" s="31" t="n"/>
      <c r="Y941" s="31" t="n"/>
    </row>
    <row r="942" ht="14.25" customHeight="1">
      <c r="A942" s="32" t="n"/>
      <c r="P942" s="31" t="n"/>
      <c r="Q942" s="31" t="n"/>
      <c r="R942" s="31" t="n"/>
      <c r="S942" s="31" t="n"/>
      <c r="T942" s="31" t="n"/>
      <c r="U942" s="31" t="n"/>
      <c r="V942" s="31" t="n"/>
      <c r="W942" s="31" t="n"/>
      <c r="X942" s="31" t="n"/>
      <c r="Y942" s="31" t="n"/>
    </row>
    <row r="943" ht="14.25" customHeight="1">
      <c r="A943" s="32" t="n"/>
      <c r="P943" s="31" t="n"/>
      <c r="Q943" s="31" t="n"/>
      <c r="R943" s="31" t="n"/>
      <c r="S943" s="31" t="n"/>
      <c r="T943" s="31" t="n"/>
      <c r="U943" s="31" t="n"/>
      <c r="V943" s="31" t="n"/>
      <c r="W943" s="31" t="n"/>
      <c r="X943" s="31" t="n"/>
      <c r="Y943" s="31" t="n"/>
    </row>
    <row r="944" ht="14.25" customHeight="1">
      <c r="A944" s="32" t="n"/>
      <c r="P944" s="31" t="n"/>
      <c r="Q944" s="31" t="n"/>
      <c r="R944" s="31" t="n"/>
      <c r="S944" s="31" t="n"/>
      <c r="T944" s="31" t="n"/>
      <c r="U944" s="31" t="n"/>
      <c r="V944" s="31" t="n"/>
      <c r="W944" s="31" t="n"/>
      <c r="X944" s="31" t="n"/>
      <c r="Y944" s="31" t="n"/>
    </row>
    <row r="945" ht="14.25" customHeight="1">
      <c r="A945" s="32" t="n"/>
      <c r="P945" s="31" t="n"/>
      <c r="Q945" s="31" t="n"/>
      <c r="R945" s="31" t="n"/>
      <c r="S945" s="31" t="n"/>
      <c r="T945" s="31" t="n"/>
      <c r="U945" s="31" t="n"/>
      <c r="V945" s="31" t="n"/>
      <c r="W945" s="31" t="n"/>
      <c r="X945" s="31" t="n"/>
      <c r="Y945" s="31" t="n"/>
    </row>
    <row r="946" ht="14.25" customHeight="1">
      <c r="A946" s="32" t="n"/>
      <c r="P946" s="31" t="n"/>
      <c r="Q946" s="31" t="n"/>
      <c r="R946" s="31" t="n"/>
      <c r="S946" s="31" t="n"/>
      <c r="T946" s="31" t="n"/>
      <c r="U946" s="31" t="n"/>
      <c r="V946" s="31" t="n"/>
      <c r="W946" s="31" t="n"/>
      <c r="X946" s="31" t="n"/>
      <c r="Y946" s="31" t="n"/>
    </row>
    <row r="947" ht="14.25" customHeight="1">
      <c r="A947" s="32" t="n"/>
      <c r="P947" s="31" t="n"/>
      <c r="Q947" s="31" t="n"/>
      <c r="R947" s="31" t="n"/>
      <c r="S947" s="31" t="n"/>
      <c r="T947" s="31" t="n"/>
      <c r="U947" s="31" t="n"/>
      <c r="V947" s="31" t="n"/>
      <c r="W947" s="31" t="n"/>
      <c r="X947" s="31" t="n"/>
      <c r="Y947" s="31" t="n"/>
    </row>
    <row r="948" ht="14.25" customHeight="1">
      <c r="A948" s="32" t="n"/>
      <c r="P948" s="31" t="n"/>
      <c r="Q948" s="31" t="n"/>
      <c r="R948" s="31" t="n"/>
      <c r="S948" s="31" t="n"/>
      <c r="T948" s="31" t="n"/>
      <c r="U948" s="31" t="n"/>
      <c r="V948" s="31" t="n"/>
      <c r="W948" s="31" t="n"/>
      <c r="X948" s="31" t="n"/>
      <c r="Y948" s="31" t="n"/>
    </row>
    <row r="949" ht="14.25" customHeight="1">
      <c r="A949" s="32" t="n"/>
      <c r="P949" s="31" t="n"/>
      <c r="Q949" s="31" t="n"/>
      <c r="R949" s="31" t="n"/>
      <c r="S949" s="31" t="n"/>
      <c r="T949" s="31" t="n"/>
      <c r="U949" s="31" t="n"/>
      <c r="V949" s="31" t="n"/>
      <c r="W949" s="31" t="n"/>
      <c r="X949" s="31" t="n"/>
      <c r="Y949" s="31" t="n"/>
    </row>
    <row r="950" ht="14.25" customHeight="1">
      <c r="A950" s="32" t="n"/>
      <c r="P950" s="31" t="n"/>
      <c r="Q950" s="31" t="n"/>
      <c r="R950" s="31" t="n"/>
      <c r="S950" s="31" t="n"/>
      <c r="T950" s="31" t="n"/>
      <c r="U950" s="31" t="n"/>
      <c r="V950" s="31" t="n"/>
      <c r="W950" s="31" t="n"/>
      <c r="X950" s="31" t="n"/>
      <c r="Y950" s="31" t="n"/>
    </row>
    <row r="951" ht="14.25" customHeight="1">
      <c r="A951" s="32" t="n"/>
      <c r="P951" s="31" t="n"/>
      <c r="Q951" s="31" t="n"/>
      <c r="R951" s="31" t="n"/>
      <c r="S951" s="31" t="n"/>
      <c r="T951" s="31" t="n"/>
      <c r="U951" s="31" t="n"/>
      <c r="V951" s="31" t="n"/>
      <c r="W951" s="31" t="n"/>
      <c r="X951" s="31" t="n"/>
      <c r="Y951" s="31" t="n"/>
    </row>
    <row r="952" ht="14.25" customHeight="1">
      <c r="A952" s="32" t="n"/>
      <c r="P952" s="31" t="n"/>
      <c r="Q952" s="31" t="n"/>
      <c r="R952" s="31" t="n"/>
      <c r="S952" s="31" t="n"/>
      <c r="T952" s="31" t="n"/>
      <c r="U952" s="31" t="n"/>
      <c r="V952" s="31" t="n"/>
      <c r="W952" s="31" t="n"/>
      <c r="X952" s="31" t="n"/>
      <c r="Y952" s="31" t="n"/>
    </row>
    <row r="953" ht="14.25" customHeight="1">
      <c r="A953" s="32" t="n"/>
      <c r="P953" s="31" t="n"/>
      <c r="Q953" s="31" t="n"/>
      <c r="R953" s="31" t="n"/>
      <c r="S953" s="31" t="n"/>
      <c r="T953" s="31" t="n"/>
      <c r="U953" s="31" t="n"/>
      <c r="V953" s="31" t="n"/>
      <c r="W953" s="31" t="n"/>
      <c r="X953" s="31" t="n"/>
      <c r="Y953" s="31" t="n"/>
    </row>
    <row r="954" ht="14.25" customHeight="1">
      <c r="A954" s="32" t="n"/>
      <c r="P954" s="31" t="n"/>
      <c r="Q954" s="31" t="n"/>
      <c r="R954" s="31" t="n"/>
      <c r="S954" s="31" t="n"/>
      <c r="T954" s="31" t="n"/>
      <c r="U954" s="31" t="n"/>
      <c r="V954" s="31" t="n"/>
      <c r="W954" s="31" t="n"/>
      <c r="X954" s="31" t="n"/>
      <c r="Y954" s="31" t="n"/>
    </row>
    <row r="955" ht="14.25" customHeight="1">
      <c r="A955" s="32" t="n"/>
      <c r="P955" s="31" t="n"/>
      <c r="Q955" s="31" t="n"/>
      <c r="R955" s="31" t="n"/>
      <c r="S955" s="31" t="n"/>
      <c r="T955" s="31" t="n"/>
      <c r="U955" s="31" t="n"/>
      <c r="V955" s="31" t="n"/>
      <c r="W955" s="31" t="n"/>
      <c r="X955" s="31" t="n"/>
      <c r="Y955" s="31" t="n"/>
    </row>
    <row r="956" ht="14.25" customHeight="1">
      <c r="A956" s="32" t="n"/>
      <c r="P956" s="31" t="n"/>
      <c r="Q956" s="31" t="n"/>
      <c r="R956" s="31" t="n"/>
      <c r="S956" s="31" t="n"/>
      <c r="T956" s="31" t="n"/>
      <c r="U956" s="31" t="n"/>
      <c r="V956" s="31" t="n"/>
      <c r="W956" s="31" t="n"/>
      <c r="X956" s="31" t="n"/>
      <c r="Y956" s="31" t="n"/>
    </row>
    <row r="957" ht="14.25" customHeight="1">
      <c r="A957" s="32" t="n"/>
      <c r="P957" s="31" t="n"/>
      <c r="Q957" s="31" t="n"/>
      <c r="R957" s="31" t="n"/>
      <c r="S957" s="31" t="n"/>
      <c r="T957" s="31" t="n"/>
      <c r="U957" s="31" t="n"/>
      <c r="V957" s="31" t="n"/>
      <c r="W957" s="31" t="n"/>
      <c r="X957" s="31" t="n"/>
      <c r="Y957" s="31" t="n"/>
    </row>
    <row r="958" ht="14.25" customHeight="1">
      <c r="A958" s="32" t="n"/>
      <c r="P958" s="31" t="n"/>
      <c r="Q958" s="31" t="n"/>
      <c r="R958" s="31" t="n"/>
      <c r="S958" s="31" t="n"/>
      <c r="T958" s="31" t="n"/>
      <c r="U958" s="31" t="n"/>
      <c r="V958" s="31" t="n"/>
      <c r="W958" s="31" t="n"/>
      <c r="X958" s="31" t="n"/>
      <c r="Y958" s="31" t="n"/>
    </row>
    <row r="959" ht="14.25" customHeight="1">
      <c r="A959" s="32" t="n"/>
      <c r="P959" s="31" t="n"/>
      <c r="Q959" s="31" t="n"/>
      <c r="R959" s="31" t="n"/>
      <c r="S959" s="31" t="n"/>
      <c r="T959" s="31" t="n"/>
      <c r="U959" s="31" t="n"/>
      <c r="V959" s="31" t="n"/>
      <c r="W959" s="31" t="n"/>
      <c r="X959" s="31" t="n"/>
      <c r="Y959" s="31" t="n"/>
    </row>
    <row r="960" ht="14.25" customHeight="1">
      <c r="A960" s="32" t="n"/>
      <c r="P960" s="31" t="n"/>
      <c r="Q960" s="31" t="n"/>
      <c r="R960" s="31" t="n"/>
      <c r="S960" s="31" t="n"/>
      <c r="T960" s="31" t="n"/>
      <c r="U960" s="31" t="n"/>
      <c r="V960" s="31" t="n"/>
      <c r="W960" s="31" t="n"/>
      <c r="X960" s="31" t="n"/>
      <c r="Y960" s="31" t="n"/>
    </row>
    <row r="961" ht="14.25" customHeight="1">
      <c r="A961" s="32" t="n"/>
      <c r="P961" s="31" t="n"/>
      <c r="Q961" s="31" t="n"/>
      <c r="R961" s="31" t="n"/>
      <c r="S961" s="31" t="n"/>
      <c r="T961" s="31" t="n"/>
      <c r="U961" s="31" t="n"/>
      <c r="V961" s="31" t="n"/>
      <c r="W961" s="31" t="n"/>
      <c r="X961" s="31" t="n"/>
      <c r="Y961" s="31" t="n"/>
    </row>
    <row r="962" ht="14.25" customHeight="1">
      <c r="A962" s="32" t="n"/>
      <c r="P962" s="31" t="n"/>
      <c r="Q962" s="31" t="n"/>
      <c r="R962" s="31" t="n"/>
      <c r="S962" s="31" t="n"/>
      <c r="T962" s="31" t="n"/>
      <c r="U962" s="31" t="n"/>
      <c r="V962" s="31" t="n"/>
      <c r="W962" s="31" t="n"/>
      <c r="X962" s="31" t="n"/>
      <c r="Y962" s="31" t="n"/>
    </row>
    <row r="963" ht="14.25" customHeight="1">
      <c r="A963" s="32" t="n"/>
      <c r="P963" s="31" t="n"/>
      <c r="Q963" s="31" t="n"/>
      <c r="R963" s="31" t="n"/>
      <c r="S963" s="31" t="n"/>
      <c r="T963" s="31" t="n"/>
      <c r="U963" s="31" t="n"/>
      <c r="V963" s="31" t="n"/>
      <c r="W963" s="31" t="n"/>
      <c r="X963" s="31" t="n"/>
      <c r="Y963" s="31" t="n"/>
    </row>
    <row r="964" ht="14.25" customHeight="1">
      <c r="A964" s="32" t="n"/>
      <c r="P964" s="31" t="n"/>
      <c r="Q964" s="31" t="n"/>
      <c r="R964" s="31" t="n"/>
      <c r="S964" s="31" t="n"/>
      <c r="T964" s="31" t="n"/>
      <c r="U964" s="31" t="n"/>
      <c r="V964" s="31" t="n"/>
      <c r="W964" s="31" t="n"/>
      <c r="X964" s="31" t="n"/>
      <c r="Y964" s="31" t="n"/>
    </row>
    <row r="965" ht="14.25" customHeight="1">
      <c r="A965" s="32" t="n"/>
      <c r="P965" s="31" t="n"/>
      <c r="Q965" s="31" t="n"/>
      <c r="R965" s="31" t="n"/>
      <c r="S965" s="31" t="n"/>
      <c r="T965" s="31" t="n"/>
      <c r="U965" s="31" t="n"/>
      <c r="V965" s="31" t="n"/>
      <c r="W965" s="31" t="n"/>
      <c r="X965" s="31" t="n"/>
      <c r="Y965" s="31" t="n"/>
    </row>
    <row r="966" ht="14.25" customHeight="1">
      <c r="A966" s="32" t="n"/>
      <c r="P966" s="31" t="n"/>
      <c r="Q966" s="31" t="n"/>
      <c r="R966" s="31" t="n"/>
      <c r="S966" s="31" t="n"/>
      <c r="T966" s="31" t="n"/>
      <c r="U966" s="31" t="n"/>
      <c r="V966" s="31" t="n"/>
      <c r="W966" s="31" t="n"/>
      <c r="X966" s="31" t="n"/>
      <c r="Y966" s="31" t="n"/>
    </row>
    <row r="967" ht="14.25" customHeight="1">
      <c r="A967" s="32" t="n"/>
      <c r="P967" s="31" t="n"/>
      <c r="Q967" s="31" t="n"/>
      <c r="R967" s="31" t="n"/>
      <c r="S967" s="31" t="n"/>
      <c r="T967" s="31" t="n"/>
      <c r="U967" s="31" t="n"/>
      <c r="V967" s="31" t="n"/>
      <c r="W967" s="31" t="n"/>
      <c r="X967" s="31" t="n"/>
      <c r="Y967" s="31" t="n"/>
    </row>
    <row r="968" ht="14.25" customHeight="1">
      <c r="A968" s="32" t="n"/>
      <c r="P968" s="31" t="n"/>
      <c r="Q968" s="31" t="n"/>
      <c r="R968" s="31" t="n"/>
      <c r="S968" s="31" t="n"/>
      <c r="T968" s="31" t="n"/>
      <c r="U968" s="31" t="n"/>
      <c r="V968" s="31" t="n"/>
      <c r="W968" s="31" t="n"/>
      <c r="X968" s="31" t="n"/>
      <c r="Y968" s="31" t="n"/>
    </row>
    <row r="969" ht="14.25" customHeight="1">
      <c r="A969" s="32" t="n"/>
      <c r="P969" s="31" t="n"/>
      <c r="Q969" s="31" t="n"/>
      <c r="R969" s="31" t="n"/>
      <c r="S969" s="31" t="n"/>
      <c r="T969" s="31" t="n"/>
      <c r="U969" s="31" t="n"/>
      <c r="V969" s="31" t="n"/>
      <c r="W969" s="31" t="n"/>
      <c r="X969" s="31" t="n"/>
      <c r="Y969" s="31" t="n"/>
    </row>
    <row r="970" ht="14.25" customHeight="1">
      <c r="A970" s="32" t="n"/>
      <c r="P970" s="31" t="n"/>
      <c r="Q970" s="31" t="n"/>
      <c r="R970" s="31" t="n"/>
      <c r="S970" s="31" t="n"/>
      <c r="T970" s="31" t="n"/>
      <c r="U970" s="31" t="n"/>
      <c r="V970" s="31" t="n"/>
      <c r="W970" s="31" t="n"/>
      <c r="X970" s="31" t="n"/>
      <c r="Y970" s="31" t="n"/>
    </row>
    <row r="971" ht="14.25" customHeight="1">
      <c r="A971" s="32" t="n"/>
      <c r="P971" s="31" t="n"/>
      <c r="Q971" s="31" t="n"/>
      <c r="R971" s="31" t="n"/>
      <c r="S971" s="31" t="n"/>
      <c r="T971" s="31" t="n"/>
      <c r="U971" s="31" t="n"/>
      <c r="V971" s="31" t="n"/>
      <c r="W971" s="31" t="n"/>
      <c r="X971" s="31" t="n"/>
      <c r="Y971" s="31" t="n"/>
    </row>
    <row r="972" ht="14.25" customHeight="1">
      <c r="A972" s="32" t="n"/>
      <c r="P972" s="31" t="n"/>
      <c r="Q972" s="31" t="n"/>
      <c r="R972" s="31" t="n"/>
      <c r="S972" s="31" t="n"/>
      <c r="T972" s="31" t="n"/>
      <c r="U972" s="31" t="n"/>
      <c r="V972" s="31" t="n"/>
      <c r="W972" s="31" t="n"/>
      <c r="X972" s="31" t="n"/>
      <c r="Y972" s="31" t="n"/>
    </row>
    <row r="973" ht="14.25" customHeight="1">
      <c r="A973" s="32" t="n"/>
      <c r="P973" s="31" t="n"/>
      <c r="Q973" s="31" t="n"/>
      <c r="R973" s="31" t="n"/>
      <c r="S973" s="31" t="n"/>
      <c r="T973" s="31" t="n"/>
      <c r="U973" s="31" t="n"/>
      <c r="V973" s="31" t="n"/>
      <c r="W973" s="31" t="n"/>
      <c r="X973" s="31" t="n"/>
      <c r="Y973" s="31" t="n"/>
    </row>
    <row r="974" ht="14.25" customHeight="1">
      <c r="A974" s="32" t="n"/>
      <c r="P974" s="31" t="n"/>
      <c r="Q974" s="31" t="n"/>
      <c r="R974" s="31" t="n"/>
      <c r="S974" s="31" t="n"/>
      <c r="T974" s="31" t="n"/>
      <c r="U974" s="31" t="n"/>
      <c r="V974" s="31" t="n"/>
      <c r="W974" s="31" t="n"/>
      <c r="X974" s="31" t="n"/>
      <c r="Y974" s="31" t="n"/>
    </row>
    <row r="975" ht="14.25" customHeight="1">
      <c r="A975" s="32" t="n"/>
      <c r="P975" s="31" t="n"/>
      <c r="Q975" s="31" t="n"/>
      <c r="R975" s="31" t="n"/>
      <c r="S975" s="31" t="n"/>
      <c r="T975" s="31" t="n"/>
      <c r="U975" s="31" t="n"/>
      <c r="V975" s="31" t="n"/>
      <c r="W975" s="31" t="n"/>
      <c r="X975" s="31" t="n"/>
      <c r="Y975" s="31" t="n"/>
    </row>
    <row r="976" ht="14.25" customHeight="1">
      <c r="A976" s="32" t="n"/>
      <c r="P976" s="31" t="n"/>
      <c r="Q976" s="31" t="n"/>
      <c r="R976" s="31" t="n"/>
      <c r="S976" s="31" t="n"/>
      <c r="T976" s="31" t="n"/>
      <c r="U976" s="31" t="n"/>
      <c r="V976" s="31" t="n"/>
      <c r="W976" s="31" t="n"/>
      <c r="X976" s="31" t="n"/>
      <c r="Y976" s="31" t="n"/>
    </row>
    <row r="977" ht="14.25" customHeight="1">
      <c r="A977" s="32" t="n"/>
      <c r="P977" s="31" t="n"/>
      <c r="Q977" s="31" t="n"/>
      <c r="R977" s="31" t="n"/>
      <c r="S977" s="31" t="n"/>
      <c r="T977" s="31" t="n"/>
      <c r="U977" s="31" t="n"/>
      <c r="V977" s="31" t="n"/>
      <c r="W977" s="31" t="n"/>
      <c r="X977" s="31" t="n"/>
      <c r="Y977" s="31" t="n"/>
    </row>
    <row r="978" ht="14.25" customHeight="1">
      <c r="P978" s="31" t="n"/>
      <c r="Q978" s="31" t="n"/>
      <c r="R978" s="31" t="n"/>
      <c r="S978" s="31" t="n"/>
      <c r="T978" s="31" t="n"/>
      <c r="U978" s="31" t="n"/>
      <c r="V978" s="31" t="n"/>
      <c r="W978" s="31" t="n"/>
      <c r="X978" s="31" t="n"/>
      <c r="Y978" s="31" t="n"/>
    </row>
  </sheetData>
  <autoFilter ref="A1:K25"/>
  <conditionalFormatting sqref="A2:A25">
    <cfRule type="notContainsBlanks" priority="1" dxfId="0">
      <formula>LEN(TRIM(A2))&gt;0</formula>
    </cfRule>
  </conditionalFormatting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Q43"/>
  <sheetViews>
    <sheetView zoomScale="140" zoomScaleNormal="140" workbookViewId="0">
      <selection activeCell="C11" sqref="C11"/>
    </sheetView>
  </sheetViews>
  <sheetFormatPr baseColWidth="8" defaultColWidth="14.44140625" defaultRowHeight="15" customHeight="1"/>
  <cols>
    <col width="6.109375" customWidth="1" min="1" max="1"/>
    <col width="28.33203125" customWidth="1" min="2" max="2"/>
    <col width="27" customWidth="1" min="3" max="3"/>
    <col width="20.88671875" customWidth="1" min="4" max="4"/>
    <col hidden="1" width="14.44140625" customWidth="1" min="12" max="15"/>
  </cols>
  <sheetData>
    <row r="1">
      <c r="A1" s="23" t="inlineStr">
        <is>
          <t>No</t>
        </is>
      </c>
      <c r="B1" s="24" t="inlineStr">
        <is>
          <t>Nombre Y Apellido</t>
        </is>
      </c>
      <c r="C1" s="25" t="inlineStr">
        <is>
          <t>Cargo</t>
        </is>
      </c>
      <c r="D1" s="26" t="inlineStr">
        <is>
          <t>Ubicacion</t>
        </is>
      </c>
      <c r="E1" s="27" t="inlineStr">
        <is>
          <t>Número</t>
        </is>
      </c>
      <c r="F1" s="27" t="n"/>
      <c r="G1" s="27" t="inlineStr">
        <is>
          <t>Cod. Contrato</t>
        </is>
      </c>
      <c r="H1" s="27" t="inlineStr">
        <is>
          <t>No. Contrato</t>
        </is>
      </c>
      <c r="I1" s="28" t="inlineStr">
        <is>
          <t>Estado Contrato</t>
        </is>
      </c>
      <c r="J1" s="28" t="inlineStr">
        <is>
          <t>Empresa</t>
        </is>
      </c>
      <c r="K1" s="26" t="inlineStr">
        <is>
          <t>PLAN</t>
        </is>
      </c>
      <c r="L1" s="28" t="inlineStr">
        <is>
          <t>Actual</t>
        </is>
      </c>
      <c r="M1" s="28" t="inlineStr">
        <is>
          <t>Plan Actual</t>
        </is>
      </c>
      <c r="N1" s="29" t="n"/>
      <c r="O1" s="30" t="inlineStr">
        <is>
          <t>Monto de Subsidio por plan</t>
        </is>
      </c>
      <c r="P1" s="26" t="inlineStr">
        <is>
          <t>Equipo</t>
        </is>
      </c>
      <c r="Q1" s="31" t="n"/>
    </row>
    <row r="2">
      <c r="A2" s="32" t="n">
        <v>1</v>
      </c>
      <c r="B2" s="34" t="inlineStr">
        <is>
          <t>Sergio Obando</t>
        </is>
      </c>
      <c r="C2" s="34" t="inlineStr">
        <is>
          <t>Ingeniero Agronomo</t>
        </is>
      </c>
      <c r="D2" s="34" t="inlineStr">
        <is>
          <t>New Century Agricultura</t>
        </is>
      </c>
      <c r="E2" s="35" t="inlineStr">
        <is>
          <t>58111346</t>
        </is>
      </c>
      <c r="F2" s="37" t="n">
        <v>50558111346</v>
      </c>
      <c r="G2" s="37" t="n"/>
      <c r="H2" s="37">
        <f>VLOOKUP(F2,PLAN1,3,FALSE)</f>
        <v/>
      </c>
      <c r="I2" s="37" t="inlineStr">
        <is>
          <t>Activo</t>
        </is>
      </c>
      <c r="J2" s="37">
        <f>VLOOKUP(F2,PLAN1,4,FALSE)</f>
        <v/>
      </c>
      <c r="K2" s="38" t="n">
        <v>15.99</v>
      </c>
      <c r="L2" s="58" t="n"/>
      <c r="M2" s="58" t="n"/>
      <c r="N2" s="58" t="n"/>
      <c r="O2" s="65" t="n"/>
      <c r="P2" s="38" t="inlineStr">
        <is>
          <t>Solo SIM Card</t>
        </is>
      </c>
      <c r="Q2" s="31" t="n"/>
    </row>
    <row r="3">
      <c r="A3" s="32" t="n">
        <v>2</v>
      </c>
      <c r="B3" s="123" t="inlineStr">
        <is>
          <t>Guillermo Reyes Martinez</t>
        </is>
      </c>
      <c r="C3" s="85" t="inlineStr">
        <is>
          <t>Ingeniero Residente</t>
        </is>
      </c>
      <c r="D3" s="85" t="inlineStr">
        <is>
          <t>Bismark Martinez</t>
        </is>
      </c>
      <c r="E3" s="86" t="inlineStr">
        <is>
          <t>58111372</t>
        </is>
      </c>
      <c r="F3" s="88" t="n">
        <v>50558111372</v>
      </c>
      <c r="G3" s="88" t="n"/>
      <c r="H3" s="88">
        <f>VLOOKUP(F3,PLAN1,3,FALSE)</f>
        <v/>
      </c>
      <c r="I3" s="88" t="inlineStr">
        <is>
          <t>Activo</t>
        </is>
      </c>
      <c r="J3" s="88">
        <f>VLOOKUP(F3,PLAN1,4,FALSE)</f>
        <v/>
      </c>
      <c r="K3" s="89" t="n">
        <v>15.99</v>
      </c>
      <c r="L3" s="119" t="n"/>
      <c r="M3" s="119" t="n"/>
      <c r="N3" s="119" t="n"/>
      <c r="O3" s="122" t="n"/>
      <c r="P3" s="89" t="inlineStr">
        <is>
          <t>Samsung A33</t>
        </is>
      </c>
      <c r="Q3" s="31" t="n"/>
    </row>
    <row r="4">
      <c r="A4" s="32" t="n">
        <v>3</v>
      </c>
      <c r="B4" s="44" t="inlineStr">
        <is>
          <t>Lisbeth Hernandez</t>
        </is>
      </c>
      <c r="C4" s="42" t="inlineStr">
        <is>
          <t>Atención al Cliente</t>
        </is>
      </c>
      <c r="D4" s="41" t="inlineStr">
        <is>
          <t>Campuzano</t>
        </is>
      </c>
      <c r="E4" s="35" t="inlineStr">
        <is>
          <t>58111556</t>
        </is>
      </c>
      <c r="F4" s="37" t="n">
        <v>50558111556</v>
      </c>
      <c r="G4" s="37" t="n"/>
      <c r="H4" s="37">
        <f>VLOOKUP(F4,PLAN1,3,FALSE)</f>
        <v/>
      </c>
      <c r="I4" s="37" t="inlineStr">
        <is>
          <t>Activo</t>
        </is>
      </c>
      <c r="J4" s="37">
        <f>VLOOKUP(F4,PLAN1,4,FALSE)</f>
        <v/>
      </c>
      <c r="K4" s="38" t="n">
        <v>15.99</v>
      </c>
      <c r="L4" s="58" t="n"/>
      <c r="M4" s="58" t="n"/>
      <c r="N4" s="58" t="n"/>
      <c r="O4" s="59" t="n"/>
      <c r="P4" s="38" t="inlineStr">
        <is>
          <t>Solo SIM Card</t>
        </is>
      </c>
      <c r="Q4" s="31" t="n"/>
    </row>
    <row r="5">
      <c r="A5" s="32" t="n">
        <v>4</v>
      </c>
      <c r="B5" s="47" t="inlineStr">
        <is>
          <t>Gilberto López Zarate</t>
        </is>
      </c>
      <c r="C5" s="42" t="inlineStr">
        <is>
          <t>Fiscal de Logistica</t>
        </is>
      </c>
      <c r="D5" s="42" t="inlineStr">
        <is>
          <t>CED</t>
        </is>
      </c>
      <c r="E5" s="35" t="inlineStr">
        <is>
          <t>57290497</t>
        </is>
      </c>
      <c r="F5" s="37" t="n">
        <v>50557290497</v>
      </c>
      <c r="G5" s="37" t="n"/>
      <c r="H5" s="37">
        <f>VLOOKUP(F5,PLAN1,3,FALSE)</f>
        <v/>
      </c>
      <c r="I5" s="37" t="inlineStr">
        <is>
          <t>Activo</t>
        </is>
      </c>
      <c r="J5" s="37">
        <f>VLOOKUP(F5,PLAN1,4,FALSE)</f>
        <v/>
      </c>
      <c r="K5" s="38" t="n">
        <v>15.99</v>
      </c>
      <c r="L5" s="58" t="n"/>
      <c r="M5" s="58" t="n"/>
      <c r="N5" s="58" t="n"/>
      <c r="O5" s="65" t="n"/>
      <c r="P5" s="38" t="inlineStr">
        <is>
          <t>Solo SIM Card</t>
        </is>
      </c>
      <c r="Q5" s="31" t="n"/>
    </row>
    <row r="6" customFormat="1" s="225">
      <c r="A6" s="239" t="n">
        <v>5</v>
      </c>
      <c r="B6" s="240" t="inlineStr">
        <is>
          <t>Marlon Bobadilla</t>
        </is>
      </c>
      <c r="C6" s="227" t="inlineStr">
        <is>
          <t>Responsable de Compras</t>
        </is>
      </c>
      <c r="D6" s="227" t="inlineStr">
        <is>
          <t>New Century Builders</t>
        </is>
      </c>
      <c r="E6" s="213" t="inlineStr">
        <is>
          <t>58112372</t>
        </is>
      </c>
      <c r="F6" s="214" t="n">
        <v>50558112372</v>
      </c>
      <c r="G6" s="214" t="n"/>
      <c r="H6" s="214">
        <f>VLOOKUP(F6,PLAN1,3,FALSE)</f>
        <v/>
      </c>
      <c r="I6" s="214" t="inlineStr">
        <is>
          <t>Activo</t>
        </is>
      </c>
      <c r="J6" s="214">
        <f>VLOOKUP(F6,PLAN1,4,FALSE)</f>
        <v/>
      </c>
      <c r="K6" s="215" t="n">
        <v>15.99</v>
      </c>
      <c r="L6" s="230" t="n"/>
      <c r="M6" s="230" t="n"/>
      <c r="N6" s="241" t="n"/>
      <c r="O6" s="242" t="n"/>
      <c r="P6" s="215" t="inlineStr">
        <is>
          <t>Samsung S22</t>
        </is>
      </c>
      <c r="Q6" s="243" t="n"/>
    </row>
    <row r="7">
      <c r="A7" s="32" t="n">
        <v>6</v>
      </c>
      <c r="B7" s="54" t="n"/>
      <c r="C7" s="54" t="n"/>
      <c r="D7" s="54" t="n"/>
      <c r="E7" s="55" t="n"/>
      <c r="F7" s="55" t="n"/>
      <c r="G7" s="55" t="n"/>
      <c r="H7" s="55" t="n"/>
      <c r="I7" s="55" t="n"/>
      <c r="J7" s="55" t="n"/>
      <c r="K7" s="55" t="n"/>
      <c r="L7" s="55" t="n"/>
      <c r="M7" s="55" t="n"/>
      <c r="N7" s="55" t="n"/>
      <c r="O7" s="124" t="n"/>
      <c r="P7" s="37" t="n"/>
      <c r="Q7" s="104" t="n"/>
    </row>
    <row r="8">
      <c r="A8" s="32" t="n">
        <v>7</v>
      </c>
      <c r="B8" s="54" t="n"/>
      <c r="C8" s="42" t="n"/>
      <c r="D8" s="34" t="n"/>
      <c r="E8" s="35" t="n"/>
      <c r="F8" s="37" t="n"/>
      <c r="G8" s="37" t="n"/>
      <c r="H8" s="37" t="n"/>
      <c r="I8" s="37" t="n"/>
      <c r="J8" s="37" t="n"/>
      <c r="K8" s="38" t="n"/>
      <c r="L8" s="49" t="n"/>
      <c r="M8" s="49" t="n"/>
      <c r="N8" s="49" t="n"/>
      <c r="O8" s="50" t="n"/>
      <c r="P8" s="38" t="n"/>
      <c r="Q8" s="31" t="n"/>
    </row>
    <row r="9">
      <c r="A9" s="32" t="n">
        <v>8</v>
      </c>
      <c r="B9" s="51" t="n"/>
      <c r="C9" s="42" t="n"/>
      <c r="D9" s="34" t="n"/>
      <c r="E9" s="35" t="n"/>
      <c r="F9" s="37" t="n"/>
      <c r="G9" s="37" t="n"/>
      <c r="H9" s="37" t="n"/>
      <c r="I9" s="37" t="n"/>
      <c r="J9" s="37" t="n"/>
      <c r="K9" s="38" t="n"/>
      <c r="L9" s="39" t="n"/>
      <c r="M9" s="39" t="n"/>
      <c r="N9" s="39" t="n"/>
      <c r="O9" s="40" t="n"/>
      <c r="P9" s="38" t="n"/>
      <c r="Q9" s="31" t="n"/>
    </row>
    <row r="10">
      <c r="A10" s="32" t="n">
        <v>9</v>
      </c>
      <c r="B10" s="51" t="n"/>
      <c r="C10" s="42" t="n"/>
      <c r="D10" s="34" t="n"/>
      <c r="E10" s="35" t="n"/>
      <c r="F10" s="37" t="n"/>
      <c r="G10" s="37" t="n"/>
      <c r="H10" s="37" t="n"/>
      <c r="I10" s="37" t="n"/>
      <c r="J10" s="37" t="n"/>
      <c r="K10" s="38" t="n"/>
      <c r="L10" s="29" t="n"/>
      <c r="M10" s="29" t="n"/>
      <c r="N10" s="29" t="n"/>
      <c r="O10" s="46" t="n"/>
      <c r="P10" s="38" t="n"/>
      <c r="Q10" s="31" t="n"/>
    </row>
    <row r="11">
      <c r="A11" s="32" t="n"/>
      <c r="P11" s="31" t="n"/>
      <c r="Q11" s="31" t="n"/>
    </row>
    <row r="12">
      <c r="A12" s="32" t="n"/>
      <c r="B12" s="108" t="inlineStr">
        <is>
          <t>Asignados</t>
        </is>
      </c>
      <c r="C12" s="108">
        <f>+(C14-C13)</f>
        <v/>
      </c>
      <c r="P12" s="31" t="n"/>
      <c r="Q12" s="31" t="n"/>
    </row>
    <row r="13">
      <c r="A13" s="32" t="n"/>
      <c r="B13" s="109" t="inlineStr">
        <is>
          <t>Disponibles</t>
        </is>
      </c>
      <c r="C13" s="110">
        <f>COUNTBLANK(B2:B6)</f>
        <v/>
      </c>
      <c r="P13" s="31" t="n"/>
      <c r="Q13" s="31" t="n"/>
    </row>
    <row r="14">
      <c r="A14" s="32" t="n"/>
      <c r="B14" s="111" t="inlineStr">
        <is>
          <t>Total</t>
        </is>
      </c>
      <c r="C14" s="111" t="n">
        <v>5</v>
      </c>
      <c r="P14" s="31" t="n"/>
      <c r="Q14" s="31" t="n"/>
    </row>
    <row r="15">
      <c r="A15" s="32" t="n"/>
      <c r="P15" s="125" t="n"/>
      <c r="Q15" s="31" t="n"/>
    </row>
    <row r="16">
      <c r="B16" s="8" t="inlineStr">
        <is>
          <t>Ultimas lineas Adquiridas</t>
        </is>
      </c>
      <c r="C16" s="8" t="n">
        <v>25</v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</row>
    <row r="17"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inlineStr">
        <is>
          <t>N/A</t>
        </is>
      </c>
      <c r="M17" s="8" t="inlineStr">
        <is>
          <t>N/A</t>
        </is>
      </c>
      <c r="N17" s="8" t="inlineStr">
        <is>
          <t>N/A</t>
        </is>
      </c>
      <c r="O17" s="8" t="inlineStr">
        <is>
          <t>N/A</t>
        </is>
      </c>
      <c r="P17" s="8" t="n"/>
    </row>
    <row r="18">
      <c r="B18" s="126" t="inlineStr">
        <is>
          <t>N/A</t>
        </is>
      </c>
      <c r="C18" s="126" t="inlineStr">
        <is>
          <t>N/A</t>
        </is>
      </c>
      <c r="D18" s="126" t="inlineStr">
        <is>
          <t>N/A</t>
        </is>
      </c>
      <c r="E18" s="127" t="inlineStr">
        <is>
          <t>50558710712</t>
        </is>
      </c>
      <c r="F18" s="126" t="inlineStr">
        <is>
          <t>N/A</t>
        </is>
      </c>
      <c r="G18" s="126" t="inlineStr">
        <is>
          <t>N/A</t>
        </is>
      </c>
      <c r="H18" s="126" t="inlineStr">
        <is>
          <t>N/A</t>
        </is>
      </c>
      <c r="I18" s="126" t="inlineStr">
        <is>
          <t>N/A</t>
        </is>
      </c>
      <c r="J18" s="126" t="inlineStr">
        <is>
          <t>N/A</t>
        </is>
      </c>
      <c r="K18" s="126" t="inlineStr">
        <is>
          <t>N/A</t>
        </is>
      </c>
      <c r="L18" s="126" t="inlineStr">
        <is>
          <t>N/A</t>
        </is>
      </c>
      <c r="M18" s="126" t="inlineStr">
        <is>
          <t>N/A</t>
        </is>
      </c>
      <c r="N18" s="126" t="inlineStr">
        <is>
          <t>N/A</t>
        </is>
      </c>
      <c r="O18" s="126" t="inlineStr">
        <is>
          <t>N/A</t>
        </is>
      </c>
      <c r="P18" s="126" t="inlineStr">
        <is>
          <t>N/A</t>
        </is>
      </c>
    </row>
    <row r="19">
      <c r="B19" s="126" t="inlineStr">
        <is>
          <t>N/A</t>
        </is>
      </c>
      <c r="C19" s="126" t="inlineStr">
        <is>
          <t>N/A</t>
        </is>
      </c>
      <c r="D19" s="126" t="inlineStr">
        <is>
          <t>N/A</t>
        </is>
      </c>
      <c r="E19" s="127" t="inlineStr">
        <is>
          <t>50582388984</t>
        </is>
      </c>
      <c r="F19" s="126" t="inlineStr">
        <is>
          <t>N/A</t>
        </is>
      </c>
      <c r="G19" s="126" t="inlineStr">
        <is>
          <t>N/A</t>
        </is>
      </c>
      <c r="H19" s="126" t="inlineStr">
        <is>
          <t>N/A</t>
        </is>
      </c>
      <c r="I19" s="126" t="inlineStr">
        <is>
          <t>N/A</t>
        </is>
      </c>
      <c r="J19" s="126" t="inlineStr">
        <is>
          <t>N/A</t>
        </is>
      </c>
      <c r="K19" s="126" t="inlineStr">
        <is>
          <t>N/A</t>
        </is>
      </c>
      <c r="L19" s="126" t="inlineStr">
        <is>
          <t>N/A</t>
        </is>
      </c>
      <c r="M19" s="126" t="inlineStr">
        <is>
          <t>N/A</t>
        </is>
      </c>
      <c r="N19" s="126" t="inlineStr">
        <is>
          <t>N/A</t>
        </is>
      </c>
      <c r="O19" s="126" t="inlineStr">
        <is>
          <t>N/A</t>
        </is>
      </c>
      <c r="P19" s="126" t="inlineStr">
        <is>
          <t>N/A</t>
        </is>
      </c>
    </row>
    <row r="20">
      <c r="B20" s="126" t="inlineStr">
        <is>
          <t>N/A</t>
        </is>
      </c>
      <c r="C20" s="126" t="inlineStr">
        <is>
          <t>N/A</t>
        </is>
      </c>
      <c r="D20" s="126" t="inlineStr">
        <is>
          <t>N/A</t>
        </is>
      </c>
      <c r="E20" s="127" t="inlineStr">
        <is>
          <t>50582389107</t>
        </is>
      </c>
      <c r="F20" s="126" t="inlineStr">
        <is>
          <t>N/A</t>
        </is>
      </c>
      <c r="G20" s="126" t="inlineStr">
        <is>
          <t>N/A</t>
        </is>
      </c>
      <c r="H20" s="126" t="inlineStr">
        <is>
          <t>N/A</t>
        </is>
      </c>
      <c r="I20" s="126" t="inlineStr">
        <is>
          <t>N/A</t>
        </is>
      </c>
      <c r="J20" s="126" t="inlineStr">
        <is>
          <t>N/A</t>
        </is>
      </c>
      <c r="K20" s="126" t="inlineStr">
        <is>
          <t>N/A</t>
        </is>
      </c>
      <c r="L20" s="126" t="inlineStr">
        <is>
          <t>N/A</t>
        </is>
      </c>
      <c r="M20" s="126" t="inlineStr">
        <is>
          <t>N/A</t>
        </is>
      </c>
      <c r="N20" s="126" t="inlineStr">
        <is>
          <t>N/A</t>
        </is>
      </c>
      <c r="O20" s="126" t="inlineStr">
        <is>
          <t>N/A</t>
        </is>
      </c>
      <c r="P20" s="126" t="inlineStr">
        <is>
          <t>N/A</t>
        </is>
      </c>
    </row>
    <row r="21">
      <c r="B21" s="126" t="inlineStr">
        <is>
          <t>N/A</t>
        </is>
      </c>
      <c r="C21" s="126" t="inlineStr">
        <is>
          <t>N/A</t>
        </is>
      </c>
      <c r="D21" s="126" t="inlineStr">
        <is>
          <t>N/A</t>
        </is>
      </c>
      <c r="E21" s="127" t="inlineStr">
        <is>
          <t>50582389276</t>
        </is>
      </c>
      <c r="F21" s="126" t="inlineStr">
        <is>
          <t>N/A</t>
        </is>
      </c>
      <c r="G21" s="126" t="inlineStr">
        <is>
          <t>N/A</t>
        </is>
      </c>
      <c r="H21" s="126" t="inlineStr">
        <is>
          <t>N/A</t>
        </is>
      </c>
      <c r="I21" s="126" t="inlineStr">
        <is>
          <t>N/A</t>
        </is>
      </c>
      <c r="J21" s="126" t="inlineStr">
        <is>
          <t>N/A</t>
        </is>
      </c>
      <c r="K21" s="126" t="inlineStr">
        <is>
          <t>N/A</t>
        </is>
      </c>
      <c r="L21" s="126" t="inlineStr">
        <is>
          <t>N/A</t>
        </is>
      </c>
      <c r="M21" s="126" t="inlineStr">
        <is>
          <t>N/A</t>
        </is>
      </c>
      <c r="N21" s="126" t="inlineStr">
        <is>
          <t>N/A</t>
        </is>
      </c>
      <c r="O21" s="126" t="inlineStr">
        <is>
          <t>N/A</t>
        </is>
      </c>
      <c r="P21" s="126" t="inlineStr">
        <is>
          <t>N/A</t>
        </is>
      </c>
    </row>
    <row r="22">
      <c r="B22" s="126" t="inlineStr">
        <is>
          <t>N/A</t>
        </is>
      </c>
      <c r="C22" s="126" t="inlineStr">
        <is>
          <t>N/A</t>
        </is>
      </c>
      <c r="D22" s="126" t="inlineStr">
        <is>
          <t>N/A</t>
        </is>
      </c>
      <c r="E22" s="127" t="inlineStr">
        <is>
          <t>50582389280</t>
        </is>
      </c>
      <c r="F22" s="126" t="inlineStr">
        <is>
          <t>N/A</t>
        </is>
      </c>
      <c r="G22" s="126" t="inlineStr">
        <is>
          <t>N/A</t>
        </is>
      </c>
      <c r="H22" s="126" t="inlineStr">
        <is>
          <t>N/A</t>
        </is>
      </c>
      <c r="I22" s="126" t="inlineStr">
        <is>
          <t>N/A</t>
        </is>
      </c>
      <c r="J22" s="126" t="inlineStr">
        <is>
          <t>N/A</t>
        </is>
      </c>
      <c r="K22" s="126" t="inlineStr">
        <is>
          <t>N/A</t>
        </is>
      </c>
      <c r="L22" s="126" t="inlineStr">
        <is>
          <t>N/A</t>
        </is>
      </c>
      <c r="M22" s="126" t="inlineStr">
        <is>
          <t>N/A</t>
        </is>
      </c>
      <c r="N22" s="126" t="inlineStr">
        <is>
          <t>N/A</t>
        </is>
      </c>
      <c r="O22" s="126" t="inlineStr">
        <is>
          <t>N/A</t>
        </is>
      </c>
      <c r="P22" s="126" t="inlineStr">
        <is>
          <t>N/A</t>
        </is>
      </c>
    </row>
    <row r="23">
      <c r="B23" s="126" t="inlineStr">
        <is>
          <t>N/A</t>
        </is>
      </c>
      <c r="C23" s="126" t="inlineStr">
        <is>
          <t>N/A</t>
        </is>
      </c>
      <c r="D23" s="126" t="inlineStr">
        <is>
          <t>N/A</t>
        </is>
      </c>
      <c r="E23" s="127" t="inlineStr">
        <is>
          <t>50582389667</t>
        </is>
      </c>
      <c r="F23" s="126" t="inlineStr">
        <is>
          <t>N/A</t>
        </is>
      </c>
      <c r="G23" s="126" t="inlineStr">
        <is>
          <t>N/A</t>
        </is>
      </c>
      <c r="H23" s="126" t="inlineStr">
        <is>
          <t>N/A</t>
        </is>
      </c>
      <c r="I23" s="126" t="inlineStr">
        <is>
          <t>N/A</t>
        </is>
      </c>
      <c r="J23" s="126" t="inlineStr">
        <is>
          <t>N/A</t>
        </is>
      </c>
      <c r="K23" s="126" t="inlineStr">
        <is>
          <t>N/A</t>
        </is>
      </c>
      <c r="L23" s="126" t="inlineStr">
        <is>
          <t>N/A</t>
        </is>
      </c>
      <c r="M23" s="126" t="inlineStr">
        <is>
          <t>N/A</t>
        </is>
      </c>
      <c r="N23" s="126" t="inlineStr">
        <is>
          <t>N/A</t>
        </is>
      </c>
      <c r="O23" s="126" t="inlineStr">
        <is>
          <t>N/A</t>
        </is>
      </c>
      <c r="P23" s="126" t="inlineStr">
        <is>
          <t>N/A</t>
        </is>
      </c>
    </row>
    <row r="24">
      <c r="B24" s="126" t="inlineStr">
        <is>
          <t>N/A</t>
        </is>
      </c>
      <c r="C24" s="126" t="inlineStr">
        <is>
          <t>N/A</t>
        </is>
      </c>
      <c r="D24" s="126" t="inlineStr">
        <is>
          <t>N/A</t>
        </is>
      </c>
      <c r="E24" s="127" t="inlineStr">
        <is>
          <t>50557343869</t>
        </is>
      </c>
      <c r="F24" s="126" t="inlineStr">
        <is>
          <t>N/A</t>
        </is>
      </c>
      <c r="G24" s="126" t="inlineStr">
        <is>
          <t>N/A</t>
        </is>
      </c>
      <c r="H24" s="126" t="inlineStr">
        <is>
          <t>N/A</t>
        </is>
      </c>
      <c r="I24" s="126" t="inlineStr">
        <is>
          <t>N/A</t>
        </is>
      </c>
      <c r="J24" s="126" t="inlineStr">
        <is>
          <t>N/A</t>
        </is>
      </c>
      <c r="K24" s="126" t="inlineStr">
        <is>
          <t>N/A</t>
        </is>
      </c>
      <c r="L24" s="126" t="inlineStr">
        <is>
          <t>N/A</t>
        </is>
      </c>
      <c r="M24" s="126" t="inlineStr">
        <is>
          <t>N/A</t>
        </is>
      </c>
      <c r="N24" s="126" t="inlineStr">
        <is>
          <t>N/A</t>
        </is>
      </c>
      <c r="O24" s="126" t="inlineStr">
        <is>
          <t>N/A</t>
        </is>
      </c>
      <c r="P24" s="126" t="inlineStr">
        <is>
          <t>N/A</t>
        </is>
      </c>
    </row>
    <row r="25">
      <c r="B25" s="126" t="inlineStr">
        <is>
          <t>N/A</t>
        </is>
      </c>
      <c r="C25" s="126" t="inlineStr">
        <is>
          <t>N/A</t>
        </is>
      </c>
      <c r="D25" s="126" t="inlineStr">
        <is>
          <t>N/A</t>
        </is>
      </c>
      <c r="E25" s="127" t="inlineStr">
        <is>
          <t>50557343925</t>
        </is>
      </c>
      <c r="F25" s="126" t="inlineStr">
        <is>
          <t>N/A</t>
        </is>
      </c>
      <c r="G25" s="126" t="inlineStr">
        <is>
          <t>N/A</t>
        </is>
      </c>
      <c r="H25" s="126" t="inlineStr">
        <is>
          <t>N/A</t>
        </is>
      </c>
      <c r="I25" s="126" t="inlineStr">
        <is>
          <t>N/A</t>
        </is>
      </c>
      <c r="J25" s="126" t="inlineStr">
        <is>
          <t>N/A</t>
        </is>
      </c>
      <c r="K25" s="126" t="inlineStr">
        <is>
          <t>N/A</t>
        </is>
      </c>
      <c r="L25" s="126" t="inlineStr">
        <is>
          <t>N/A</t>
        </is>
      </c>
      <c r="M25" s="126" t="inlineStr">
        <is>
          <t>N/A</t>
        </is>
      </c>
      <c r="N25" s="126" t="inlineStr">
        <is>
          <t>N/A</t>
        </is>
      </c>
      <c r="O25" s="126" t="inlineStr">
        <is>
          <t>N/A</t>
        </is>
      </c>
      <c r="P25" s="126" t="inlineStr">
        <is>
          <t>N/A</t>
        </is>
      </c>
    </row>
    <row r="26">
      <c r="B26" s="126" t="inlineStr">
        <is>
          <t>N/A</t>
        </is>
      </c>
      <c r="C26" s="126" t="inlineStr">
        <is>
          <t>N/A</t>
        </is>
      </c>
      <c r="D26" s="126" t="inlineStr">
        <is>
          <t>N/A</t>
        </is>
      </c>
      <c r="E26" s="127" t="inlineStr">
        <is>
          <t>50557343961</t>
        </is>
      </c>
      <c r="F26" s="126" t="inlineStr">
        <is>
          <t>N/A</t>
        </is>
      </c>
      <c r="G26" s="126" t="inlineStr">
        <is>
          <t>N/A</t>
        </is>
      </c>
      <c r="H26" s="126" t="inlineStr">
        <is>
          <t>N/A</t>
        </is>
      </c>
      <c r="I26" s="126" t="inlineStr">
        <is>
          <t>N/A</t>
        </is>
      </c>
      <c r="J26" s="126" t="inlineStr">
        <is>
          <t>N/A</t>
        </is>
      </c>
      <c r="K26" s="126" t="inlineStr">
        <is>
          <t>N/A</t>
        </is>
      </c>
      <c r="L26" s="126" t="inlineStr">
        <is>
          <t>N/A</t>
        </is>
      </c>
      <c r="M26" s="126" t="inlineStr">
        <is>
          <t>N/A</t>
        </is>
      </c>
      <c r="N26" s="126" t="inlineStr">
        <is>
          <t>N/A</t>
        </is>
      </c>
      <c r="O26" s="126" t="inlineStr">
        <is>
          <t>N/A</t>
        </is>
      </c>
      <c r="P26" s="126" t="inlineStr">
        <is>
          <t>N/A</t>
        </is>
      </c>
    </row>
    <row r="27">
      <c r="B27" s="126" t="inlineStr">
        <is>
          <t>N/A</t>
        </is>
      </c>
      <c r="C27" s="126" t="inlineStr">
        <is>
          <t>N/A</t>
        </is>
      </c>
      <c r="D27" s="126" t="inlineStr">
        <is>
          <t>N/A</t>
        </is>
      </c>
      <c r="E27" s="127" t="inlineStr">
        <is>
          <t>50557344020</t>
        </is>
      </c>
      <c r="F27" s="126" t="inlineStr">
        <is>
          <t>N/A</t>
        </is>
      </c>
      <c r="G27" s="126" t="inlineStr">
        <is>
          <t>N/A</t>
        </is>
      </c>
      <c r="H27" s="126" t="inlineStr">
        <is>
          <t>N/A</t>
        </is>
      </c>
      <c r="I27" s="126" t="inlineStr">
        <is>
          <t>N/A</t>
        </is>
      </c>
      <c r="J27" s="126" t="inlineStr">
        <is>
          <t>N/A</t>
        </is>
      </c>
      <c r="K27" s="126" t="inlineStr">
        <is>
          <t>N/A</t>
        </is>
      </c>
      <c r="L27" s="126" t="inlineStr">
        <is>
          <t>N/A</t>
        </is>
      </c>
      <c r="M27" s="126" t="inlineStr">
        <is>
          <t>N/A</t>
        </is>
      </c>
      <c r="N27" s="126" t="inlineStr">
        <is>
          <t>N/A</t>
        </is>
      </c>
      <c r="O27" s="126" t="inlineStr">
        <is>
          <t>N/A</t>
        </is>
      </c>
      <c r="P27" s="126" t="inlineStr">
        <is>
          <t>N/A</t>
        </is>
      </c>
    </row>
    <row r="28">
      <c r="B28" s="126" t="inlineStr">
        <is>
          <t>N/A</t>
        </is>
      </c>
      <c r="C28" s="126" t="inlineStr">
        <is>
          <t>N/A</t>
        </is>
      </c>
      <c r="D28" s="126" t="inlineStr">
        <is>
          <t>N/A</t>
        </is>
      </c>
      <c r="E28" s="127" t="inlineStr">
        <is>
          <t>50557344050</t>
        </is>
      </c>
      <c r="F28" s="126" t="inlineStr">
        <is>
          <t>N/A</t>
        </is>
      </c>
      <c r="G28" s="126" t="inlineStr">
        <is>
          <t>N/A</t>
        </is>
      </c>
      <c r="H28" s="126" t="inlineStr">
        <is>
          <t>N/A</t>
        </is>
      </c>
      <c r="I28" s="126" t="inlineStr">
        <is>
          <t>N/A</t>
        </is>
      </c>
      <c r="J28" s="126" t="inlineStr">
        <is>
          <t>N/A</t>
        </is>
      </c>
      <c r="K28" s="126" t="inlineStr">
        <is>
          <t>N/A</t>
        </is>
      </c>
      <c r="L28" s="126" t="inlineStr">
        <is>
          <t>N/A</t>
        </is>
      </c>
      <c r="M28" s="126" t="inlineStr">
        <is>
          <t>N/A</t>
        </is>
      </c>
      <c r="N28" s="126" t="inlineStr">
        <is>
          <t>N/A</t>
        </is>
      </c>
      <c r="O28" s="126" t="inlineStr">
        <is>
          <t>N/A</t>
        </is>
      </c>
      <c r="P28" s="126" t="inlineStr">
        <is>
          <t>N/A</t>
        </is>
      </c>
    </row>
    <row r="29">
      <c r="B29" s="126" t="inlineStr">
        <is>
          <t>N/A</t>
        </is>
      </c>
      <c r="C29" s="126" t="inlineStr">
        <is>
          <t>N/A</t>
        </is>
      </c>
      <c r="D29" s="126" t="inlineStr">
        <is>
          <t>N/A</t>
        </is>
      </c>
      <c r="E29" s="127" t="inlineStr">
        <is>
          <t>50557344089</t>
        </is>
      </c>
      <c r="F29" s="126" t="inlineStr">
        <is>
          <t>N/A</t>
        </is>
      </c>
      <c r="G29" s="126" t="inlineStr">
        <is>
          <t>N/A</t>
        </is>
      </c>
      <c r="H29" s="126" t="inlineStr">
        <is>
          <t>N/A</t>
        </is>
      </c>
      <c r="I29" s="126" t="inlineStr">
        <is>
          <t>N/A</t>
        </is>
      </c>
      <c r="J29" s="126" t="inlineStr">
        <is>
          <t>N/A</t>
        </is>
      </c>
      <c r="K29" s="126" t="inlineStr">
        <is>
          <t>N/A</t>
        </is>
      </c>
      <c r="L29" s="126" t="inlineStr">
        <is>
          <t>N/A</t>
        </is>
      </c>
      <c r="M29" s="126" t="inlineStr">
        <is>
          <t>N/A</t>
        </is>
      </c>
      <c r="N29" s="126" t="inlineStr">
        <is>
          <t>N/A</t>
        </is>
      </c>
      <c r="O29" s="126" t="inlineStr">
        <is>
          <t>N/A</t>
        </is>
      </c>
      <c r="P29" s="126" t="inlineStr">
        <is>
          <t>N/A</t>
        </is>
      </c>
    </row>
    <row r="30">
      <c r="B30" s="126" t="inlineStr">
        <is>
          <t>N/A</t>
        </is>
      </c>
      <c r="C30" s="126" t="inlineStr">
        <is>
          <t>N/A</t>
        </is>
      </c>
      <c r="D30" s="126" t="inlineStr">
        <is>
          <t>N/A</t>
        </is>
      </c>
      <c r="E30" s="127" t="inlineStr">
        <is>
          <t>50557344099</t>
        </is>
      </c>
      <c r="F30" s="126" t="inlineStr">
        <is>
          <t>N/A</t>
        </is>
      </c>
      <c r="G30" s="126" t="inlineStr">
        <is>
          <t>N/A</t>
        </is>
      </c>
      <c r="H30" s="126" t="inlineStr">
        <is>
          <t>N/A</t>
        </is>
      </c>
      <c r="I30" s="126" t="inlineStr">
        <is>
          <t>N/A</t>
        </is>
      </c>
      <c r="J30" s="126" t="inlineStr">
        <is>
          <t>N/A</t>
        </is>
      </c>
      <c r="K30" s="126" t="inlineStr">
        <is>
          <t>N/A</t>
        </is>
      </c>
      <c r="L30" s="126" t="inlineStr">
        <is>
          <t>N/A</t>
        </is>
      </c>
      <c r="M30" s="126" t="inlineStr">
        <is>
          <t>N/A</t>
        </is>
      </c>
      <c r="N30" s="126" t="inlineStr">
        <is>
          <t>N/A</t>
        </is>
      </c>
      <c r="O30" s="126" t="inlineStr">
        <is>
          <t>N/A</t>
        </is>
      </c>
      <c r="P30" s="126" t="inlineStr">
        <is>
          <t>N/A</t>
        </is>
      </c>
    </row>
    <row r="31">
      <c r="B31" s="126" t="inlineStr">
        <is>
          <t>N/A</t>
        </is>
      </c>
      <c r="C31" s="126" t="inlineStr">
        <is>
          <t>N/A</t>
        </is>
      </c>
      <c r="D31" s="126" t="inlineStr">
        <is>
          <t>N/A</t>
        </is>
      </c>
      <c r="E31" s="127" t="inlineStr">
        <is>
          <t>50557344104</t>
        </is>
      </c>
      <c r="F31" s="126" t="inlineStr">
        <is>
          <t>N/A</t>
        </is>
      </c>
      <c r="G31" s="126" t="inlineStr">
        <is>
          <t>N/A</t>
        </is>
      </c>
      <c r="H31" s="126" t="inlineStr">
        <is>
          <t>N/A</t>
        </is>
      </c>
      <c r="I31" s="126" t="inlineStr">
        <is>
          <t>N/A</t>
        </is>
      </c>
      <c r="J31" s="126" t="inlineStr">
        <is>
          <t>N/A</t>
        </is>
      </c>
      <c r="K31" s="126" t="inlineStr">
        <is>
          <t>N/A</t>
        </is>
      </c>
      <c r="L31" s="126" t="inlineStr">
        <is>
          <t>N/A</t>
        </is>
      </c>
      <c r="M31" s="126" t="inlineStr">
        <is>
          <t>N/A</t>
        </is>
      </c>
      <c r="N31" s="126" t="inlineStr">
        <is>
          <t>N/A</t>
        </is>
      </c>
      <c r="O31" s="126" t="inlineStr">
        <is>
          <t>N/A</t>
        </is>
      </c>
      <c r="P31" s="126" t="inlineStr">
        <is>
          <t>N/A</t>
        </is>
      </c>
    </row>
    <row r="32">
      <c r="B32" s="126" t="inlineStr">
        <is>
          <t>N/A</t>
        </is>
      </c>
      <c r="C32" s="126" t="inlineStr">
        <is>
          <t>N/A</t>
        </is>
      </c>
      <c r="D32" s="126" t="inlineStr">
        <is>
          <t>N/A</t>
        </is>
      </c>
      <c r="E32" s="127" t="inlineStr">
        <is>
          <t>50557344497</t>
        </is>
      </c>
      <c r="F32" s="126" t="inlineStr">
        <is>
          <t>N/A</t>
        </is>
      </c>
      <c r="G32" s="126" t="inlineStr">
        <is>
          <t>N/A</t>
        </is>
      </c>
      <c r="H32" s="126" t="inlineStr">
        <is>
          <t>N/A</t>
        </is>
      </c>
      <c r="I32" s="126" t="inlineStr">
        <is>
          <t>N/A</t>
        </is>
      </c>
      <c r="J32" s="126" t="inlineStr">
        <is>
          <t>N/A</t>
        </is>
      </c>
      <c r="K32" s="126" t="inlineStr">
        <is>
          <t>N/A</t>
        </is>
      </c>
      <c r="L32" s="126" t="inlineStr">
        <is>
          <t>N/A</t>
        </is>
      </c>
      <c r="M32" s="126" t="inlineStr">
        <is>
          <t>N/A</t>
        </is>
      </c>
      <c r="N32" s="126" t="inlineStr">
        <is>
          <t>N/A</t>
        </is>
      </c>
      <c r="O32" s="126" t="inlineStr">
        <is>
          <t>N/A</t>
        </is>
      </c>
      <c r="P32" s="126" t="inlineStr">
        <is>
          <t>N/A</t>
        </is>
      </c>
    </row>
    <row r="33">
      <c r="B33" s="126" t="inlineStr">
        <is>
          <t>N/A</t>
        </is>
      </c>
      <c r="C33" s="126" t="inlineStr">
        <is>
          <t>N/A</t>
        </is>
      </c>
      <c r="D33" s="126" t="inlineStr">
        <is>
          <t>N/A</t>
        </is>
      </c>
      <c r="E33" s="127" t="inlineStr">
        <is>
          <t>50557344722</t>
        </is>
      </c>
      <c r="F33" s="126" t="inlineStr">
        <is>
          <t>N/A</t>
        </is>
      </c>
      <c r="G33" s="126" t="inlineStr">
        <is>
          <t>N/A</t>
        </is>
      </c>
      <c r="H33" s="126" t="inlineStr">
        <is>
          <t>N/A</t>
        </is>
      </c>
      <c r="I33" s="126" t="inlineStr">
        <is>
          <t>N/A</t>
        </is>
      </c>
      <c r="J33" s="126" t="inlineStr">
        <is>
          <t>N/A</t>
        </is>
      </c>
      <c r="K33" s="126" t="inlineStr">
        <is>
          <t>N/A</t>
        </is>
      </c>
      <c r="L33" s="126" t="inlineStr">
        <is>
          <t>N/A</t>
        </is>
      </c>
      <c r="M33" s="126" t="inlineStr">
        <is>
          <t>N/A</t>
        </is>
      </c>
      <c r="N33" s="126" t="inlineStr">
        <is>
          <t>N/A</t>
        </is>
      </c>
      <c r="O33" s="126" t="inlineStr">
        <is>
          <t>N/A</t>
        </is>
      </c>
      <c r="P33" s="126" t="inlineStr">
        <is>
          <t>N/A</t>
        </is>
      </c>
    </row>
    <row r="34">
      <c r="B34" s="126" t="inlineStr">
        <is>
          <t>N/A</t>
        </is>
      </c>
      <c r="C34" s="126" t="inlineStr">
        <is>
          <t>N/A</t>
        </is>
      </c>
      <c r="D34" s="126" t="inlineStr">
        <is>
          <t>N/A</t>
        </is>
      </c>
      <c r="E34" s="127" t="inlineStr">
        <is>
          <t>50557344827</t>
        </is>
      </c>
      <c r="F34" s="126" t="inlineStr">
        <is>
          <t>N/A</t>
        </is>
      </c>
      <c r="G34" s="126" t="inlineStr">
        <is>
          <t>N/A</t>
        </is>
      </c>
      <c r="H34" s="126" t="inlineStr">
        <is>
          <t>N/A</t>
        </is>
      </c>
      <c r="I34" s="126" t="inlineStr">
        <is>
          <t>N/A</t>
        </is>
      </c>
      <c r="J34" s="126" t="inlineStr">
        <is>
          <t>N/A</t>
        </is>
      </c>
      <c r="K34" s="126" t="inlineStr">
        <is>
          <t>N/A</t>
        </is>
      </c>
      <c r="L34" s="126" t="inlineStr">
        <is>
          <t>N/A</t>
        </is>
      </c>
      <c r="M34" s="126" t="inlineStr">
        <is>
          <t>N/A</t>
        </is>
      </c>
      <c r="N34" s="126" t="inlineStr">
        <is>
          <t>N/A</t>
        </is>
      </c>
      <c r="O34" s="126" t="inlineStr">
        <is>
          <t>N/A</t>
        </is>
      </c>
      <c r="P34" s="126" t="inlineStr">
        <is>
          <t>N/A</t>
        </is>
      </c>
    </row>
    <row r="35">
      <c r="B35" s="126" t="inlineStr">
        <is>
          <t>N/A</t>
        </is>
      </c>
      <c r="C35" s="126" t="inlineStr">
        <is>
          <t>N/A</t>
        </is>
      </c>
      <c r="D35" s="126" t="inlineStr">
        <is>
          <t>N/A</t>
        </is>
      </c>
      <c r="E35" s="127" t="inlineStr">
        <is>
          <t>50557344917</t>
        </is>
      </c>
      <c r="F35" s="126" t="inlineStr">
        <is>
          <t>N/A</t>
        </is>
      </c>
      <c r="G35" s="126" t="inlineStr">
        <is>
          <t>N/A</t>
        </is>
      </c>
      <c r="H35" s="126" t="inlineStr">
        <is>
          <t>N/A</t>
        </is>
      </c>
      <c r="I35" s="126" t="inlineStr">
        <is>
          <t>N/A</t>
        </is>
      </c>
      <c r="J35" s="126" t="inlineStr">
        <is>
          <t>N/A</t>
        </is>
      </c>
      <c r="K35" s="126" t="inlineStr">
        <is>
          <t>N/A</t>
        </is>
      </c>
      <c r="L35" s="126" t="inlineStr">
        <is>
          <t>N/A</t>
        </is>
      </c>
      <c r="M35" s="126" t="inlineStr">
        <is>
          <t>N/A</t>
        </is>
      </c>
      <c r="N35" s="126" t="inlineStr">
        <is>
          <t>N/A</t>
        </is>
      </c>
      <c r="O35" s="126" t="inlineStr">
        <is>
          <t>N/A</t>
        </is>
      </c>
      <c r="P35" s="126" t="inlineStr">
        <is>
          <t>N/A</t>
        </is>
      </c>
    </row>
    <row r="36">
      <c r="B36" s="126" t="inlineStr">
        <is>
          <t>N/A</t>
        </is>
      </c>
      <c r="C36" s="126" t="inlineStr">
        <is>
          <t>N/A</t>
        </is>
      </c>
      <c r="D36" s="126" t="inlineStr">
        <is>
          <t>N/A</t>
        </is>
      </c>
      <c r="E36" s="127" t="inlineStr">
        <is>
          <t>50557344983</t>
        </is>
      </c>
      <c r="F36" s="126" t="inlineStr">
        <is>
          <t>N/A</t>
        </is>
      </c>
      <c r="G36" s="126" t="inlineStr">
        <is>
          <t>N/A</t>
        </is>
      </c>
      <c r="H36" s="126" t="inlineStr">
        <is>
          <t>N/A</t>
        </is>
      </c>
      <c r="I36" s="126" t="inlineStr">
        <is>
          <t>N/A</t>
        </is>
      </c>
      <c r="J36" s="126" t="inlineStr">
        <is>
          <t>N/A</t>
        </is>
      </c>
      <c r="K36" s="126" t="inlineStr">
        <is>
          <t>N/A</t>
        </is>
      </c>
      <c r="L36" s="126" t="inlineStr">
        <is>
          <t>N/A</t>
        </is>
      </c>
      <c r="M36" s="126" t="inlineStr">
        <is>
          <t>N/A</t>
        </is>
      </c>
      <c r="N36" s="126" t="inlineStr">
        <is>
          <t>N/A</t>
        </is>
      </c>
      <c r="O36" s="126" t="inlineStr">
        <is>
          <t>N/A</t>
        </is>
      </c>
      <c r="P36" s="126" t="inlineStr">
        <is>
          <t>N/A</t>
        </is>
      </c>
    </row>
    <row r="37">
      <c r="B37" s="126" t="inlineStr">
        <is>
          <t>N/A</t>
        </is>
      </c>
      <c r="C37" s="126" t="inlineStr">
        <is>
          <t>N/A</t>
        </is>
      </c>
      <c r="D37" s="126" t="inlineStr">
        <is>
          <t>N/A</t>
        </is>
      </c>
      <c r="E37" s="127" t="inlineStr">
        <is>
          <t>50557345030</t>
        </is>
      </c>
      <c r="F37" s="126" t="inlineStr">
        <is>
          <t>N/A</t>
        </is>
      </c>
      <c r="G37" s="126" t="inlineStr">
        <is>
          <t>N/A</t>
        </is>
      </c>
      <c r="H37" s="126" t="inlineStr">
        <is>
          <t>N/A</t>
        </is>
      </c>
      <c r="I37" s="126" t="inlineStr">
        <is>
          <t>N/A</t>
        </is>
      </c>
      <c r="J37" s="126" t="inlineStr">
        <is>
          <t>N/A</t>
        </is>
      </c>
      <c r="K37" s="126" t="inlineStr">
        <is>
          <t>N/A</t>
        </is>
      </c>
      <c r="L37" s="126" t="inlineStr">
        <is>
          <t>N/A</t>
        </is>
      </c>
      <c r="M37" s="126" t="inlineStr">
        <is>
          <t>N/A</t>
        </is>
      </c>
      <c r="N37" s="126" t="inlineStr">
        <is>
          <t>N/A</t>
        </is>
      </c>
      <c r="O37" s="126" t="inlineStr">
        <is>
          <t>N/A</t>
        </is>
      </c>
      <c r="P37" s="126" t="inlineStr">
        <is>
          <t>N/A</t>
        </is>
      </c>
    </row>
    <row r="38">
      <c r="B38" s="126" t="inlineStr">
        <is>
          <t>N/A</t>
        </is>
      </c>
      <c r="C38" s="126" t="inlineStr">
        <is>
          <t>N/A</t>
        </is>
      </c>
      <c r="D38" s="126" t="inlineStr">
        <is>
          <t>N/A</t>
        </is>
      </c>
      <c r="E38" s="127" t="inlineStr">
        <is>
          <t>50557345129</t>
        </is>
      </c>
      <c r="F38" s="126" t="inlineStr">
        <is>
          <t>N/A</t>
        </is>
      </c>
      <c r="G38" s="126" t="inlineStr">
        <is>
          <t>N/A</t>
        </is>
      </c>
      <c r="H38" s="126" t="inlineStr">
        <is>
          <t>N/A</t>
        </is>
      </c>
      <c r="I38" s="126" t="inlineStr">
        <is>
          <t>N/A</t>
        </is>
      </c>
      <c r="J38" s="126" t="inlineStr">
        <is>
          <t>N/A</t>
        </is>
      </c>
      <c r="K38" s="126" t="inlineStr">
        <is>
          <t>N/A</t>
        </is>
      </c>
      <c r="L38" s="126" t="inlineStr">
        <is>
          <t>N/A</t>
        </is>
      </c>
      <c r="M38" s="126" t="inlineStr">
        <is>
          <t>N/A</t>
        </is>
      </c>
      <c r="N38" s="126" t="inlineStr">
        <is>
          <t>N/A</t>
        </is>
      </c>
      <c r="O38" s="126" t="inlineStr">
        <is>
          <t>N/A</t>
        </is>
      </c>
      <c r="P38" s="126" t="inlineStr">
        <is>
          <t>N/A</t>
        </is>
      </c>
    </row>
    <row r="39">
      <c r="B39" s="126" t="inlineStr">
        <is>
          <t>N/A</t>
        </is>
      </c>
      <c r="C39" s="126" t="inlineStr">
        <is>
          <t>N/A</t>
        </is>
      </c>
      <c r="D39" s="126" t="inlineStr">
        <is>
          <t>N/A</t>
        </is>
      </c>
      <c r="E39" s="127" t="inlineStr">
        <is>
          <t>50557345321</t>
        </is>
      </c>
      <c r="F39" s="126" t="inlineStr">
        <is>
          <t>N/A</t>
        </is>
      </c>
      <c r="G39" s="126" t="inlineStr">
        <is>
          <t>N/A</t>
        </is>
      </c>
      <c r="H39" s="126" t="inlineStr">
        <is>
          <t>N/A</t>
        </is>
      </c>
      <c r="I39" s="126" t="inlineStr">
        <is>
          <t>N/A</t>
        </is>
      </c>
      <c r="J39" s="126" t="inlineStr">
        <is>
          <t>N/A</t>
        </is>
      </c>
      <c r="K39" s="126" t="inlineStr">
        <is>
          <t>N/A</t>
        </is>
      </c>
      <c r="L39" s="126" t="inlineStr">
        <is>
          <t>N/A</t>
        </is>
      </c>
      <c r="M39" s="126" t="inlineStr">
        <is>
          <t>N/A</t>
        </is>
      </c>
      <c r="N39" s="126" t="inlineStr">
        <is>
          <t>N/A</t>
        </is>
      </c>
      <c r="O39" s="126" t="inlineStr">
        <is>
          <t>N/A</t>
        </is>
      </c>
      <c r="P39" s="126" t="inlineStr">
        <is>
          <t>N/A</t>
        </is>
      </c>
    </row>
    <row r="40">
      <c r="B40" s="126" t="inlineStr">
        <is>
          <t>N/A</t>
        </is>
      </c>
      <c r="C40" s="126" t="inlineStr">
        <is>
          <t>N/A</t>
        </is>
      </c>
      <c r="D40" s="126" t="inlineStr">
        <is>
          <t>N/A</t>
        </is>
      </c>
      <c r="E40" s="127" t="inlineStr">
        <is>
          <t>50557345344</t>
        </is>
      </c>
      <c r="F40" s="126" t="inlineStr">
        <is>
          <t>N/A</t>
        </is>
      </c>
      <c r="G40" s="126" t="inlineStr">
        <is>
          <t>N/A</t>
        </is>
      </c>
      <c r="H40" s="126" t="inlineStr">
        <is>
          <t>N/A</t>
        </is>
      </c>
      <c r="I40" s="126" t="inlineStr">
        <is>
          <t>N/A</t>
        </is>
      </c>
      <c r="J40" s="126" t="inlineStr">
        <is>
          <t>N/A</t>
        </is>
      </c>
      <c r="K40" s="126" t="inlineStr">
        <is>
          <t>N/A</t>
        </is>
      </c>
      <c r="L40" s="126" t="inlineStr">
        <is>
          <t>N/A</t>
        </is>
      </c>
      <c r="M40" s="126" t="inlineStr">
        <is>
          <t>N/A</t>
        </is>
      </c>
      <c r="N40" s="126" t="inlineStr">
        <is>
          <t>N/A</t>
        </is>
      </c>
      <c r="O40" s="126" t="inlineStr">
        <is>
          <t>N/A</t>
        </is>
      </c>
      <c r="P40" s="126" t="inlineStr">
        <is>
          <t>N/A</t>
        </is>
      </c>
    </row>
    <row r="41">
      <c r="B41" s="126" t="inlineStr">
        <is>
          <t>N/A</t>
        </is>
      </c>
      <c r="C41" s="126" t="inlineStr">
        <is>
          <t>N/A</t>
        </is>
      </c>
      <c r="D41" s="126" t="inlineStr">
        <is>
          <t>N/A</t>
        </is>
      </c>
      <c r="E41" s="127" t="inlineStr">
        <is>
          <t>50557345504</t>
        </is>
      </c>
      <c r="F41" s="126" t="inlineStr">
        <is>
          <t>N/A</t>
        </is>
      </c>
      <c r="G41" s="126" t="inlineStr">
        <is>
          <t>N/A</t>
        </is>
      </c>
      <c r="H41" s="126" t="inlineStr">
        <is>
          <t>N/A</t>
        </is>
      </c>
      <c r="I41" s="126" t="inlineStr">
        <is>
          <t>N/A</t>
        </is>
      </c>
      <c r="J41" s="126" t="inlineStr">
        <is>
          <t>N/A</t>
        </is>
      </c>
      <c r="K41" s="126" t="inlineStr">
        <is>
          <t>N/A</t>
        </is>
      </c>
      <c r="L41" s="126" t="inlineStr">
        <is>
          <t>N/A</t>
        </is>
      </c>
      <c r="M41" s="126" t="inlineStr">
        <is>
          <t>N/A</t>
        </is>
      </c>
      <c r="N41" s="126" t="inlineStr">
        <is>
          <t>N/A</t>
        </is>
      </c>
      <c r="O41" s="126" t="inlineStr">
        <is>
          <t>N/A</t>
        </is>
      </c>
      <c r="P41" s="126" t="inlineStr">
        <is>
          <t>N/A</t>
        </is>
      </c>
    </row>
    <row r="42">
      <c r="B42" s="126" t="inlineStr">
        <is>
          <t>N/A</t>
        </is>
      </c>
      <c r="C42" s="126" t="inlineStr">
        <is>
          <t>N/A</t>
        </is>
      </c>
      <c r="D42" s="126" t="inlineStr">
        <is>
          <t>N/A</t>
        </is>
      </c>
      <c r="E42" s="127" t="inlineStr">
        <is>
          <t>50557345573</t>
        </is>
      </c>
      <c r="F42" s="126" t="inlineStr">
        <is>
          <t>N/A</t>
        </is>
      </c>
      <c r="G42" s="126" t="inlineStr">
        <is>
          <t>N/A</t>
        </is>
      </c>
      <c r="H42" s="126" t="inlineStr">
        <is>
          <t>N/A</t>
        </is>
      </c>
      <c r="I42" s="126" t="inlineStr">
        <is>
          <t>N/A</t>
        </is>
      </c>
      <c r="J42" s="126" t="inlineStr">
        <is>
          <t>N/A</t>
        </is>
      </c>
      <c r="K42" s="126" t="inlineStr">
        <is>
          <t>N/A</t>
        </is>
      </c>
      <c r="L42" s="126" t="inlineStr">
        <is>
          <t>N/A</t>
        </is>
      </c>
      <c r="M42" s="126" t="inlineStr">
        <is>
          <t>N/A</t>
        </is>
      </c>
      <c r="N42" s="126" t="inlineStr">
        <is>
          <t>N/A</t>
        </is>
      </c>
      <c r="O42" s="126" t="inlineStr">
        <is>
          <t>N/A</t>
        </is>
      </c>
      <c r="P42" s="126" t="inlineStr">
        <is>
          <t>N/A</t>
        </is>
      </c>
    </row>
    <row r="43">
      <c r="B43" s="126" t="inlineStr">
        <is>
          <t>N/A</t>
        </is>
      </c>
      <c r="C43" s="126" t="inlineStr">
        <is>
          <t>N/A</t>
        </is>
      </c>
      <c r="D43" s="126" t="inlineStr">
        <is>
          <t>N/A</t>
        </is>
      </c>
      <c r="E43" s="127" t="inlineStr">
        <is>
          <t>50557345796</t>
        </is>
      </c>
      <c r="F43" s="126" t="inlineStr">
        <is>
          <t>N/A</t>
        </is>
      </c>
      <c r="G43" s="126" t="inlineStr">
        <is>
          <t>N/A</t>
        </is>
      </c>
      <c r="H43" s="126" t="inlineStr">
        <is>
          <t>N/A</t>
        </is>
      </c>
      <c r="I43" s="126" t="inlineStr">
        <is>
          <t>N/A</t>
        </is>
      </c>
      <c r="J43" s="126" t="inlineStr">
        <is>
          <t>N/A</t>
        </is>
      </c>
      <c r="K43" s="126" t="inlineStr">
        <is>
          <t>N/A</t>
        </is>
      </c>
      <c r="L43" s="126" t="inlineStr">
        <is>
          <t>N/A</t>
        </is>
      </c>
      <c r="M43" s="126" t="inlineStr">
        <is>
          <t>N/A</t>
        </is>
      </c>
      <c r="N43" s="126" t="inlineStr">
        <is>
          <t>N/A</t>
        </is>
      </c>
      <c r="O43" s="126" t="inlineStr">
        <is>
          <t>N/A</t>
        </is>
      </c>
      <c r="P43" s="126" t="inlineStr">
        <is>
          <t>N/A</t>
        </is>
      </c>
    </row>
  </sheetData>
  <conditionalFormatting sqref="A2:A10">
    <cfRule type="notContainsBlanks" priority="1" dxfId="0">
      <formula>LEN(TRIM(A2))&gt;0</formula>
    </cfRule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zoomScale="130" zoomScaleNormal="130" workbookViewId="0">
      <selection activeCell="B2" sqref="B2"/>
    </sheetView>
  </sheetViews>
  <sheetFormatPr baseColWidth="8" defaultColWidth="14.44140625" defaultRowHeight="15" customHeight="1"/>
  <cols>
    <col width="3.44140625" customWidth="1" min="1" max="1"/>
    <col width="36" customWidth="1" min="2" max="2"/>
    <col width="30" customWidth="1" min="3" max="3"/>
    <col width="13.33203125" customWidth="1" min="4" max="4"/>
    <col width="10.6640625" customWidth="1" min="5" max="7"/>
    <col width="24.6640625" customWidth="1" min="8" max="9"/>
    <col width="10.6640625" customWidth="1" min="10" max="10"/>
    <col width="17.44140625" customWidth="1" min="11" max="11"/>
    <col width="10.6640625" customWidth="1" min="12" max="26"/>
  </cols>
  <sheetData>
    <row r="1" ht="29.25" customHeight="1">
      <c r="A1" s="66" t="inlineStr">
        <is>
          <t xml:space="preserve"> </t>
        </is>
      </c>
      <c r="B1" s="128" t="inlineStr">
        <is>
          <t>Nombre Y Apellido</t>
        </is>
      </c>
      <c r="C1" s="129" t="inlineStr">
        <is>
          <t>Cargo</t>
        </is>
      </c>
      <c r="D1" s="129" t="inlineStr">
        <is>
          <t>Ubicacion</t>
        </is>
      </c>
      <c r="E1" s="130" t="inlineStr">
        <is>
          <t>Número</t>
        </is>
      </c>
      <c r="F1" s="130" t="inlineStr">
        <is>
          <t>Cod. Contrato</t>
        </is>
      </c>
      <c r="G1" s="130" t="inlineStr">
        <is>
          <t>No. Contrato</t>
        </is>
      </c>
      <c r="H1" s="129" t="inlineStr">
        <is>
          <t>Estado Contrato</t>
        </is>
      </c>
      <c r="I1" s="129" t="inlineStr">
        <is>
          <t>Empresa</t>
        </is>
      </c>
      <c r="J1" s="131" t="inlineStr">
        <is>
          <t>PLAN</t>
        </is>
      </c>
      <c r="K1" s="131" t="inlineStr">
        <is>
          <t>Equipo</t>
        </is>
      </c>
    </row>
    <row r="2" ht="29.25" customFormat="1" customHeight="1" s="225">
      <c r="A2" s="216" t="n">
        <v>1</v>
      </c>
      <c r="B2" s="211" t="inlineStr">
        <is>
          <t>María José Pérez</t>
        </is>
      </c>
      <c r="C2" s="249" t="inlineStr">
        <is>
          <t>Abogada</t>
        </is>
      </c>
      <c r="D2" s="246" t="inlineStr">
        <is>
          <t>Legal / CED</t>
        </is>
      </c>
      <c r="E2" s="250" t="n">
        <v>50586927561</v>
      </c>
      <c r="F2" s="250">
        <f>VLOOKUP(E2,PLAN,2,FALSE)</f>
        <v/>
      </c>
      <c r="G2" s="250">
        <f>VLOOKUP(E2,PLAN,3,FALSE)</f>
        <v/>
      </c>
      <c r="H2" s="214" t="inlineStr">
        <is>
          <t>ACTIVO</t>
        </is>
      </c>
      <c r="I2" s="214">
        <f>VLOOKUP(E2,PLAN,4,FALSE)</f>
        <v/>
      </c>
      <c r="J2" s="215" t="n">
        <v>17.99</v>
      </c>
      <c r="K2" s="215" t="inlineStr">
        <is>
          <t>SAMSUNG A33</t>
        </is>
      </c>
    </row>
    <row r="3" ht="24" customHeight="1">
      <c r="A3" s="32" t="n">
        <v>2</v>
      </c>
      <c r="B3" s="134" t="inlineStr">
        <is>
          <t>Manuel Ulloa</t>
        </is>
      </c>
      <c r="C3" s="135" t="inlineStr">
        <is>
          <t>Cabina</t>
        </is>
      </c>
      <c r="D3" s="84" t="inlineStr">
        <is>
          <t>Blokon</t>
        </is>
      </c>
      <c r="E3" s="136" t="n">
        <v>50586927557</v>
      </c>
      <c r="F3" s="136">
        <f>VLOOKUP(E3,PLAN,2,FALSE)</f>
        <v/>
      </c>
      <c r="G3" s="136">
        <f>VLOOKUP(E3,PLAN,3,FALSE)</f>
        <v/>
      </c>
      <c r="H3" s="88" t="inlineStr">
        <is>
          <t>ACTIVO</t>
        </is>
      </c>
      <c r="I3" s="88">
        <f>VLOOKUP(E3,PLAN,4,FALSE)</f>
        <v/>
      </c>
      <c r="J3" s="89" t="n">
        <v>17.99</v>
      </c>
      <c r="K3" s="89" t="inlineStr">
        <is>
          <t>SAMSUNG A52</t>
        </is>
      </c>
    </row>
    <row r="4" ht="27.75" customHeight="1">
      <c r="A4" s="32" t="n">
        <v>3</v>
      </c>
      <c r="B4" s="45" t="inlineStr">
        <is>
          <t>Roberto Obregon</t>
        </is>
      </c>
      <c r="C4" s="132" t="inlineStr">
        <is>
          <t>Encargado de Bodega BM</t>
        </is>
      </c>
      <c r="D4" s="34" t="inlineStr">
        <is>
          <t>Bismark Martinez</t>
        </is>
      </c>
      <c r="E4" s="133" t="n">
        <v>50586927563</v>
      </c>
      <c r="F4" s="133">
        <f>VLOOKUP(E4,PLAN,2,FALSE)</f>
        <v/>
      </c>
      <c r="G4" s="133">
        <f>VLOOKUP(E4,PLAN,3,FALSE)</f>
        <v/>
      </c>
      <c r="H4" s="37" t="inlineStr">
        <is>
          <t>ACTIVO</t>
        </is>
      </c>
      <c r="I4" s="37">
        <f>VLOOKUP(E4,PLAN,4,FALSE)</f>
        <v/>
      </c>
      <c r="J4" s="38" t="n">
        <v>17.99</v>
      </c>
      <c r="K4" s="137" t="inlineStr">
        <is>
          <t>Solo SIM Card</t>
        </is>
      </c>
    </row>
    <row r="5" ht="21" customHeight="1">
      <c r="A5" s="32" t="n">
        <v>4</v>
      </c>
      <c r="B5" s="45" t="inlineStr">
        <is>
          <t xml:space="preserve">Freddy Pérez </t>
        </is>
      </c>
      <c r="C5" s="132" t="inlineStr">
        <is>
          <t>Mantenimiento</t>
        </is>
      </c>
      <c r="D5" s="34" t="inlineStr">
        <is>
          <t>Blokon</t>
        </is>
      </c>
      <c r="E5" s="133" t="n">
        <v>50586927552</v>
      </c>
      <c r="F5" s="133">
        <f>VLOOKUP(E5,PLAN,2,FALSE)</f>
        <v/>
      </c>
      <c r="G5" s="133">
        <f>VLOOKUP(E5,PLAN,3,FALSE)</f>
        <v/>
      </c>
      <c r="H5" s="37" t="inlineStr">
        <is>
          <t>ACTIVO</t>
        </is>
      </c>
      <c r="I5" s="37">
        <f>VLOOKUP(E5,PLAN,4,FALSE)</f>
        <v/>
      </c>
      <c r="J5" s="38" t="n">
        <v>17.99</v>
      </c>
      <c r="K5" s="38" t="inlineStr">
        <is>
          <t>SAMSUNG A03</t>
        </is>
      </c>
    </row>
    <row r="6" ht="14.25" customHeight="1"/>
    <row r="7" ht="14.25" customHeight="1">
      <c r="B7" s="108" t="inlineStr">
        <is>
          <t>Asignados</t>
        </is>
      </c>
      <c r="C7" s="108">
        <f>+(C9-C8)</f>
        <v/>
      </c>
    </row>
    <row r="8" ht="14.25" customHeight="1">
      <c r="B8" s="138" t="inlineStr">
        <is>
          <t>Disponibles</t>
        </is>
      </c>
      <c r="C8" s="138">
        <f>COUNTBLANK(B2:B5)</f>
        <v/>
      </c>
    </row>
    <row r="9" ht="14.25" customHeight="1">
      <c r="B9" s="111" t="inlineStr">
        <is>
          <t>Total</t>
        </is>
      </c>
      <c r="C9" s="111">
        <f>+COUNT(A2:A5)</f>
        <v/>
      </c>
    </row>
    <row r="10" ht="14.25" customHeight="1"/>
    <row r="11" ht="14.25" customHeight="1"/>
    <row r="12" ht="14.25" customHeight="1"/>
    <row r="13" ht="14.25" customHeight="1">
      <c r="L13" s="139" t="n"/>
    </row>
    <row r="14" ht="14.25" customHeight="1">
      <c r="L14" s="139" t="n"/>
    </row>
    <row r="15" ht="14.25" customHeight="1">
      <c r="L15" s="139" t="n"/>
    </row>
    <row r="16" ht="14.25" customHeight="1">
      <c r="L16" s="139" t="n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</sheetData>
  <autoFilter ref="B1:J5"/>
  <conditionalFormatting sqref="A2:A5">
    <cfRule type="notContainsBlanks" priority="1" dxfId="0">
      <formula>LEN(TRIM(A2))&gt;0</formula>
    </cfRule>
  </conditionalFormatting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Z1000"/>
  <sheetViews>
    <sheetView showGridLines="0" zoomScale="160" zoomScaleNormal="160" workbookViewId="0">
      <selection activeCell="B7" sqref="B7"/>
    </sheetView>
  </sheetViews>
  <sheetFormatPr baseColWidth="8" defaultColWidth="14.44140625" defaultRowHeight="15" customHeight="1"/>
  <cols>
    <col width="3.6640625" customWidth="1" min="1" max="1"/>
    <col width="26.33203125" customWidth="1" min="2" max="2"/>
    <col width="57" customWidth="1" min="3" max="3"/>
    <col hidden="1" width="13.33203125" customWidth="1" min="4" max="4"/>
    <col width="23.88671875" customWidth="1" min="5" max="5"/>
    <col width="18.109375" customWidth="1" min="6" max="6"/>
    <col width="11.6640625" customWidth="1" min="7" max="9"/>
    <col width="11.44140625" customWidth="1" min="10" max="10"/>
    <col width="24.44140625" customWidth="1" min="11" max="11"/>
    <col width="8.5546875" customWidth="1" min="12" max="12"/>
    <col hidden="1" width="11.44140625" customWidth="1" min="13" max="13"/>
    <col hidden="1" width="10.6640625" customWidth="1" min="14" max="14"/>
    <col hidden="1" width="11.88671875" customWidth="1" min="15" max="15"/>
    <col hidden="1" width="10.6640625" customWidth="1" min="16" max="16"/>
    <col width="17.88671875" customWidth="1" min="17" max="17"/>
    <col width="10.6640625" customWidth="1" min="18" max="26"/>
  </cols>
  <sheetData>
    <row r="1" ht="18.75" customHeight="1">
      <c r="A1" s="140" t="inlineStr">
        <is>
          <t>No.</t>
        </is>
      </c>
      <c r="B1" s="141" t="inlineStr">
        <is>
          <t>Nombre Y Apellido</t>
        </is>
      </c>
      <c r="C1" s="142" t="inlineStr">
        <is>
          <t>Cargo</t>
        </is>
      </c>
      <c r="D1" s="129" t="inlineStr">
        <is>
          <t>Contrato</t>
        </is>
      </c>
      <c r="E1" s="129" t="inlineStr">
        <is>
          <t>Ubicacion</t>
        </is>
      </c>
      <c r="F1" s="130" t="inlineStr">
        <is>
          <t>Número</t>
        </is>
      </c>
      <c r="G1" s="130" t="n"/>
      <c r="H1" s="129" t="inlineStr">
        <is>
          <t>Cod. Contrato</t>
        </is>
      </c>
      <c r="I1" s="129" t="inlineStr">
        <is>
          <t>No. Contrato</t>
        </is>
      </c>
      <c r="J1" s="129" t="inlineStr">
        <is>
          <t>Estado Contrato</t>
        </is>
      </c>
      <c r="K1" s="129" t="inlineStr">
        <is>
          <t>Empresa</t>
        </is>
      </c>
      <c r="L1" s="131" t="inlineStr">
        <is>
          <t>PLAN</t>
        </is>
      </c>
      <c r="M1" s="28" t="inlineStr">
        <is>
          <t>Actual</t>
        </is>
      </c>
      <c r="N1" s="28" t="inlineStr">
        <is>
          <t>Plan Actual</t>
        </is>
      </c>
      <c r="O1" s="29" t="n"/>
      <c r="P1" s="30" t="inlineStr">
        <is>
          <t>Monto de Subsidio por plan</t>
        </is>
      </c>
      <c r="Q1" s="131" t="inlineStr">
        <is>
          <t>Equipo</t>
        </is>
      </c>
      <c r="R1" s="31" t="n"/>
      <c r="S1" s="31" t="n"/>
      <c r="T1" s="31" t="n"/>
      <c r="U1" s="31" t="n"/>
      <c r="V1" s="31" t="n"/>
      <c r="W1" s="31" t="n"/>
      <c r="X1" s="31" t="n"/>
      <c r="Y1" s="31" t="n"/>
      <c r="Z1" s="31" t="n"/>
    </row>
    <row r="2" ht="14.25" customHeight="1">
      <c r="A2" s="32" t="n">
        <v>1</v>
      </c>
      <c r="B2" s="92" t="inlineStr">
        <is>
          <t>Brenda Maria Mejía Vega</t>
        </is>
      </c>
      <c r="C2" s="94" t="inlineStr">
        <is>
          <t>Coordinadora Ventas</t>
        </is>
      </c>
      <c r="D2" s="81" t="n">
        <v>13189512</v>
      </c>
      <c r="E2" s="93" t="inlineStr">
        <is>
          <t>Ventas Cobirsa</t>
        </is>
      </c>
      <c r="F2" s="35" t="inlineStr">
        <is>
          <t>58707921</t>
        </is>
      </c>
      <c r="G2" s="35" t="n">
        <v>50558707921</v>
      </c>
      <c r="H2" s="95">
        <f>VLOOKUP(G2,PLAN,2,FALSE)</f>
        <v/>
      </c>
      <c r="I2" s="95">
        <f>VLOOKUP(G2,PLAN,3,FALSE)</f>
        <v/>
      </c>
      <c r="J2" s="95" t="inlineStr">
        <is>
          <t>ACTIVO</t>
        </is>
      </c>
      <c r="K2" s="95">
        <f>VLOOKUP(G2,PLAN,4,FALSE)</f>
        <v/>
      </c>
      <c r="L2" s="96" t="n">
        <v>25.99</v>
      </c>
      <c r="M2" s="29" t="n">
        <v>11.99</v>
      </c>
      <c r="N2" s="29" t="n">
        <v>11.99</v>
      </c>
      <c r="O2" s="29">
        <f>M2=N2</f>
        <v/>
      </c>
      <c r="P2" s="46" t="n">
        <v>53.52</v>
      </c>
      <c r="Q2" s="96" t="inlineStr">
        <is>
          <t>SAMSUNG A02s</t>
        </is>
      </c>
      <c r="R2" s="31" t="n"/>
      <c r="S2" s="31" t="n"/>
      <c r="T2" s="31" t="n"/>
      <c r="U2" s="31" t="n"/>
      <c r="V2" s="31" t="n"/>
      <c r="W2" s="31" t="n"/>
      <c r="X2" s="31" t="n"/>
      <c r="Y2" s="31" t="n"/>
      <c r="Z2" s="31" t="n"/>
    </row>
    <row r="3" ht="14.25" customHeight="1">
      <c r="A3" s="32" t="n">
        <v>2</v>
      </c>
      <c r="B3" s="92" t="inlineStr">
        <is>
          <t>Darling Sequeira</t>
        </is>
      </c>
      <c r="C3" s="94" t="inlineStr">
        <is>
          <t>Asesor Vtas Interno</t>
        </is>
      </c>
      <c r="D3" s="81" t="n">
        <v>13189621</v>
      </c>
      <c r="E3" s="93" t="inlineStr">
        <is>
          <t>Ventas Cobirsa</t>
        </is>
      </c>
      <c r="F3" s="35" t="inlineStr">
        <is>
          <t>58707972</t>
        </is>
      </c>
      <c r="G3" s="35" t="n">
        <v>50558707972</v>
      </c>
      <c r="H3" s="95">
        <f>VLOOKUP(G3,PLAN,2,FALSE)</f>
        <v/>
      </c>
      <c r="I3" s="95">
        <f>VLOOKUP(G3,PLAN,3,FALSE)</f>
        <v/>
      </c>
      <c r="J3" s="95" t="inlineStr">
        <is>
          <t>ACTIVO</t>
        </is>
      </c>
      <c r="K3" s="95">
        <f>VLOOKUP(G3,PLAN,4,FALSE)</f>
        <v/>
      </c>
      <c r="L3" s="96" t="n">
        <v>25.99</v>
      </c>
      <c r="M3" s="39" t="n">
        <v>11.99</v>
      </c>
      <c r="N3" s="39" t="n">
        <v>11.99</v>
      </c>
      <c r="O3" s="39">
        <f>M3=N3</f>
        <v/>
      </c>
      <c r="P3" s="40" t="n">
        <v>53.52</v>
      </c>
      <c r="Q3" s="96" t="inlineStr">
        <is>
          <t>SAMSUNG A15</t>
        </is>
      </c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</row>
    <row r="4" ht="14.25" customHeight="1">
      <c r="A4" s="32" t="n">
        <v>3</v>
      </c>
      <c r="B4" s="92" t="inlineStr">
        <is>
          <t>Karen Lohlofftz Acevedo</t>
        </is>
      </c>
      <c r="C4" s="94" t="inlineStr">
        <is>
          <t>Asesor Vtas Interno</t>
        </is>
      </c>
      <c r="D4" s="81" t="n">
        <v>13189684</v>
      </c>
      <c r="E4" s="93" t="inlineStr">
        <is>
          <t>Ventas Cobirsa</t>
        </is>
      </c>
      <c r="F4" s="35" t="inlineStr">
        <is>
          <t>58707994</t>
        </is>
      </c>
      <c r="G4" s="35" t="n">
        <v>50558707994</v>
      </c>
      <c r="H4" s="95">
        <f>VLOOKUP(G4,PLAN,2,FALSE)</f>
        <v/>
      </c>
      <c r="I4" s="95">
        <f>VLOOKUP(G4,PLAN,3,FALSE)</f>
        <v/>
      </c>
      <c r="J4" s="95" t="inlineStr">
        <is>
          <t>ACTIVO</t>
        </is>
      </c>
      <c r="K4" s="95">
        <f>VLOOKUP(G4,PLAN,4,FALSE)</f>
        <v/>
      </c>
      <c r="L4" s="96" t="n">
        <v>25.99</v>
      </c>
      <c r="M4" s="29" t="n">
        <v>11.99</v>
      </c>
      <c r="N4" s="29" t="n">
        <v>11.99</v>
      </c>
      <c r="O4" s="29">
        <f>M4=N4</f>
        <v/>
      </c>
      <c r="P4" s="46" t="n">
        <v>53.52</v>
      </c>
      <c r="Q4" s="143" t="inlineStr">
        <is>
          <t>SAMSUNG A15</t>
        </is>
      </c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</row>
    <row r="5" ht="14.25" customHeight="1">
      <c r="A5" s="32" t="n">
        <v>4</v>
      </c>
      <c r="B5" s="144" t="inlineStr">
        <is>
          <t>Jaime Zambrana</t>
        </is>
      </c>
      <c r="C5" s="145" t="inlineStr">
        <is>
          <t>Ingeniero Residente</t>
        </is>
      </c>
      <c r="D5" s="146" t="n">
        <v>13189730</v>
      </c>
      <c r="E5" s="147" t="inlineStr">
        <is>
          <t>Campuzano</t>
        </is>
      </c>
      <c r="F5" s="86" t="inlineStr">
        <is>
          <t>58708031</t>
        </is>
      </c>
      <c r="G5" s="86" t="n">
        <v>50558708031</v>
      </c>
      <c r="H5" s="148">
        <f>VLOOKUP(G5,PLAN,2,FALSE)</f>
        <v/>
      </c>
      <c r="I5" s="148">
        <f>VLOOKUP(G5,PLAN,3,FALSE)</f>
        <v/>
      </c>
      <c r="J5" s="148" t="inlineStr">
        <is>
          <t>ACTIVO</t>
        </is>
      </c>
      <c r="K5" s="148">
        <f>VLOOKUP(G5,PLAN,4,FALSE)</f>
        <v/>
      </c>
      <c r="L5" s="149" t="n">
        <v>25.99</v>
      </c>
      <c r="M5" s="119" t="n">
        <v>11.99</v>
      </c>
      <c r="N5" s="119" t="n">
        <v>11.99</v>
      </c>
      <c r="O5" s="119">
        <f>M5=N5</f>
        <v/>
      </c>
      <c r="P5" s="122" t="n">
        <v>53.52</v>
      </c>
      <c r="Q5" s="149" t="inlineStr">
        <is>
          <t>SAMSUNG A35</t>
        </is>
      </c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</row>
    <row r="6" ht="14.25" customFormat="1" customHeight="1" s="225">
      <c r="A6" s="216" t="n">
        <v>5</v>
      </c>
      <c r="B6" s="266" t="inlineStr">
        <is>
          <t>Andrews Rosales</t>
        </is>
      </c>
      <c r="C6" s="217" t="inlineStr">
        <is>
          <t>Auditor de Campo</t>
        </is>
      </c>
      <c r="D6" s="218" t="n">
        <v>13189769</v>
      </c>
      <c r="E6" s="219" t="inlineStr">
        <is>
          <t>Auditoria</t>
        </is>
      </c>
      <c r="F6" s="213" t="inlineStr">
        <is>
          <t>58708057</t>
        </is>
      </c>
      <c r="G6" s="213" t="inlineStr">
        <is>
          <t>50558708057</t>
        </is>
      </c>
      <c r="H6" s="220" t="n">
        <v>13189769</v>
      </c>
      <c r="I6" s="220" t="n">
        <v>10245586</v>
      </c>
      <c r="J6" s="220" t="inlineStr">
        <is>
          <t>ACTIVO</t>
        </is>
      </c>
      <c r="K6" s="220" t="inlineStr">
        <is>
          <t>New Century Builders S.A.</t>
        </is>
      </c>
      <c r="L6" s="221" t="n">
        <v>25.99</v>
      </c>
      <c r="M6" s="222" t="n">
        <v>34.99</v>
      </c>
      <c r="N6" s="222" t="n">
        <v>25.99</v>
      </c>
      <c r="O6" s="222">
        <f>M6=N6</f>
        <v/>
      </c>
      <c r="P6" s="223" t="n">
        <v>30</v>
      </c>
      <c r="Q6" s="221" t="inlineStr">
        <is>
          <t>SAMSUNG A15</t>
        </is>
      </c>
      <c r="R6" s="224" t="n"/>
      <c r="S6" s="224" t="n"/>
      <c r="T6" s="224" t="n"/>
      <c r="U6" s="224" t="n"/>
      <c r="V6" s="224" t="n"/>
      <c r="W6" s="224" t="n"/>
      <c r="X6" s="224" t="n"/>
      <c r="Y6" s="224" t="n"/>
      <c r="Z6" s="224" t="n"/>
    </row>
    <row r="7" ht="14.25" customHeight="1">
      <c r="A7" s="32" t="n">
        <v>6</v>
      </c>
      <c r="B7" s="45" t="inlineStr">
        <is>
          <t>Helman Ramirez</t>
        </is>
      </c>
      <c r="C7" s="45" t="inlineStr">
        <is>
          <t>Ingeniero Residente</t>
        </is>
      </c>
      <c r="D7" s="64" t="n"/>
      <c r="E7" s="93" t="inlineStr">
        <is>
          <t>Q66 /CED</t>
        </is>
      </c>
      <c r="F7" s="35" t="n">
        <v>58709120</v>
      </c>
      <c r="G7" s="35" t="n">
        <v>50558709120</v>
      </c>
      <c r="H7" s="95">
        <f>VLOOKUP(G7,PLAN,2,FALSE)</f>
        <v/>
      </c>
      <c r="I7" s="95">
        <f>VLOOKUP(G7,PLAN,3,FALSE)</f>
        <v/>
      </c>
      <c r="J7" s="95" t="inlineStr">
        <is>
          <t>ACTIVO</t>
        </is>
      </c>
      <c r="K7" s="95">
        <f>VLOOKUP(G7,PLAN,4,FALSE)</f>
        <v/>
      </c>
      <c r="L7" s="96" t="n">
        <v>25.99</v>
      </c>
      <c r="M7" s="29" t="n">
        <v>34.99</v>
      </c>
      <c r="N7" s="29" t="n">
        <v>34.99</v>
      </c>
      <c r="O7" s="29">
        <f>M7=N7</f>
        <v/>
      </c>
      <c r="P7" s="46" t="n">
        <v>36</v>
      </c>
      <c r="Q7" s="96" t="inlineStr">
        <is>
          <t>SAMSUNG A35</t>
        </is>
      </c>
      <c r="R7" s="31" t="n"/>
      <c r="S7" s="31" t="n"/>
      <c r="T7" s="31" t="n"/>
      <c r="U7" s="31" t="n"/>
      <c r="V7" s="31" t="n"/>
      <c r="W7" s="31" t="n"/>
      <c r="X7" s="31" t="n"/>
      <c r="Y7" s="31" t="n"/>
      <c r="Z7" s="31" t="n"/>
    </row>
    <row r="8" ht="14.25" customHeight="1">
      <c r="A8" s="32" t="n">
        <v>7</v>
      </c>
      <c r="B8" s="92" t="inlineStr">
        <is>
          <t>Maryeling Rivas</t>
        </is>
      </c>
      <c r="C8" s="94" t="inlineStr">
        <is>
          <t>Oficial de Reclutamiento</t>
        </is>
      </c>
      <c r="D8" s="81" t="n">
        <v>13190469</v>
      </c>
      <c r="E8" s="93" t="inlineStr">
        <is>
          <t>RRHH</t>
        </is>
      </c>
      <c r="F8" s="35" t="inlineStr">
        <is>
          <t>58710851</t>
        </is>
      </c>
      <c r="G8" s="35" t="n">
        <v>50558710851</v>
      </c>
      <c r="H8" s="95">
        <f>VLOOKUP(G8,PLAN,2,FALSE)</f>
        <v/>
      </c>
      <c r="I8" s="95">
        <f>VLOOKUP(G8,PLAN,3,FALSE)</f>
        <v/>
      </c>
      <c r="J8" s="95" t="inlineStr">
        <is>
          <t>ACTIVO</t>
        </is>
      </c>
      <c r="K8" s="95">
        <f>VLOOKUP(G8,PLAN,4,FALSE)</f>
        <v/>
      </c>
      <c r="L8" s="96" t="n">
        <v>25.99</v>
      </c>
      <c r="M8" s="39" t="n">
        <v>34.99</v>
      </c>
      <c r="N8" s="39" t="n">
        <v>11.99</v>
      </c>
      <c r="O8" s="39">
        <f>M8=N8</f>
        <v/>
      </c>
      <c r="P8" s="40" t="n">
        <v>53.52</v>
      </c>
      <c r="Q8" s="96" t="inlineStr">
        <is>
          <t>SAMSUNG A15</t>
        </is>
      </c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</row>
    <row r="9" ht="14.25" customHeight="1">
      <c r="A9" s="32" t="n">
        <v>8</v>
      </c>
      <c r="B9" s="92" t="inlineStr">
        <is>
          <t>Marjurie Lopez</t>
        </is>
      </c>
      <c r="C9" s="94" t="inlineStr">
        <is>
          <t>Asistente Administrativa</t>
        </is>
      </c>
      <c r="D9" s="81" t="n">
        <v>13190965</v>
      </c>
      <c r="E9" s="93" t="inlineStr">
        <is>
          <t xml:space="preserve">Compras Builders </t>
        </is>
      </c>
      <c r="F9" s="35" t="inlineStr">
        <is>
          <t>58710960</t>
        </is>
      </c>
      <c r="G9" s="35" t="n">
        <v>50558710960</v>
      </c>
      <c r="H9" s="95">
        <f>VLOOKUP(G9,PLAN,2,FALSE)</f>
        <v/>
      </c>
      <c r="I9" s="95">
        <f>VLOOKUP(G9,PLAN,3,FALSE)</f>
        <v/>
      </c>
      <c r="J9" s="95" t="inlineStr">
        <is>
          <t>ACTIVO</t>
        </is>
      </c>
      <c r="K9" s="95">
        <f>VLOOKUP(G9,PLAN,4,FALSE)</f>
        <v/>
      </c>
      <c r="L9" s="96" t="n">
        <v>25.99</v>
      </c>
      <c r="M9" s="29" t="n">
        <v>34.99</v>
      </c>
      <c r="N9" s="29" t="n">
        <v>34.99</v>
      </c>
      <c r="O9" s="29">
        <f>M9=N9</f>
        <v/>
      </c>
      <c r="P9" s="46" t="n">
        <v>36</v>
      </c>
      <c r="Q9" s="96" t="inlineStr">
        <is>
          <t>SAMSUNG A15</t>
        </is>
      </c>
      <c r="R9" s="31" t="n"/>
      <c r="S9" s="31" t="n"/>
      <c r="T9" s="31" t="n"/>
      <c r="U9" s="31" t="n"/>
      <c r="V9" s="31" t="n"/>
      <c r="W9" s="31" t="n"/>
      <c r="X9" s="31" t="n"/>
      <c r="Y9" s="31" t="n"/>
      <c r="Z9" s="31" t="n"/>
    </row>
    <row r="10" ht="14.25" customFormat="1" customHeight="1" s="225">
      <c r="A10" s="216" t="n">
        <v>9</v>
      </c>
      <c r="B10" s="266" t="inlineStr">
        <is>
          <t>Laura García</t>
        </is>
      </c>
      <c r="C10" s="217" t="inlineStr">
        <is>
          <t>Arquitecta</t>
        </is>
      </c>
      <c r="D10" s="218" t="n">
        <v>13191069</v>
      </c>
      <c r="E10" s="219" t="inlineStr">
        <is>
          <t>Operaciones/CED</t>
        </is>
      </c>
      <c r="F10" s="213" t="inlineStr">
        <is>
          <t>58711015</t>
        </is>
      </c>
      <c r="G10" s="213" t="n">
        <v>50558711015</v>
      </c>
      <c r="H10" s="220">
        <f>VLOOKUP(G10,PLAN,2,FALSE)</f>
        <v/>
      </c>
      <c r="I10" s="220">
        <f>VLOOKUP(G10,PLAN,3,FALSE)</f>
        <v/>
      </c>
      <c r="J10" s="220" t="inlineStr">
        <is>
          <t>ACTIVO</t>
        </is>
      </c>
      <c r="K10" s="220">
        <f>VLOOKUP(G10,PLAN,4,FALSE)</f>
        <v/>
      </c>
      <c r="L10" s="221" t="n">
        <v>25.99</v>
      </c>
      <c r="M10" s="222" t="n">
        <v>34.99</v>
      </c>
      <c r="N10" s="222" t="n">
        <v>34.99</v>
      </c>
      <c r="O10" s="222">
        <f>M10=N10</f>
        <v/>
      </c>
      <c r="P10" s="223" t="n">
        <v>36</v>
      </c>
      <c r="Q10" s="221" t="inlineStr">
        <is>
          <t>SAMSUNG A35</t>
        </is>
      </c>
      <c r="R10" s="224" t="n"/>
      <c r="S10" s="224" t="n"/>
      <c r="T10" s="224" t="n"/>
      <c r="U10" s="224" t="n"/>
      <c r="V10" s="224" t="n"/>
      <c r="W10" s="224" t="n"/>
      <c r="X10" s="224" t="n"/>
      <c r="Y10" s="224" t="n"/>
      <c r="Z10" s="224" t="n"/>
    </row>
    <row r="11" ht="12.75" customHeight="1">
      <c r="A11" s="32" t="n">
        <v>10</v>
      </c>
      <c r="B11" s="92" t="inlineStr">
        <is>
          <t>Sugey López</t>
        </is>
      </c>
      <c r="C11" s="42" t="inlineStr">
        <is>
          <t>Ejecutiva de Mercadeo</t>
        </is>
      </c>
      <c r="D11" s="82" t="n">
        <v>13969427</v>
      </c>
      <c r="E11" s="34" t="inlineStr">
        <is>
          <t>Ventas Cobirsa</t>
        </is>
      </c>
      <c r="F11" s="35" t="inlineStr">
        <is>
          <t>86064797</t>
        </is>
      </c>
      <c r="G11" s="37" t="n">
        <v>50586064797</v>
      </c>
      <c r="H11" s="95">
        <f>VLOOKUP(G11,PLAN,2,FALSE)</f>
        <v/>
      </c>
      <c r="I11" s="95">
        <f>VLOOKUP(G11,PLAN,3,FALSE)</f>
        <v/>
      </c>
      <c r="J11" s="37" t="inlineStr">
        <is>
          <t>ACTIVO</t>
        </is>
      </c>
      <c r="K11" s="95">
        <f>VLOOKUP(G11,PLAN,4,FALSE)</f>
        <v/>
      </c>
      <c r="L11" s="38" t="n">
        <v>25.99</v>
      </c>
      <c r="M11" s="29" t="n">
        <v>34.99</v>
      </c>
      <c r="N11" s="29" t="n">
        <v>34.99</v>
      </c>
      <c r="O11" s="29">
        <f>M11=N11</f>
        <v/>
      </c>
      <c r="P11" s="46" t="n">
        <v>36</v>
      </c>
      <c r="Q11" s="38" t="inlineStr">
        <is>
          <t>SAMSUNG A33</t>
        </is>
      </c>
      <c r="R11" s="31" t="n"/>
      <c r="S11" s="31" t="n"/>
      <c r="T11" s="31" t="n"/>
      <c r="U11" s="31" t="n"/>
      <c r="V11" s="31" t="n"/>
      <c r="W11" s="31" t="n"/>
      <c r="X11" s="31" t="n"/>
      <c r="Y11" s="31" t="n"/>
      <c r="Z11" s="31" t="n"/>
    </row>
    <row r="12" ht="12.75" customHeight="1">
      <c r="A12" s="32" t="n">
        <v>11</v>
      </c>
      <c r="B12" s="92" t="inlineStr">
        <is>
          <t>Josseling Mercado</t>
        </is>
      </c>
      <c r="C12" s="42" t="inlineStr">
        <is>
          <t>Ingeniero Residente La Sabana</t>
        </is>
      </c>
      <c r="D12" s="82" t="n">
        <v>13969479</v>
      </c>
      <c r="E12" s="34" t="inlineStr">
        <is>
          <t>La Sabana</t>
        </is>
      </c>
      <c r="F12" s="35" t="inlineStr">
        <is>
          <t>86064831</t>
        </is>
      </c>
      <c r="G12" s="37" t="n">
        <v>50586064831</v>
      </c>
      <c r="H12" s="95">
        <f>VLOOKUP(G12,PLAN,2,FALSE)</f>
        <v/>
      </c>
      <c r="I12" s="95">
        <f>VLOOKUP(G12,PLAN,3,FALSE)</f>
        <v/>
      </c>
      <c r="J12" s="37" t="inlineStr">
        <is>
          <t>ACTIVO</t>
        </is>
      </c>
      <c r="K12" s="95">
        <f>VLOOKUP(G12,PLAN,4,FALSE)</f>
        <v/>
      </c>
      <c r="L12" s="38" t="n">
        <v>25.99</v>
      </c>
      <c r="M12" s="39" t="n">
        <v>34.99</v>
      </c>
      <c r="N12" s="39" t="n">
        <v>25.99</v>
      </c>
      <c r="O12" s="39">
        <f>M12=N12</f>
        <v/>
      </c>
      <c r="P12" s="40" t="n">
        <v>30</v>
      </c>
      <c r="Q12" s="96" t="inlineStr">
        <is>
          <t>SAMSUNG A12</t>
        </is>
      </c>
      <c r="R12" s="31" t="n"/>
      <c r="S12" s="31" t="n"/>
      <c r="T12" s="31" t="n"/>
      <c r="U12" s="31" t="n"/>
      <c r="V12" s="31" t="n"/>
      <c r="W12" s="31" t="n"/>
      <c r="X12" s="31" t="n"/>
      <c r="Y12" s="31" t="n"/>
      <c r="Z12" s="31" t="n"/>
    </row>
    <row r="13" ht="12.75" customHeight="1">
      <c r="A13" s="32" t="n">
        <v>12</v>
      </c>
      <c r="B13" s="92" t="inlineStr">
        <is>
          <t>Luis deJesus Correo</t>
        </is>
      </c>
      <c r="C13" s="94" t="inlineStr">
        <is>
          <t>Asesor  Praderas del Mombacho</t>
        </is>
      </c>
      <c r="D13" s="81" t="n">
        <v>13969516</v>
      </c>
      <c r="E13" s="93" t="inlineStr">
        <is>
          <t>Praderas Mombacho/HOME</t>
        </is>
      </c>
      <c r="F13" s="35" t="inlineStr">
        <is>
          <t>86064871</t>
        </is>
      </c>
      <c r="G13" s="95" t="n">
        <v>50586064871</v>
      </c>
      <c r="H13" s="95">
        <f>VLOOKUP(G13,PLAN,2,FALSE)</f>
        <v/>
      </c>
      <c r="I13" s="95">
        <f>VLOOKUP(G13,PLAN,3,FALSE)</f>
        <v/>
      </c>
      <c r="J13" s="95" t="inlineStr">
        <is>
          <t>ACTIVO</t>
        </is>
      </c>
      <c r="K13" s="95">
        <f>VLOOKUP(G13,PLAN,4,FALSE)</f>
        <v/>
      </c>
      <c r="L13" s="96" t="n">
        <v>25.99</v>
      </c>
      <c r="M13" s="150" t="n">
        <v>11.99</v>
      </c>
      <c r="N13" s="150" t="n">
        <v>11.99</v>
      </c>
      <c r="O13" s="150">
        <f>M13=N13</f>
        <v/>
      </c>
      <c r="P13" s="151" t="n">
        <v>53.52</v>
      </c>
      <c r="Q13" s="96" t="inlineStr">
        <is>
          <t>SAMSUNG S22</t>
        </is>
      </c>
      <c r="R13" s="152" t="n"/>
      <c r="S13" s="152" t="n"/>
      <c r="T13" s="152" t="n"/>
      <c r="U13" s="152" t="n"/>
      <c r="V13" s="152" t="n"/>
      <c r="W13" s="152" t="n"/>
      <c r="X13" s="152" t="n"/>
      <c r="Y13" s="152" t="n"/>
      <c r="Z13" s="152" t="n"/>
    </row>
    <row r="14" ht="12" customFormat="1" customHeight="1" s="225">
      <c r="A14" s="239" t="n">
        <v>13</v>
      </c>
      <c r="B14" s="266" t="inlineStr">
        <is>
          <t>Supervisor de campo Security</t>
        </is>
      </c>
      <c r="C14" s="227" t="inlineStr">
        <is>
          <t>SUPERVISOR MANAGUA</t>
        </is>
      </c>
      <c r="D14" s="229" t="n">
        <v>13969551</v>
      </c>
      <c r="E14" s="246" t="inlineStr">
        <is>
          <t>Security</t>
        </is>
      </c>
      <c r="F14" s="213" t="inlineStr">
        <is>
          <t>86064899</t>
        </is>
      </c>
      <c r="G14" s="214" t="n">
        <v>50586064899</v>
      </c>
      <c r="H14" s="220">
        <f>VLOOKUP(G14,PLAN,2,FALSE)</f>
        <v/>
      </c>
      <c r="I14" s="220">
        <f>VLOOKUP(G14,PLAN,3,FALSE)</f>
        <v/>
      </c>
      <c r="J14" s="214" t="inlineStr">
        <is>
          <t>ACTIVO</t>
        </is>
      </c>
      <c r="K14" s="220">
        <f>VLOOKUP(G14,PLAN,4,FALSE)</f>
        <v/>
      </c>
      <c r="L14" s="215" t="n">
        <v>25.99</v>
      </c>
      <c r="M14" s="230" t="n">
        <v>11.99</v>
      </c>
      <c r="N14" s="230" t="n">
        <v>11.99</v>
      </c>
      <c r="O14" s="230">
        <f>M14=N14</f>
        <v/>
      </c>
      <c r="P14" s="267" t="n">
        <v>53.52</v>
      </c>
      <c r="Q14" s="215" t="inlineStr">
        <is>
          <t>SAMSUNG A03</t>
        </is>
      </c>
      <c r="R14" s="243" t="n"/>
      <c r="S14" s="243" t="n"/>
      <c r="T14" s="243" t="n"/>
      <c r="U14" s="243" t="n"/>
      <c r="V14" s="243" t="n"/>
      <c r="W14" s="243" t="n"/>
      <c r="X14" s="243" t="n"/>
      <c r="Y14" s="243" t="n"/>
      <c r="Z14" s="243" t="n"/>
    </row>
    <row r="15" ht="13.5" customFormat="1" customHeight="1" s="225">
      <c r="A15" s="216" t="n">
        <v>14</v>
      </c>
      <c r="B15" s="266" t="inlineStr">
        <is>
          <t>Francisco Martinez</t>
        </is>
      </c>
      <c r="C15" s="217" t="inlineStr">
        <is>
          <t xml:space="preserve">Oficial de Cumplimiento </t>
        </is>
      </c>
      <c r="D15" s="218" t="n">
        <v>13969739</v>
      </c>
      <c r="E15" s="219" t="inlineStr">
        <is>
          <t>Prestamax</t>
        </is>
      </c>
      <c r="F15" s="213" t="inlineStr">
        <is>
          <t>86064982</t>
        </is>
      </c>
      <c r="G15" s="220" t="n">
        <v>50586064982</v>
      </c>
      <c r="H15" s="220">
        <f>VLOOKUP(G15,PLAN,2,FALSE)</f>
        <v/>
      </c>
      <c r="I15" s="220">
        <f>VLOOKUP(G15,PLAN,3,FALSE)</f>
        <v/>
      </c>
      <c r="J15" s="220" t="inlineStr">
        <is>
          <t>ACTIVO</t>
        </is>
      </c>
      <c r="K15" s="220">
        <f>VLOOKUP(G15,PLAN,4,FALSE)</f>
        <v/>
      </c>
      <c r="L15" s="221" t="n">
        <v>25.99</v>
      </c>
      <c r="M15" s="222" t="n">
        <v>11.99</v>
      </c>
      <c r="N15" s="222" t="n">
        <v>11.99</v>
      </c>
      <c r="O15" s="222">
        <f>M15=N15</f>
        <v/>
      </c>
      <c r="P15" s="223" t="n">
        <v>53.52</v>
      </c>
      <c r="Q15" s="221" t="inlineStr">
        <is>
          <t>SAMSUNG A15</t>
        </is>
      </c>
      <c r="R15" s="224" t="n"/>
      <c r="S15" s="224" t="n"/>
      <c r="T15" s="224" t="n"/>
      <c r="U15" s="224" t="n"/>
      <c r="V15" s="224" t="n"/>
      <c r="W15" s="224" t="n"/>
      <c r="X15" s="224" t="n"/>
      <c r="Y15" s="224" t="n"/>
      <c r="Z15" s="224" t="n"/>
    </row>
    <row r="16" ht="13.5" customHeight="1">
      <c r="A16" s="32" t="n">
        <v>15</v>
      </c>
      <c r="B16" s="92" t="inlineStr">
        <is>
          <t>Jonathan Silva</t>
        </is>
      </c>
      <c r="C16" s="94" t="inlineStr">
        <is>
          <t>Exoneraciones</t>
        </is>
      </c>
      <c r="D16" s="81" t="n">
        <v>13969899</v>
      </c>
      <c r="E16" s="93" t="inlineStr">
        <is>
          <t>Exoneraciones/CED</t>
        </is>
      </c>
      <c r="F16" s="35" t="inlineStr">
        <is>
          <t>86065031</t>
        </is>
      </c>
      <c r="G16" s="95" t="n">
        <v>50586065031</v>
      </c>
      <c r="H16" s="95">
        <f>VLOOKUP(G16,PLAN,2,FALSE)</f>
        <v/>
      </c>
      <c r="I16" s="95">
        <f>VLOOKUP(G16,PLAN,3,FALSE)</f>
        <v/>
      </c>
      <c r="J16" s="95" t="inlineStr">
        <is>
          <t>ACTIVO</t>
        </is>
      </c>
      <c r="K16" s="95">
        <f>VLOOKUP(G16,PLAN,4,FALSE)</f>
        <v/>
      </c>
      <c r="L16" s="96" t="n">
        <v>25.99</v>
      </c>
      <c r="M16" s="29" t="n">
        <v>11.99</v>
      </c>
      <c r="N16" s="29" t="n">
        <v>11.99</v>
      </c>
      <c r="O16" s="29">
        <f>M16=N16</f>
        <v/>
      </c>
      <c r="P16" s="46" t="n">
        <v>53.52</v>
      </c>
      <c r="Q16" s="96" t="inlineStr">
        <is>
          <t>SAMSUNG S22</t>
        </is>
      </c>
      <c r="R16" s="31" t="n"/>
      <c r="S16" s="31" t="n"/>
      <c r="T16" s="31" t="n"/>
      <c r="U16" s="31" t="n"/>
      <c r="V16" s="31" t="n"/>
      <c r="W16" s="31" t="n"/>
      <c r="X16" s="31" t="n"/>
      <c r="Y16" s="31" t="n"/>
      <c r="Z16" s="31" t="n"/>
    </row>
    <row r="17" ht="12" customFormat="1" customHeight="1" s="225">
      <c r="A17" s="216" t="n">
        <v>16</v>
      </c>
      <c r="B17" s="226" t="inlineStr">
        <is>
          <t>Roger Gomez</t>
        </is>
      </c>
      <c r="C17" s="227" t="inlineStr">
        <is>
          <t>Gerente de Proyecto (Caso Especial)</t>
        </is>
      </c>
      <c r="D17" s="218" t="n"/>
      <c r="E17" s="219" t="inlineStr">
        <is>
          <t>Blokon</t>
        </is>
      </c>
      <c r="F17" s="213" t="inlineStr">
        <is>
          <t>86064968</t>
        </is>
      </c>
      <c r="G17" s="213" t="n">
        <v>50586064968</v>
      </c>
      <c r="H17" s="220">
        <f>VLOOKUP(G17,PLAN,2,FALSE)</f>
        <v/>
      </c>
      <c r="I17" s="220">
        <f>VLOOKUP(G17,PLAN,3,FALSE)</f>
        <v/>
      </c>
      <c r="J17" s="220" t="inlineStr">
        <is>
          <t>ACTIVO</t>
        </is>
      </c>
      <c r="K17" s="220">
        <f>VLOOKUP(G17,PLAN,4,FALSE)</f>
        <v/>
      </c>
      <c r="L17" s="221" t="n">
        <v>25.99</v>
      </c>
      <c r="M17" s="39" t="n">
        <v>11.99</v>
      </c>
      <c r="N17" s="39" t="n">
        <v>25.99</v>
      </c>
      <c r="O17" s="39">
        <f>M17=N17</f>
        <v/>
      </c>
      <c r="P17" s="40" t="n">
        <v>30</v>
      </c>
      <c r="Q17" s="221" t="inlineStr">
        <is>
          <t>SAMSUNG S24+</t>
        </is>
      </c>
      <c r="R17" s="224" t="n"/>
      <c r="S17" s="224" t="n"/>
      <c r="T17" s="224" t="n"/>
      <c r="U17" s="224" t="n"/>
      <c r="V17" s="224" t="n"/>
      <c r="W17" s="224" t="n"/>
      <c r="X17" s="224" t="n"/>
      <c r="Y17" s="224" t="n"/>
      <c r="Z17" s="224" t="n"/>
    </row>
    <row r="18" ht="14.25" customFormat="1" customHeight="1" s="225">
      <c r="A18" s="216" t="n">
        <v>17</v>
      </c>
      <c r="B18" s="268" t="inlineStr">
        <is>
          <t>Mauricio Gutierrez</t>
        </is>
      </c>
      <c r="C18" s="269" t="inlineStr">
        <is>
          <t>Maestro de Urbanizacion</t>
        </is>
      </c>
      <c r="D18" s="270" t="n">
        <v>13189752</v>
      </c>
      <c r="E18" s="271" t="inlineStr">
        <is>
          <t>G66/CED</t>
        </is>
      </c>
      <c r="F18" s="272" t="inlineStr">
        <is>
          <t>58708017</t>
        </is>
      </c>
      <c r="G18" s="272" t="inlineStr">
        <is>
          <t>50558708017</t>
        </is>
      </c>
      <c r="H18" s="273" t="n">
        <v>13189752</v>
      </c>
      <c r="I18" s="273" t="n">
        <v>10245586</v>
      </c>
      <c r="J18" s="273" t="inlineStr">
        <is>
          <t>ACTIVO</t>
        </is>
      </c>
      <c r="K18" s="273" t="inlineStr">
        <is>
          <t>New Century Builders S.A.</t>
        </is>
      </c>
      <c r="L18" s="274" t="n">
        <v>25.99</v>
      </c>
      <c r="M18" s="275" t="n">
        <v>11.99</v>
      </c>
      <c r="N18" s="275" t="n">
        <v>11.99</v>
      </c>
      <c r="O18" s="275">
        <f>M18=N18</f>
        <v/>
      </c>
      <c r="P18" s="276" t="n">
        <v>53.52</v>
      </c>
      <c r="Q18" s="274" t="inlineStr">
        <is>
          <t>SAMSUNG A23</t>
        </is>
      </c>
      <c r="R18" s="224" t="n"/>
      <c r="S18" s="224" t="n"/>
      <c r="T18" s="224" t="n"/>
      <c r="U18" s="224" t="n"/>
      <c r="V18" s="224" t="n"/>
      <c r="W18" s="224" t="n"/>
      <c r="X18" s="224" t="n"/>
      <c r="Y18" s="224" t="n"/>
      <c r="Z18" s="224" t="n"/>
    </row>
    <row r="19" ht="14.25" customHeight="1">
      <c r="A19" s="32" t="n">
        <v>18</v>
      </c>
      <c r="B19" s="92" t="inlineStr">
        <is>
          <t>Irene Bravo</t>
        </is>
      </c>
      <c r="C19" s="94" t="inlineStr">
        <is>
          <t>Entrega de casa</t>
        </is>
      </c>
      <c r="D19" s="153" t="n">
        <v>13191085</v>
      </c>
      <c r="E19" s="93" t="inlineStr">
        <is>
          <t>Campuzano</t>
        </is>
      </c>
      <c r="F19" s="35" t="inlineStr">
        <is>
          <t>58711024</t>
        </is>
      </c>
      <c r="G19" s="35" t="n">
        <v>50558711024</v>
      </c>
      <c r="H19" s="95">
        <f>VLOOKUP(G19,PLAN,2,FALSE)</f>
        <v/>
      </c>
      <c r="I19" s="95">
        <f>VLOOKUP(G19,PLAN,3,FALSE)</f>
        <v/>
      </c>
      <c r="J19" s="95" t="inlineStr">
        <is>
          <t>ACTIVO</t>
        </is>
      </c>
      <c r="K19" s="95">
        <f>VLOOKUP(G19,PLAN,4,FALSE)</f>
        <v/>
      </c>
      <c r="L19" s="96" t="n">
        <v>25.99</v>
      </c>
      <c r="M19" s="58" t="n">
        <v>11.99</v>
      </c>
      <c r="N19" s="58" t="n">
        <v>11.99</v>
      </c>
      <c r="O19" s="58">
        <f>M19=N19</f>
        <v/>
      </c>
      <c r="P19" s="59" t="n">
        <v>53.52</v>
      </c>
      <c r="Q19" s="96" t="inlineStr">
        <is>
          <t>SAMSUNG A35</t>
        </is>
      </c>
      <c r="R19" s="31" t="n"/>
      <c r="S19" s="31" t="n"/>
      <c r="T19" s="31" t="n"/>
      <c r="U19" s="31" t="n"/>
      <c r="V19" s="31" t="n"/>
      <c r="W19" s="31" t="n"/>
      <c r="X19" s="31" t="n"/>
      <c r="Y19" s="31" t="n"/>
      <c r="Z19" s="31" t="n"/>
    </row>
    <row r="20" ht="14.25" customFormat="1" customHeight="1" s="225">
      <c r="A20" s="216" t="n">
        <v>19</v>
      </c>
      <c r="B20" s="266" t="inlineStr">
        <is>
          <t>Yaser Martínez</t>
        </is>
      </c>
      <c r="C20" s="217" t="inlineStr">
        <is>
          <t>Fiscal de Equipos</t>
        </is>
      </c>
      <c r="D20" s="218" t="n">
        <v>13191369</v>
      </c>
      <c r="E20" s="219" t="inlineStr">
        <is>
          <t>G66/CED</t>
        </is>
      </c>
      <c r="F20" s="213" t="inlineStr">
        <is>
          <t>58711064</t>
        </is>
      </c>
      <c r="G20" s="213" t="n">
        <v>50558711064</v>
      </c>
      <c r="H20" s="220">
        <f>VLOOKUP(G20,PLAN,2,FALSE)</f>
        <v/>
      </c>
      <c r="I20" s="220">
        <f>VLOOKUP(G20,PLAN,3,FALSE)</f>
        <v/>
      </c>
      <c r="J20" s="220" t="inlineStr">
        <is>
          <t>ACTIVO</t>
        </is>
      </c>
      <c r="K20" s="220">
        <f>VLOOKUP(G20,PLAN,4,FALSE)</f>
        <v/>
      </c>
      <c r="L20" s="221" t="n">
        <v>25.99</v>
      </c>
      <c r="M20" s="222" t="n">
        <v>11.99</v>
      </c>
      <c r="N20" s="222" t="n">
        <v>34.99</v>
      </c>
      <c r="O20" s="222">
        <f>M20=N20</f>
        <v/>
      </c>
      <c r="P20" s="223" t="n">
        <v>36</v>
      </c>
      <c r="Q20" s="221" t="inlineStr">
        <is>
          <t>SAMSUNG A15</t>
        </is>
      </c>
      <c r="R20" s="224" t="n"/>
      <c r="S20" s="224" t="n"/>
      <c r="T20" s="224" t="n"/>
      <c r="U20" s="224" t="n"/>
      <c r="V20" s="224" t="n"/>
      <c r="W20" s="224" t="n"/>
      <c r="X20" s="224" t="n"/>
      <c r="Y20" s="224" t="n"/>
      <c r="Z20" s="224" t="n"/>
    </row>
    <row r="21" ht="17.25" customFormat="1" customHeight="1" s="225">
      <c r="A21" s="216" t="n">
        <v>20</v>
      </c>
      <c r="B21" s="268" t="inlineStr">
        <is>
          <t>Luis Montiel</t>
        </is>
      </c>
      <c r="C21" s="269" t="inlineStr">
        <is>
          <t>Maestro de Obra CED</t>
        </is>
      </c>
      <c r="D21" s="270" t="n">
        <v>13190625</v>
      </c>
      <c r="E21" s="271" t="inlineStr">
        <is>
          <t>CED</t>
        </is>
      </c>
      <c r="F21" s="272" t="inlineStr">
        <is>
          <t>58710798</t>
        </is>
      </c>
      <c r="G21" s="272" t="n">
        <v>50558710798</v>
      </c>
      <c r="H21" s="273">
        <f>VLOOKUP(G21,PLAN,2,FALSE)</f>
        <v/>
      </c>
      <c r="I21" s="273">
        <f>VLOOKUP(G21,PLAN,3,FALSE)</f>
        <v/>
      </c>
      <c r="J21" s="273" t="inlineStr">
        <is>
          <t>ACTIVO</t>
        </is>
      </c>
      <c r="K21" s="273">
        <f>VLOOKUP(G21,PLAN,4,FALSE)</f>
        <v/>
      </c>
      <c r="L21" s="274" t="n">
        <v>25.99</v>
      </c>
      <c r="M21" s="275" t="n">
        <v>34.99</v>
      </c>
      <c r="N21" s="275" t="n">
        <v>34.99</v>
      </c>
      <c r="O21" s="275">
        <f>M21=N21</f>
        <v/>
      </c>
      <c r="P21" s="276" t="n">
        <v>36</v>
      </c>
      <c r="Q21" s="277" t="inlineStr">
        <is>
          <t>Solo SIM Card</t>
        </is>
      </c>
      <c r="R21" s="224" t="n"/>
      <c r="S21" s="224" t="n"/>
      <c r="T21" s="224" t="n"/>
      <c r="U21" s="224" t="n"/>
      <c r="V21" s="224" t="n"/>
      <c r="W21" s="224" t="n"/>
      <c r="X21" s="224" t="n"/>
      <c r="Y21" s="224" t="n"/>
      <c r="Z21" s="224" t="n"/>
    </row>
    <row r="22" ht="14.25" customHeight="1">
      <c r="A22" s="32" t="n">
        <v>21</v>
      </c>
      <c r="B22" s="92" t="inlineStr">
        <is>
          <t>Ervin Ortega</t>
        </is>
      </c>
      <c r="C22" s="92" t="inlineStr">
        <is>
          <t>Ingeniero Residente</t>
        </is>
      </c>
      <c r="D22" s="153" t="n">
        <v>13191285</v>
      </c>
      <c r="E22" s="93" t="inlineStr">
        <is>
          <t>Mombacho/HOME</t>
        </is>
      </c>
      <c r="F22" s="35" t="inlineStr">
        <is>
          <t>58711029</t>
        </is>
      </c>
      <c r="G22" s="95" t="n">
        <v>50558711029</v>
      </c>
      <c r="H22" s="95">
        <f>VLOOKUP(G22,PLAN,2,FALSE)</f>
        <v/>
      </c>
      <c r="I22" s="95">
        <f>VLOOKUP(G22,PLAN,3,FALSE)</f>
        <v/>
      </c>
      <c r="J22" s="95" t="inlineStr">
        <is>
          <t>ACTIVO</t>
        </is>
      </c>
      <c r="K22" s="95">
        <f>VLOOKUP(G22,PLAN,4,FALSE)</f>
        <v/>
      </c>
      <c r="L22" s="96" t="n">
        <v>25.99</v>
      </c>
      <c r="M22" s="49" t="n">
        <v>34.99</v>
      </c>
      <c r="N22" s="49" t="n">
        <v>34.99</v>
      </c>
      <c r="O22" s="49">
        <f>M22=N22</f>
        <v/>
      </c>
      <c r="P22" s="50" t="n">
        <v>36</v>
      </c>
      <c r="Q22" s="96" t="inlineStr">
        <is>
          <t>SAMSUNG A35</t>
        </is>
      </c>
      <c r="R22" s="31" t="n"/>
      <c r="S22" s="31" t="n"/>
      <c r="T22" s="31" t="n"/>
      <c r="U22" s="31" t="n"/>
      <c r="V22" s="31" t="n"/>
      <c r="W22" s="31" t="n"/>
      <c r="X22" s="31" t="n"/>
      <c r="Y22" s="31" t="n"/>
      <c r="Z22" s="31" t="n"/>
    </row>
    <row r="23" ht="14.25" customHeight="1">
      <c r="A23" s="32" t="n">
        <v>22</v>
      </c>
      <c r="B23" s="92" t="inlineStr">
        <is>
          <t>Jhony Centeno</t>
        </is>
      </c>
      <c r="C23" s="94" t="inlineStr">
        <is>
          <t>Export Depot</t>
        </is>
      </c>
      <c r="D23" s="81" t="n">
        <v>13189634</v>
      </c>
      <c r="E23" s="93" t="inlineStr">
        <is>
          <t>Export Depot</t>
        </is>
      </c>
      <c r="F23" s="35" t="inlineStr">
        <is>
          <t>58707966</t>
        </is>
      </c>
      <c r="G23" s="35" t="n">
        <v>50558707966</v>
      </c>
      <c r="H23" s="95">
        <f>VLOOKUP(G23,PLAN,2,FALSE)</f>
        <v/>
      </c>
      <c r="I23" s="95">
        <f>VLOOKUP(G23,PLAN,3,FALSE)</f>
        <v/>
      </c>
      <c r="J23" s="95" t="inlineStr">
        <is>
          <t>ACTIVO</t>
        </is>
      </c>
      <c r="K23" s="95">
        <f>VLOOKUP(G23,PLAN,4,FALSE)</f>
        <v/>
      </c>
      <c r="L23" s="96" t="n">
        <v>25.99</v>
      </c>
      <c r="Q23" s="96" t="inlineStr">
        <is>
          <t>SAMSUNG A21s</t>
        </is>
      </c>
      <c r="R23" s="31" t="n"/>
      <c r="S23" s="31" t="n"/>
      <c r="T23" s="31" t="n"/>
      <c r="U23" s="31" t="n"/>
      <c r="V23" s="31" t="n"/>
      <c r="W23" s="31" t="n"/>
      <c r="X23" s="31" t="n"/>
      <c r="Y23" s="31" t="n"/>
      <c r="Z23" s="31" t="n"/>
    </row>
    <row r="24" ht="13.5" customHeight="1">
      <c r="A24" s="32" t="n">
        <v>23</v>
      </c>
      <c r="B24" s="154" t="inlineStr">
        <is>
          <t>Antes Jenifer Contreras</t>
        </is>
      </c>
      <c r="C24" s="155" t="inlineStr">
        <is>
          <t>Tesoreria y Control de Presupuesto</t>
        </is>
      </c>
      <c r="D24" s="156" t="n"/>
      <c r="E24" s="157" t="inlineStr">
        <is>
          <t>Tesoreria/CED</t>
        </is>
      </c>
      <c r="F24" s="112" t="inlineStr">
        <is>
          <t>86064978</t>
        </is>
      </c>
      <c r="G24" s="158" t="n">
        <v>50586064978</v>
      </c>
      <c r="H24" s="158">
        <f>VLOOKUP(G24,PLAN,2,FALSE)</f>
        <v/>
      </c>
      <c r="I24" s="158">
        <f>VLOOKUP(G24,PLAN,3,FALSE)</f>
        <v/>
      </c>
      <c r="J24" s="158" t="inlineStr">
        <is>
          <t>ACTIVO</t>
        </is>
      </c>
      <c r="K24" s="158">
        <f>VLOOKUP(G24,PLAN,4,FALSE)</f>
        <v/>
      </c>
      <c r="L24" s="159" t="n">
        <v>25.99</v>
      </c>
      <c r="M24" s="160" t="n"/>
      <c r="N24" s="160" t="n"/>
      <c r="O24" s="160" t="n"/>
      <c r="P24" s="160" t="n"/>
      <c r="Q24" s="159" t="inlineStr">
        <is>
          <t>SAMSUNG S22</t>
        </is>
      </c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</row>
    <row r="25" ht="12" customHeight="1">
      <c r="A25" s="32" t="n">
        <v>24</v>
      </c>
      <c r="B25" s="51" t="inlineStr">
        <is>
          <t>Manuel Edmundo Mendez Tapia</t>
        </is>
      </c>
      <c r="C25" s="42" t="inlineStr">
        <is>
          <t>Coordinador Bismark Martinez</t>
        </is>
      </c>
      <c r="D25" s="42" t="n"/>
      <c r="E25" s="34" t="inlineStr">
        <is>
          <t>Bismark Martinez/CED</t>
        </is>
      </c>
      <c r="F25" s="35" t="inlineStr">
        <is>
          <t>86064926</t>
        </is>
      </c>
      <c r="G25" s="36" t="inlineStr">
        <is>
          <t>50586064926</t>
        </is>
      </c>
      <c r="H25" s="95" t="n">
        <v>13969609</v>
      </c>
      <c r="I25" s="95" t="n">
        <v>10245586</v>
      </c>
      <c r="J25" s="37" t="inlineStr">
        <is>
          <t>ACTIVO</t>
        </is>
      </c>
      <c r="K25" s="95" t="inlineStr">
        <is>
          <t>Efrain Alexis De La Cruz y CIA LTDA</t>
        </is>
      </c>
      <c r="L25" s="38" t="n">
        <v>25.99</v>
      </c>
      <c r="Q25" s="96" t="inlineStr">
        <is>
          <t>SAMSUNG A35</t>
        </is>
      </c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</row>
    <row r="26" ht="14.25" customHeight="1">
      <c r="A26" s="31" t="n"/>
      <c r="D26" s="161" t="n"/>
      <c r="E26" s="16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</row>
    <row r="27" ht="14.25" customHeight="1">
      <c r="A27" s="31" t="n"/>
      <c r="D27" s="161" t="n"/>
      <c r="E27" s="16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</row>
    <row r="28" ht="14.25" customHeight="1">
      <c r="A28" s="31" t="n"/>
      <c r="B28" s="108" t="inlineStr">
        <is>
          <t>Asignados</t>
        </is>
      </c>
      <c r="C28" s="108">
        <f>+(C30-C29)</f>
        <v/>
      </c>
      <c r="D28" s="161" t="n"/>
      <c r="E28" s="16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</row>
    <row r="29" ht="14.25" customHeight="1">
      <c r="A29" s="31" t="n"/>
      <c r="B29" s="138" t="inlineStr">
        <is>
          <t>Disponibles</t>
        </is>
      </c>
      <c r="C29" s="138">
        <f>+COUNTBLANK(B2:B25)</f>
        <v/>
      </c>
      <c r="D29" s="161" t="n"/>
      <c r="E29" s="16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</row>
    <row r="30" ht="14.25" customHeight="1">
      <c r="A30" s="31" t="n"/>
      <c r="B30" s="111" t="inlineStr">
        <is>
          <t>Total</t>
        </is>
      </c>
      <c r="C30" s="111">
        <f>+COUNT(A2:A25)</f>
        <v/>
      </c>
      <c r="D30" s="161" t="n"/>
      <c r="E30" s="16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</row>
    <row r="31" ht="14.25" customHeight="1">
      <c r="A31" s="31" t="n"/>
      <c r="D31" s="161" t="n"/>
      <c r="E31" s="16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</row>
    <row r="32" ht="14.25" customHeight="1">
      <c r="A32" s="31" t="n"/>
      <c r="D32" s="161" t="n"/>
      <c r="E32" s="16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</row>
    <row r="33" ht="14.25" customHeight="1">
      <c r="A33" s="31" t="n"/>
      <c r="D33" s="161" t="n"/>
      <c r="E33" s="16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</row>
    <row r="34" ht="14.25" customHeight="1">
      <c r="A34" s="31" t="n"/>
      <c r="D34" s="161" t="n"/>
      <c r="E34" s="16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</row>
    <row r="35" ht="14.25" customHeight="1">
      <c r="A35" s="31" t="n"/>
      <c r="D35" s="161" t="n"/>
      <c r="E35" s="16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</row>
    <row r="36" ht="14.25" customHeight="1">
      <c r="A36" s="31" t="n"/>
      <c r="D36" s="161" t="n"/>
      <c r="E36" s="16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</row>
    <row r="37" ht="14.25" customHeight="1">
      <c r="A37" s="31" t="n"/>
      <c r="D37" s="161" t="n"/>
      <c r="E37" s="16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</row>
    <row r="38" ht="14.25" customHeight="1">
      <c r="A38" s="31" t="n"/>
      <c r="D38" s="161" t="n"/>
      <c r="E38" s="16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</row>
    <row r="39" ht="14.25" customHeight="1">
      <c r="A39" s="31" t="n"/>
      <c r="D39" s="161" t="n"/>
      <c r="E39" s="16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</row>
    <row r="40" ht="14.25" customHeight="1">
      <c r="A40" s="31" t="n"/>
      <c r="D40" s="161" t="n"/>
      <c r="E40" s="16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</row>
    <row r="41" ht="14.25" customHeight="1">
      <c r="A41" s="31" t="n"/>
      <c r="D41" s="161" t="n"/>
      <c r="E41" s="16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</row>
    <row r="42" ht="14.25" customHeight="1">
      <c r="A42" s="31" t="n"/>
      <c r="D42" s="161" t="n"/>
      <c r="E42" s="16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</row>
    <row r="43" ht="14.25" customHeight="1">
      <c r="A43" s="31" t="n"/>
      <c r="D43" s="161" t="n"/>
      <c r="E43" s="16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</row>
    <row r="44" ht="14.25" customHeight="1">
      <c r="A44" s="31" t="n"/>
      <c r="D44" s="161" t="n"/>
      <c r="E44" s="16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</row>
    <row r="45" ht="14.25" customHeight="1">
      <c r="A45" s="31" t="n"/>
      <c r="D45" s="161" t="n"/>
      <c r="E45" s="16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</row>
    <row r="46" ht="14.25" customHeight="1">
      <c r="A46" s="31" t="n"/>
      <c r="D46" s="161" t="n"/>
      <c r="E46" s="16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</row>
    <row r="47" ht="14.25" customHeight="1">
      <c r="A47" s="31" t="n"/>
      <c r="D47" s="161" t="n"/>
      <c r="E47" s="161" t="n"/>
      <c r="Q47" s="31" t="n"/>
      <c r="R47" s="31" t="n"/>
      <c r="S47" s="31" t="n"/>
      <c r="T47" s="31" t="n"/>
      <c r="U47" s="31" t="n"/>
      <c r="V47" s="31" t="n"/>
      <c r="W47" s="31" t="n"/>
      <c r="X47" s="31" t="n"/>
      <c r="Y47" s="31" t="n"/>
      <c r="Z47" s="31" t="n"/>
    </row>
    <row r="48" ht="14.25" customHeight="1">
      <c r="A48" s="31" t="n"/>
      <c r="D48" s="161" t="n"/>
      <c r="E48" s="161" t="n"/>
      <c r="Q48" s="31" t="n"/>
      <c r="R48" s="31" t="n"/>
      <c r="S48" s="31" t="n"/>
      <c r="T48" s="31" t="n"/>
      <c r="U48" s="31" t="n"/>
      <c r="V48" s="31" t="n"/>
      <c r="W48" s="31" t="n"/>
      <c r="X48" s="31" t="n"/>
      <c r="Y48" s="31" t="n"/>
      <c r="Z48" s="31" t="n"/>
    </row>
    <row r="49" ht="14.25" customHeight="1">
      <c r="A49" s="31" t="n"/>
      <c r="D49" s="161" t="n"/>
      <c r="E49" s="161" t="n"/>
      <c r="Q49" s="31" t="n"/>
      <c r="R49" s="31" t="n"/>
      <c r="S49" s="31" t="n"/>
      <c r="T49" s="31" t="n"/>
      <c r="U49" s="31" t="n"/>
      <c r="V49" s="31" t="n"/>
      <c r="W49" s="31" t="n"/>
      <c r="X49" s="31" t="n"/>
      <c r="Y49" s="31" t="n"/>
      <c r="Z49" s="31" t="n"/>
    </row>
    <row r="50" ht="14.25" customHeight="1">
      <c r="A50" s="31" t="n"/>
      <c r="D50" s="161" t="n"/>
      <c r="E50" s="161" t="n"/>
      <c r="Q50" s="31" t="n"/>
      <c r="R50" s="31" t="n"/>
      <c r="S50" s="31" t="n"/>
      <c r="T50" s="31" t="n"/>
      <c r="U50" s="31" t="n"/>
      <c r="V50" s="31" t="n"/>
      <c r="W50" s="31" t="n"/>
      <c r="X50" s="31" t="n"/>
      <c r="Y50" s="31" t="n"/>
      <c r="Z50" s="31" t="n"/>
    </row>
    <row r="51" ht="14.25" customHeight="1">
      <c r="A51" s="31" t="n"/>
      <c r="D51" s="161" t="n"/>
      <c r="E51" s="161" t="n"/>
      <c r="Q51" s="31" t="n"/>
      <c r="R51" s="31" t="n"/>
      <c r="S51" s="31" t="n"/>
      <c r="T51" s="31" t="n"/>
      <c r="U51" s="31" t="n"/>
      <c r="V51" s="31" t="n"/>
      <c r="W51" s="31" t="n"/>
      <c r="X51" s="31" t="n"/>
      <c r="Y51" s="31" t="n"/>
      <c r="Z51" s="31" t="n"/>
    </row>
    <row r="52" ht="14.25" customHeight="1">
      <c r="A52" s="31" t="n"/>
      <c r="D52" s="161" t="n"/>
      <c r="E52" s="161" t="n"/>
      <c r="Q52" s="31" t="n"/>
      <c r="R52" s="31" t="n"/>
      <c r="S52" s="31" t="n"/>
      <c r="T52" s="31" t="n"/>
      <c r="U52" s="31" t="n"/>
      <c r="V52" s="31" t="n"/>
      <c r="W52" s="31" t="n"/>
      <c r="X52" s="31" t="n"/>
      <c r="Y52" s="31" t="n"/>
      <c r="Z52" s="31" t="n"/>
    </row>
    <row r="53" ht="14.25" customHeight="1">
      <c r="A53" s="31" t="n"/>
      <c r="D53" s="161" t="n"/>
      <c r="E53" s="161" t="n"/>
      <c r="Q53" s="31" t="n"/>
      <c r="R53" s="31" t="n"/>
      <c r="S53" s="31" t="n"/>
      <c r="T53" s="31" t="n"/>
      <c r="U53" s="31" t="n"/>
      <c r="V53" s="31" t="n"/>
      <c r="W53" s="31" t="n"/>
      <c r="X53" s="31" t="n"/>
      <c r="Y53" s="31" t="n"/>
      <c r="Z53" s="31" t="n"/>
    </row>
    <row r="54" ht="14.25" customHeight="1">
      <c r="A54" s="31" t="n"/>
      <c r="D54" s="161" t="n"/>
      <c r="E54" s="161" t="n"/>
      <c r="Q54" s="31" t="n"/>
      <c r="R54" s="31" t="n"/>
      <c r="S54" s="31" t="n"/>
      <c r="T54" s="31" t="n"/>
      <c r="U54" s="31" t="n"/>
      <c r="V54" s="31" t="n"/>
      <c r="W54" s="31" t="n"/>
      <c r="X54" s="31" t="n"/>
      <c r="Y54" s="31" t="n"/>
      <c r="Z54" s="31" t="n"/>
    </row>
    <row r="55" ht="14.25" customHeight="1">
      <c r="A55" s="31" t="n"/>
      <c r="D55" s="161" t="n"/>
      <c r="E55" s="161" t="n"/>
      <c r="Q55" s="31" t="n"/>
      <c r="R55" s="31" t="n"/>
      <c r="S55" s="31" t="n"/>
      <c r="T55" s="31" t="n"/>
      <c r="U55" s="31" t="n"/>
      <c r="V55" s="31" t="n"/>
      <c r="W55" s="31" t="n"/>
      <c r="X55" s="31" t="n"/>
      <c r="Y55" s="31" t="n"/>
      <c r="Z55" s="31" t="n"/>
    </row>
    <row r="56" ht="14.25" customHeight="1">
      <c r="A56" s="31" t="n"/>
      <c r="D56" s="161" t="n"/>
      <c r="E56" s="161" t="n"/>
      <c r="Q56" s="31" t="n"/>
      <c r="R56" s="31" t="n"/>
      <c r="S56" s="31" t="n"/>
      <c r="T56" s="31" t="n"/>
      <c r="U56" s="31" t="n"/>
      <c r="V56" s="31" t="n"/>
      <c r="W56" s="31" t="n"/>
      <c r="X56" s="31" t="n"/>
      <c r="Y56" s="31" t="n"/>
      <c r="Z56" s="31" t="n"/>
    </row>
    <row r="57" ht="14.25" customHeight="1">
      <c r="A57" s="31" t="n"/>
      <c r="D57" s="161" t="n"/>
      <c r="E57" s="161" t="n"/>
      <c r="Q57" s="31" t="n"/>
      <c r="R57" s="31" t="n"/>
      <c r="S57" s="31" t="n"/>
      <c r="T57" s="31" t="n"/>
      <c r="U57" s="31" t="n"/>
      <c r="V57" s="31" t="n"/>
      <c r="W57" s="31" t="n"/>
      <c r="X57" s="31" t="n"/>
      <c r="Y57" s="31" t="n"/>
      <c r="Z57" s="31" t="n"/>
    </row>
    <row r="58" ht="14.25" customHeight="1">
      <c r="A58" s="31" t="n"/>
      <c r="D58" s="161" t="n"/>
      <c r="E58" s="161" t="n"/>
      <c r="Q58" s="31" t="n"/>
      <c r="R58" s="31" t="n"/>
      <c r="S58" s="31" t="n"/>
      <c r="T58" s="31" t="n"/>
      <c r="U58" s="31" t="n"/>
      <c r="V58" s="31" t="n"/>
      <c r="W58" s="31" t="n"/>
      <c r="X58" s="31" t="n"/>
      <c r="Y58" s="31" t="n"/>
      <c r="Z58" s="31" t="n"/>
    </row>
    <row r="59" ht="14.25" customHeight="1">
      <c r="A59" s="31" t="n"/>
      <c r="D59" s="161" t="n"/>
      <c r="E59" s="161" t="n"/>
      <c r="Q59" s="31" t="n"/>
      <c r="R59" s="31" t="n"/>
      <c r="S59" s="31" t="n"/>
      <c r="T59" s="31" t="n"/>
      <c r="U59" s="31" t="n"/>
      <c r="V59" s="31" t="n"/>
      <c r="W59" s="31" t="n"/>
      <c r="X59" s="31" t="n"/>
      <c r="Y59" s="31" t="n"/>
      <c r="Z59" s="31" t="n"/>
    </row>
    <row r="60" ht="14.25" customHeight="1">
      <c r="A60" s="31" t="n"/>
      <c r="D60" s="161" t="n"/>
      <c r="E60" s="161" t="n"/>
      <c r="Q60" s="31" t="n"/>
      <c r="R60" s="31" t="n"/>
      <c r="S60" s="31" t="n"/>
      <c r="T60" s="31" t="n"/>
      <c r="U60" s="31" t="n"/>
      <c r="V60" s="31" t="n"/>
      <c r="W60" s="31" t="n"/>
      <c r="X60" s="31" t="n"/>
      <c r="Y60" s="31" t="n"/>
      <c r="Z60" s="31" t="n"/>
    </row>
    <row r="61" ht="14.25" customHeight="1">
      <c r="A61" s="31" t="n"/>
      <c r="D61" s="161" t="n"/>
      <c r="E61" s="161" t="n"/>
      <c r="Q61" s="31" t="n"/>
      <c r="R61" s="31" t="n"/>
      <c r="S61" s="31" t="n"/>
      <c r="T61" s="31" t="n"/>
      <c r="U61" s="31" t="n"/>
      <c r="V61" s="31" t="n"/>
      <c r="W61" s="31" t="n"/>
      <c r="X61" s="31" t="n"/>
      <c r="Y61" s="31" t="n"/>
      <c r="Z61" s="31" t="n"/>
    </row>
    <row r="62" ht="14.25" customHeight="1">
      <c r="A62" s="31" t="n"/>
      <c r="D62" s="161" t="n"/>
      <c r="E62" s="161" t="n"/>
      <c r="Q62" s="31" t="n"/>
      <c r="R62" s="31" t="n"/>
      <c r="S62" s="31" t="n"/>
      <c r="T62" s="31" t="n"/>
      <c r="U62" s="31" t="n"/>
      <c r="V62" s="31" t="n"/>
      <c r="W62" s="31" t="n"/>
      <c r="X62" s="31" t="n"/>
      <c r="Y62" s="31" t="n"/>
      <c r="Z62" s="31" t="n"/>
    </row>
    <row r="63" ht="14.25" customHeight="1">
      <c r="A63" s="31" t="n"/>
      <c r="D63" s="161" t="n"/>
      <c r="E63" s="161" t="n"/>
      <c r="Q63" s="31" t="n"/>
      <c r="R63" s="31" t="n"/>
      <c r="S63" s="31" t="n"/>
      <c r="T63" s="31" t="n"/>
      <c r="U63" s="31" t="n"/>
      <c r="V63" s="31" t="n"/>
      <c r="W63" s="31" t="n"/>
      <c r="X63" s="31" t="n"/>
      <c r="Y63" s="31" t="n"/>
      <c r="Z63" s="31" t="n"/>
    </row>
    <row r="64" ht="14.25" customHeight="1">
      <c r="A64" s="31" t="n"/>
      <c r="D64" s="161" t="n"/>
      <c r="E64" s="161" t="n"/>
      <c r="Q64" s="31" t="n"/>
      <c r="R64" s="31" t="n"/>
      <c r="S64" s="31" t="n"/>
      <c r="T64" s="31" t="n"/>
      <c r="U64" s="31" t="n"/>
      <c r="V64" s="31" t="n"/>
      <c r="W64" s="31" t="n"/>
      <c r="X64" s="31" t="n"/>
      <c r="Y64" s="31" t="n"/>
      <c r="Z64" s="31" t="n"/>
    </row>
    <row r="65" ht="14.25" customHeight="1">
      <c r="A65" s="31" t="n"/>
      <c r="D65" s="161" t="n"/>
      <c r="E65" s="161" t="n"/>
      <c r="Q65" s="31" t="n"/>
      <c r="R65" s="31" t="n"/>
      <c r="S65" s="31" t="n"/>
      <c r="T65" s="31" t="n"/>
      <c r="U65" s="31" t="n"/>
      <c r="V65" s="31" t="n"/>
      <c r="W65" s="31" t="n"/>
      <c r="X65" s="31" t="n"/>
      <c r="Y65" s="31" t="n"/>
      <c r="Z65" s="31" t="n"/>
    </row>
    <row r="66" ht="14.25" customHeight="1">
      <c r="A66" s="31" t="n"/>
      <c r="D66" s="161" t="n"/>
      <c r="E66" s="161" t="n"/>
      <c r="Q66" s="31" t="n"/>
      <c r="R66" s="31" t="n"/>
      <c r="S66" s="31" t="n"/>
      <c r="T66" s="31" t="n"/>
      <c r="U66" s="31" t="n"/>
      <c r="V66" s="31" t="n"/>
      <c r="W66" s="31" t="n"/>
      <c r="X66" s="31" t="n"/>
      <c r="Y66" s="31" t="n"/>
      <c r="Z66" s="31" t="n"/>
    </row>
    <row r="67" ht="14.25" customHeight="1">
      <c r="A67" s="31" t="n"/>
      <c r="D67" s="161" t="n"/>
      <c r="E67" s="161" t="n"/>
      <c r="Q67" s="31" t="n"/>
      <c r="R67" s="31" t="n"/>
      <c r="S67" s="31" t="n"/>
      <c r="T67" s="31" t="n"/>
      <c r="U67" s="31" t="n"/>
      <c r="V67" s="31" t="n"/>
      <c r="W67" s="31" t="n"/>
      <c r="X67" s="31" t="n"/>
      <c r="Y67" s="31" t="n"/>
      <c r="Z67" s="31" t="n"/>
    </row>
    <row r="68" ht="14.25" customHeight="1">
      <c r="A68" s="31" t="n"/>
      <c r="D68" s="161" t="n"/>
      <c r="E68" s="161" t="n"/>
      <c r="Q68" s="31" t="n"/>
      <c r="R68" s="31" t="n"/>
      <c r="S68" s="31" t="n"/>
      <c r="T68" s="31" t="n"/>
      <c r="U68" s="31" t="n"/>
      <c r="V68" s="31" t="n"/>
      <c r="W68" s="31" t="n"/>
      <c r="X68" s="31" t="n"/>
      <c r="Y68" s="31" t="n"/>
      <c r="Z68" s="31" t="n"/>
    </row>
    <row r="69" ht="14.25" customHeight="1">
      <c r="A69" s="31" t="n"/>
      <c r="D69" s="161" t="n"/>
      <c r="E69" s="161" t="n"/>
      <c r="Q69" s="31" t="n"/>
      <c r="R69" s="31" t="n"/>
      <c r="S69" s="31" t="n"/>
      <c r="T69" s="31" t="n"/>
      <c r="U69" s="31" t="n"/>
      <c r="V69" s="31" t="n"/>
      <c r="W69" s="31" t="n"/>
      <c r="X69" s="31" t="n"/>
      <c r="Y69" s="31" t="n"/>
      <c r="Z69" s="31" t="n"/>
    </row>
    <row r="70" ht="14.25" customHeight="1">
      <c r="A70" s="31" t="n"/>
      <c r="D70" s="161" t="n"/>
      <c r="E70" s="161" t="n"/>
      <c r="Q70" s="31" t="n"/>
      <c r="R70" s="31" t="n"/>
      <c r="S70" s="31" t="n"/>
      <c r="T70" s="31" t="n"/>
      <c r="U70" s="31" t="n"/>
      <c r="V70" s="31" t="n"/>
      <c r="W70" s="31" t="n"/>
      <c r="X70" s="31" t="n"/>
      <c r="Y70" s="31" t="n"/>
      <c r="Z70" s="31" t="n"/>
    </row>
    <row r="71" ht="14.25" customHeight="1">
      <c r="A71" s="31" t="n"/>
      <c r="D71" s="161" t="n"/>
      <c r="E71" s="161" t="n"/>
      <c r="Q71" s="31" t="n"/>
      <c r="R71" s="31" t="n"/>
      <c r="S71" s="31" t="n"/>
      <c r="T71" s="31" t="n"/>
      <c r="U71" s="31" t="n"/>
      <c r="V71" s="31" t="n"/>
      <c r="W71" s="31" t="n"/>
      <c r="X71" s="31" t="n"/>
      <c r="Y71" s="31" t="n"/>
      <c r="Z71" s="31" t="n"/>
    </row>
    <row r="72" ht="14.25" customHeight="1">
      <c r="A72" s="31" t="n"/>
      <c r="D72" s="161" t="n"/>
      <c r="E72" s="161" t="n"/>
      <c r="Q72" s="31" t="n"/>
      <c r="R72" s="31" t="n"/>
      <c r="S72" s="31" t="n"/>
      <c r="T72" s="31" t="n"/>
      <c r="U72" s="31" t="n"/>
      <c r="V72" s="31" t="n"/>
      <c r="W72" s="31" t="n"/>
      <c r="X72" s="31" t="n"/>
      <c r="Y72" s="31" t="n"/>
      <c r="Z72" s="31" t="n"/>
    </row>
    <row r="73" ht="14.25" customHeight="1">
      <c r="A73" s="31" t="n"/>
      <c r="D73" s="161" t="n"/>
      <c r="E73" s="161" t="n"/>
      <c r="Q73" s="31" t="n"/>
      <c r="R73" s="31" t="n"/>
      <c r="S73" s="31" t="n"/>
      <c r="T73" s="31" t="n"/>
      <c r="U73" s="31" t="n"/>
      <c r="V73" s="31" t="n"/>
      <c r="W73" s="31" t="n"/>
      <c r="X73" s="31" t="n"/>
      <c r="Y73" s="31" t="n"/>
      <c r="Z73" s="31" t="n"/>
    </row>
    <row r="74" ht="14.25" customHeight="1">
      <c r="A74" s="31" t="n"/>
      <c r="D74" s="161" t="n"/>
      <c r="E74" s="161" t="n"/>
      <c r="Q74" s="31" t="n"/>
      <c r="R74" s="31" t="n"/>
      <c r="S74" s="31" t="n"/>
      <c r="T74" s="31" t="n"/>
      <c r="U74" s="31" t="n"/>
      <c r="V74" s="31" t="n"/>
      <c r="W74" s="31" t="n"/>
      <c r="X74" s="31" t="n"/>
      <c r="Y74" s="31" t="n"/>
      <c r="Z74" s="31" t="n"/>
    </row>
    <row r="75" ht="14.25" customHeight="1">
      <c r="A75" s="31" t="n"/>
      <c r="D75" s="161" t="n"/>
      <c r="E75" s="161" t="n"/>
      <c r="Q75" s="31" t="n"/>
      <c r="R75" s="31" t="n"/>
      <c r="S75" s="31" t="n"/>
      <c r="T75" s="31" t="n"/>
      <c r="U75" s="31" t="n"/>
      <c r="V75" s="31" t="n"/>
      <c r="W75" s="31" t="n"/>
      <c r="X75" s="31" t="n"/>
      <c r="Y75" s="31" t="n"/>
      <c r="Z75" s="31" t="n"/>
    </row>
    <row r="76" ht="14.25" customHeight="1">
      <c r="A76" s="31" t="n"/>
      <c r="D76" s="161" t="n"/>
      <c r="E76" s="161" t="n"/>
      <c r="Q76" s="31" t="n"/>
      <c r="R76" s="31" t="n"/>
      <c r="S76" s="31" t="n"/>
      <c r="T76" s="31" t="n"/>
      <c r="U76" s="31" t="n"/>
      <c r="V76" s="31" t="n"/>
      <c r="W76" s="31" t="n"/>
      <c r="X76" s="31" t="n"/>
      <c r="Y76" s="31" t="n"/>
      <c r="Z76" s="31" t="n"/>
    </row>
    <row r="77" ht="14.25" customHeight="1">
      <c r="A77" s="31" t="n"/>
      <c r="D77" s="161" t="n"/>
      <c r="E77" s="161" t="n"/>
      <c r="Q77" s="31" t="n"/>
      <c r="R77" s="31" t="n"/>
      <c r="S77" s="31" t="n"/>
      <c r="T77" s="31" t="n"/>
      <c r="U77" s="31" t="n"/>
      <c r="V77" s="31" t="n"/>
      <c r="W77" s="31" t="n"/>
      <c r="X77" s="31" t="n"/>
      <c r="Y77" s="31" t="n"/>
      <c r="Z77" s="31" t="n"/>
    </row>
    <row r="78" ht="14.25" customHeight="1">
      <c r="A78" s="31" t="n"/>
      <c r="D78" s="161" t="n"/>
      <c r="E78" s="161" t="n"/>
      <c r="Q78" s="31" t="n"/>
      <c r="R78" s="31" t="n"/>
      <c r="S78" s="31" t="n"/>
      <c r="T78" s="31" t="n"/>
      <c r="U78" s="31" t="n"/>
      <c r="V78" s="31" t="n"/>
      <c r="W78" s="31" t="n"/>
      <c r="X78" s="31" t="n"/>
      <c r="Y78" s="31" t="n"/>
      <c r="Z78" s="31" t="n"/>
    </row>
    <row r="79" ht="14.25" customHeight="1">
      <c r="A79" s="31" t="n"/>
      <c r="D79" s="161" t="n"/>
      <c r="E79" s="161" t="n"/>
      <c r="Q79" s="31" t="n"/>
      <c r="R79" s="31" t="n"/>
      <c r="S79" s="31" t="n"/>
      <c r="T79" s="31" t="n"/>
      <c r="U79" s="31" t="n"/>
      <c r="V79" s="31" t="n"/>
      <c r="W79" s="31" t="n"/>
      <c r="X79" s="31" t="n"/>
      <c r="Y79" s="31" t="n"/>
      <c r="Z79" s="31" t="n"/>
    </row>
    <row r="80" ht="14.25" customHeight="1">
      <c r="A80" s="31" t="n"/>
      <c r="D80" s="161" t="n"/>
      <c r="E80" s="161" t="n"/>
      <c r="Q80" s="31" t="n"/>
      <c r="R80" s="31" t="n"/>
      <c r="S80" s="31" t="n"/>
      <c r="T80" s="31" t="n"/>
      <c r="U80" s="31" t="n"/>
      <c r="V80" s="31" t="n"/>
      <c r="W80" s="31" t="n"/>
      <c r="X80" s="31" t="n"/>
      <c r="Y80" s="31" t="n"/>
      <c r="Z80" s="31" t="n"/>
    </row>
    <row r="81" ht="14.25" customHeight="1">
      <c r="A81" s="31" t="n"/>
      <c r="D81" s="161" t="n"/>
      <c r="E81" s="161" t="n"/>
      <c r="Q81" s="31" t="n"/>
      <c r="R81" s="31" t="n"/>
      <c r="S81" s="31" t="n"/>
      <c r="T81" s="31" t="n"/>
      <c r="U81" s="31" t="n"/>
      <c r="V81" s="31" t="n"/>
      <c r="W81" s="31" t="n"/>
      <c r="X81" s="31" t="n"/>
      <c r="Y81" s="31" t="n"/>
      <c r="Z81" s="31" t="n"/>
    </row>
    <row r="82" ht="14.25" customHeight="1">
      <c r="A82" s="31" t="n"/>
      <c r="D82" s="161" t="n"/>
      <c r="E82" s="161" t="n"/>
      <c r="Q82" s="31" t="n"/>
      <c r="R82" s="31" t="n"/>
      <c r="S82" s="31" t="n"/>
      <c r="T82" s="31" t="n"/>
      <c r="U82" s="31" t="n"/>
      <c r="V82" s="31" t="n"/>
      <c r="W82" s="31" t="n"/>
      <c r="X82" s="31" t="n"/>
      <c r="Y82" s="31" t="n"/>
      <c r="Z82" s="31" t="n"/>
    </row>
    <row r="83" ht="14.25" customHeight="1">
      <c r="A83" s="31" t="n"/>
      <c r="D83" s="161" t="n"/>
      <c r="E83" s="161" t="n"/>
      <c r="Q83" s="31" t="n"/>
      <c r="R83" s="31" t="n"/>
      <c r="S83" s="31" t="n"/>
      <c r="T83" s="31" t="n"/>
      <c r="U83" s="31" t="n"/>
      <c r="V83" s="31" t="n"/>
      <c r="W83" s="31" t="n"/>
      <c r="X83" s="31" t="n"/>
      <c r="Y83" s="31" t="n"/>
      <c r="Z83" s="31" t="n"/>
    </row>
    <row r="84" ht="14.25" customHeight="1">
      <c r="A84" s="31" t="n"/>
      <c r="D84" s="161" t="n"/>
      <c r="E84" s="161" t="n"/>
      <c r="Q84" s="31" t="n"/>
      <c r="R84" s="31" t="n"/>
      <c r="S84" s="31" t="n"/>
      <c r="T84" s="31" t="n"/>
      <c r="U84" s="31" t="n"/>
      <c r="V84" s="31" t="n"/>
      <c r="W84" s="31" t="n"/>
      <c r="X84" s="31" t="n"/>
      <c r="Y84" s="31" t="n"/>
      <c r="Z84" s="31" t="n"/>
    </row>
    <row r="85" ht="14.25" customHeight="1">
      <c r="A85" s="31" t="n"/>
      <c r="D85" s="161" t="n"/>
      <c r="E85" s="161" t="n"/>
      <c r="Q85" s="31" t="n"/>
      <c r="R85" s="31" t="n"/>
      <c r="S85" s="31" t="n"/>
      <c r="T85" s="31" t="n"/>
      <c r="U85" s="31" t="n"/>
      <c r="V85" s="31" t="n"/>
      <c r="W85" s="31" t="n"/>
      <c r="X85" s="31" t="n"/>
      <c r="Y85" s="31" t="n"/>
      <c r="Z85" s="31" t="n"/>
    </row>
    <row r="86" ht="14.25" customHeight="1">
      <c r="A86" s="31" t="n"/>
      <c r="D86" s="161" t="n"/>
      <c r="E86" s="161" t="n"/>
      <c r="Q86" s="31" t="n"/>
      <c r="R86" s="31" t="n"/>
      <c r="S86" s="31" t="n"/>
      <c r="T86" s="31" t="n"/>
      <c r="U86" s="31" t="n"/>
      <c r="V86" s="31" t="n"/>
      <c r="W86" s="31" t="n"/>
      <c r="X86" s="31" t="n"/>
      <c r="Y86" s="31" t="n"/>
      <c r="Z86" s="31" t="n"/>
    </row>
    <row r="87" ht="14.25" customHeight="1">
      <c r="A87" s="31" t="n"/>
      <c r="D87" s="161" t="n"/>
      <c r="E87" s="161" t="n"/>
      <c r="Q87" s="31" t="n"/>
      <c r="R87" s="31" t="n"/>
      <c r="S87" s="31" t="n"/>
      <c r="T87" s="31" t="n"/>
      <c r="U87" s="31" t="n"/>
      <c r="V87" s="31" t="n"/>
      <c r="W87" s="31" t="n"/>
      <c r="X87" s="31" t="n"/>
      <c r="Y87" s="31" t="n"/>
      <c r="Z87" s="31" t="n"/>
    </row>
    <row r="88" ht="14.25" customHeight="1">
      <c r="A88" s="31" t="n"/>
      <c r="D88" s="161" t="n"/>
      <c r="E88" s="161" t="n"/>
      <c r="Q88" s="31" t="n"/>
      <c r="R88" s="31" t="n"/>
      <c r="S88" s="31" t="n"/>
      <c r="T88" s="31" t="n"/>
      <c r="U88" s="31" t="n"/>
      <c r="V88" s="31" t="n"/>
      <c r="W88" s="31" t="n"/>
      <c r="X88" s="31" t="n"/>
      <c r="Y88" s="31" t="n"/>
      <c r="Z88" s="31" t="n"/>
    </row>
    <row r="89" ht="14.25" customHeight="1">
      <c r="A89" s="31" t="n"/>
      <c r="D89" s="161" t="n"/>
      <c r="E89" s="161" t="n"/>
      <c r="Q89" s="31" t="n"/>
      <c r="R89" s="31" t="n"/>
      <c r="S89" s="31" t="n"/>
      <c r="T89" s="31" t="n"/>
      <c r="U89" s="31" t="n"/>
      <c r="V89" s="31" t="n"/>
      <c r="W89" s="31" t="n"/>
      <c r="X89" s="31" t="n"/>
      <c r="Y89" s="31" t="n"/>
      <c r="Z89" s="31" t="n"/>
    </row>
    <row r="90" ht="14.25" customHeight="1">
      <c r="A90" s="31" t="n"/>
      <c r="D90" s="161" t="n"/>
      <c r="E90" s="161" t="n"/>
      <c r="Q90" s="31" t="n"/>
      <c r="R90" s="31" t="n"/>
      <c r="S90" s="31" t="n"/>
      <c r="T90" s="31" t="n"/>
      <c r="U90" s="31" t="n"/>
      <c r="V90" s="31" t="n"/>
      <c r="W90" s="31" t="n"/>
      <c r="X90" s="31" t="n"/>
      <c r="Y90" s="31" t="n"/>
      <c r="Z90" s="31" t="n"/>
    </row>
    <row r="91" ht="14.25" customHeight="1">
      <c r="A91" s="31" t="n"/>
      <c r="D91" s="161" t="n"/>
      <c r="E91" s="161" t="n"/>
      <c r="Q91" s="31" t="n"/>
      <c r="R91" s="31" t="n"/>
      <c r="S91" s="31" t="n"/>
      <c r="T91" s="31" t="n"/>
      <c r="U91" s="31" t="n"/>
      <c r="V91" s="31" t="n"/>
      <c r="W91" s="31" t="n"/>
      <c r="X91" s="31" t="n"/>
      <c r="Y91" s="31" t="n"/>
      <c r="Z91" s="31" t="n"/>
    </row>
    <row r="92" ht="14.25" customHeight="1">
      <c r="A92" s="31" t="n"/>
      <c r="D92" s="161" t="n"/>
      <c r="E92" s="161" t="n"/>
      <c r="Q92" s="31" t="n"/>
      <c r="R92" s="31" t="n"/>
      <c r="S92" s="31" t="n"/>
      <c r="T92" s="31" t="n"/>
      <c r="U92" s="31" t="n"/>
      <c r="V92" s="31" t="n"/>
      <c r="W92" s="31" t="n"/>
      <c r="X92" s="31" t="n"/>
      <c r="Y92" s="31" t="n"/>
      <c r="Z92" s="31" t="n"/>
    </row>
    <row r="93" ht="14.25" customHeight="1">
      <c r="A93" s="31" t="n"/>
      <c r="D93" s="161" t="n"/>
      <c r="E93" s="161" t="n"/>
      <c r="Q93" s="31" t="n"/>
      <c r="R93" s="31" t="n"/>
      <c r="S93" s="31" t="n"/>
      <c r="T93" s="31" t="n"/>
      <c r="U93" s="31" t="n"/>
      <c r="V93" s="31" t="n"/>
      <c r="W93" s="31" t="n"/>
      <c r="X93" s="31" t="n"/>
      <c r="Y93" s="31" t="n"/>
      <c r="Z93" s="31" t="n"/>
    </row>
    <row r="94" ht="14.25" customHeight="1">
      <c r="A94" s="31" t="n"/>
      <c r="D94" s="161" t="n"/>
      <c r="E94" s="161" t="n"/>
      <c r="Q94" s="31" t="n"/>
      <c r="R94" s="31" t="n"/>
      <c r="S94" s="31" t="n"/>
      <c r="T94" s="31" t="n"/>
      <c r="U94" s="31" t="n"/>
      <c r="V94" s="31" t="n"/>
      <c r="W94" s="31" t="n"/>
      <c r="X94" s="31" t="n"/>
      <c r="Y94" s="31" t="n"/>
      <c r="Z94" s="31" t="n"/>
    </row>
    <row r="95" ht="14.25" customHeight="1">
      <c r="A95" s="31" t="n"/>
      <c r="D95" s="161" t="n"/>
      <c r="E95" s="161" t="n"/>
      <c r="Q95" s="31" t="n"/>
      <c r="R95" s="31" t="n"/>
      <c r="S95" s="31" t="n"/>
      <c r="T95" s="31" t="n"/>
      <c r="U95" s="31" t="n"/>
      <c r="V95" s="31" t="n"/>
      <c r="W95" s="31" t="n"/>
      <c r="X95" s="31" t="n"/>
      <c r="Y95" s="31" t="n"/>
      <c r="Z95" s="31" t="n"/>
    </row>
    <row r="96" ht="14.25" customHeight="1">
      <c r="A96" s="31" t="n"/>
      <c r="D96" s="161" t="n"/>
      <c r="E96" s="161" t="n"/>
      <c r="Q96" s="31" t="n"/>
      <c r="R96" s="31" t="n"/>
      <c r="S96" s="31" t="n"/>
      <c r="T96" s="31" t="n"/>
      <c r="U96" s="31" t="n"/>
      <c r="V96" s="31" t="n"/>
      <c r="W96" s="31" t="n"/>
      <c r="X96" s="31" t="n"/>
      <c r="Y96" s="31" t="n"/>
      <c r="Z96" s="31" t="n"/>
    </row>
    <row r="97" ht="14.25" customHeight="1">
      <c r="A97" s="31" t="n"/>
      <c r="D97" s="161" t="n"/>
      <c r="E97" s="161" t="n"/>
      <c r="Q97" s="31" t="n"/>
      <c r="R97" s="31" t="n"/>
      <c r="S97" s="31" t="n"/>
      <c r="T97" s="31" t="n"/>
      <c r="U97" s="31" t="n"/>
      <c r="V97" s="31" t="n"/>
      <c r="W97" s="31" t="n"/>
      <c r="X97" s="31" t="n"/>
      <c r="Y97" s="31" t="n"/>
      <c r="Z97" s="31" t="n"/>
    </row>
    <row r="98" ht="14.25" customHeight="1">
      <c r="A98" s="31" t="n"/>
      <c r="D98" s="161" t="n"/>
      <c r="E98" s="161" t="n"/>
      <c r="Q98" s="31" t="n"/>
      <c r="R98" s="31" t="n"/>
      <c r="S98" s="31" t="n"/>
      <c r="T98" s="31" t="n"/>
      <c r="U98" s="31" t="n"/>
      <c r="V98" s="31" t="n"/>
      <c r="W98" s="31" t="n"/>
      <c r="X98" s="31" t="n"/>
      <c r="Y98" s="31" t="n"/>
      <c r="Z98" s="31" t="n"/>
    </row>
    <row r="99" ht="14.25" customHeight="1">
      <c r="A99" s="31" t="n"/>
      <c r="D99" s="161" t="n"/>
      <c r="E99" s="161" t="n"/>
      <c r="Q99" s="31" t="n"/>
      <c r="R99" s="31" t="n"/>
      <c r="S99" s="31" t="n"/>
      <c r="T99" s="31" t="n"/>
      <c r="U99" s="31" t="n"/>
      <c r="V99" s="31" t="n"/>
      <c r="W99" s="31" t="n"/>
      <c r="X99" s="31" t="n"/>
      <c r="Y99" s="31" t="n"/>
      <c r="Z99" s="31" t="n"/>
    </row>
    <row r="100" ht="14.25" customHeight="1">
      <c r="A100" s="31" t="n"/>
      <c r="D100" s="161" t="n"/>
      <c r="E100" s="161" t="n"/>
      <c r="Q100" s="31" t="n"/>
      <c r="R100" s="31" t="n"/>
      <c r="S100" s="31" t="n"/>
      <c r="T100" s="31" t="n"/>
      <c r="U100" s="31" t="n"/>
      <c r="V100" s="31" t="n"/>
      <c r="W100" s="31" t="n"/>
      <c r="X100" s="31" t="n"/>
      <c r="Y100" s="31" t="n"/>
      <c r="Z100" s="31" t="n"/>
    </row>
    <row r="101" ht="14.25" customHeight="1">
      <c r="A101" s="31" t="n"/>
      <c r="D101" s="161" t="n"/>
      <c r="E101" s="161" t="n"/>
      <c r="Q101" s="31" t="n"/>
      <c r="R101" s="31" t="n"/>
      <c r="S101" s="31" t="n"/>
      <c r="T101" s="31" t="n"/>
      <c r="U101" s="31" t="n"/>
      <c r="V101" s="31" t="n"/>
      <c r="W101" s="31" t="n"/>
      <c r="X101" s="31" t="n"/>
      <c r="Y101" s="31" t="n"/>
      <c r="Z101" s="31" t="n"/>
    </row>
    <row r="102" ht="14.25" customHeight="1">
      <c r="A102" s="31" t="n"/>
      <c r="D102" s="161" t="n"/>
      <c r="E102" s="161" t="n"/>
      <c r="Q102" s="31" t="n"/>
      <c r="R102" s="31" t="n"/>
      <c r="S102" s="31" t="n"/>
      <c r="T102" s="31" t="n"/>
      <c r="U102" s="31" t="n"/>
      <c r="V102" s="31" t="n"/>
      <c r="W102" s="31" t="n"/>
      <c r="X102" s="31" t="n"/>
      <c r="Y102" s="31" t="n"/>
      <c r="Z102" s="31" t="n"/>
    </row>
    <row r="103" ht="14.25" customHeight="1">
      <c r="A103" s="31" t="n"/>
      <c r="D103" s="161" t="n"/>
      <c r="E103" s="161" t="n"/>
      <c r="Q103" s="31" t="n"/>
      <c r="R103" s="31" t="n"/>
      <c r="S103" s="31" t="n"/>
      <c r="T103" s="31" t="n"/>
      <c r="U103" s="31" t="n"/>
      <c r="V103" s="31" t="n"/>
      <c r="W103" s="31" t="n"/>
      <c r="X103" s="31" t="n"/>
      <c r="Y103" s="31" t="n"/>
      <c r="Z103" s="31" t="n"/>
    </row>
    <row r="104" ht="14.25" customHeight="1">
      <c r="A104" s="31" t="n"/>
      <c r="D104" s="161" t="n"/>
      <c r="E104" s="161" t="n"/>
      <c r="Q104" s="31" t="n"/>
      <c r="R104" s="31" t="n"/>
      <c r="S104" s="31" t="n"/>
      <c r="T104" s="31" t="n"/>
      <c r="U104" s="31" t="n"/>
      <c r="V104" s="31" t="n"/>
      <c r="W104" s="31" t="n"/>
      <c r="X104" s="31" t="n"/>
      <c r="Y104" s="31" t="n"/>
      <c r="Z104" s="31" t="n"/>
    </row>
    <row r="105" ht="14.25" customHeight="1">
      <c r="A105" s="31" t="n"/>
      <c r="D105" s="161" t="n"/>
      <c r="E105" s="161" t="n"/>
      <c r="Q105" s="31" t="n"/>
      <c r="R105" s="31" t="n"/>
      <c r="S105" s="31" t="n"/>
      <c r="T105" s="31" t="n"/>
      <c r="U105" s="31" t="n"/>
      <c r="V105" s="31" t="n"/>
      <c r="W105" s="31" t="n"/>
      <c r="X105" s="31" t="n"/>
      <c r="Y105" s="31" t="n"/>
      <c r="Z105" s="31" t="n"/>
    </row>
    <row r="106" ht="14.25" customHeight="1">
      <c r="A106" s="31" t="n"/>
      <c r="D106" s="161" t="n"/>
      <c r="E106" s="161" t="n"/>
      <c r="Q106" s="31" t="n"/>
      <c r="R106" s="31" t="n"/>
      <c r="S106" s="31" t="n"/>
      <c r="T106" s="31" t="n"/>
      <c r="U106" s="31" t="n"/>
      <c r="V106" s="31" t="n"/>
      <c r="W106" s="31" t="n"/>
      <c r="X106" s="31" t="n"/>
      <c r="Y106" s="31" t="n"/>
      <c r="Z106" s="31" t="n"/>
    </row>
    <row r="107" ht="14.25" customHeight="1">
      <c r="A107" s="31" t="n"/>
      <c r="D107" s="161" t="n"/>
      <c r="E107" s="161" t="n"/>
      <c r="Q107" s="31" t="n"/>
      <c r="R107" s="31" t="n"/>
      <c r="S107" s="31" t="n"/>
      <c r="T107" s="31" t="n"/>
      <c r="U107" s="31" t="n"/>
      <c r="V107" s="31" t="n"/>
      <c r="W107" s="31" t="n"/>
      <c r="X107" s="31" t="n"/>
      <c r="Y107" s="31" t="n"/>
      <c r="Z107" s="31" t="n"/>
    </row>
    <row r="108" ht="14.25" customHeight="1">
      <c r="A108" s="31" t="n"/>
      <c r="D108" s="161" t="n"/>
      <c r="E108" s="161" t="n"/>
      <c r="Q108" s="31" t="n"/>
      <c r="R108" s="31" t="n"/>
      <c r="S108" s="31" t="n"/>
      <c r="T108" s="31" t="n"/>
      <c r="U108" s="31" t="n"/>
      <c r="V108" s="31" t="n"/>
      <c r="W108" s="31" t="n"/>
      <c r="X108" s="31" t="n"/>
      <c r="Y108" s="31" t="n"/>
      <c r="Z108" s="31" t="n"/>
    </row>
    <row r="109" ht="14.25" customHeight="1">
      <c r="A109" s="31" t="n"/>
      <c r="D109" s="161" t="n"/>
      <c r="E109" s="161" t="n"/>
      <c r="Q109" s="31" t="n"/>
      <c r="R109" s="31" t="n"/>
      <c r="S109" s="31" t="n"/>
      <c r="T109" s="31" t="n"/>
      <c r="U109" s="31" t="n"/>
      <c r="V109" s="31" t="n"/>
      <c r="W109" s="31" t="n"/>
      <c r="X109" s="31" t="n"/>
      <c r="Y109" s="31" t="n"/>
      <c r="Z109" s="31" t="n"/>
    </row>
    <row r="110" ht="14.25" customHeight="1">
      <c r="A110" s="31" t="n"/>
      <c r="D110" s="161" t="n"/>
      <c r="E110" s="161" t="n"/>
      <c r="Q110" s="31" t="n"/>
      <c r="R110" s="31" t="n"/>
      <c r="S110" s="31" t="n"/>
      <c r="T110" s="31" t="n"/>
      <c r="U110" s="31" t="n"/>
      <c r="V110" s="31" t="n"/>
      <c r="W110" s="31" t="n"/>
      <c r="X110" s="31" t="n"/>
      <c r="Y110" s="31" t="n"/>
      <c r="Z110" s="31" t="n"/>
    </row>
    <row r="111" ht="14.25" customHeight="1">
      <c r="A111" s="31" t="n"/>
      <c r="D111" s="161" t="n"/>
      <c r="E111" s="161" t="n"/>
      <c r="Q111" s="31" t="n"/>
      <c r="R111" s="31" t="n"/>
      <c r="S111" s="31" t="n"/>
      <c r="T111" s="31" t="n"/>
      <c r="U111" s="31" t="n"/>
      <c r="V111" s="31" t="n"/>
      <c r="W111" s="31" t="n"/>
      <c r="X111" s="31" t="n"/>
      <c r="Y111" s="31" t="n"/>
      <c r="Z111" s="31" t="n"/>
    </row>
    <row r="112" ht="14.25" customHeight="1">
      <c r="A112" s="31" t="n"/>
      <c r="D112" s="161" t="n"/>
      <c r="E112" s="161" t="n"/>
      <c r="Q112" s="31" t="n"/>
      <c r="R112" s="31" t="n"/>
      <c r="S112" s="31" t="n"/>
      <c r="T112" s="31" t="n"/>
      <c r="U112" s="31" t="n"/>
      <c r="V112" s="31" t="n"/>
      <c r="W112" s="31" t="n"/>
      <c r="X112" s="31" t="n"/>
      <c r="Y112" s="31" t="n"/>
      <c r="Z112" s="31" t="n"/>
    </row>
    <row r="113" ht="14.25" customHeight="1">
      <c r="A113" s="31" t="n"/>
      <c r="D113" s="161" t="n"/>
      <c r="E113" s="161" t="n"/>
      <c r="Q113" s="31" t="n"/>
      <c r="R113" s="31" t="n"/>
      <c r="S113" s="31" t="n"/>
      <c r="T113" s="31" t="n"/>
      <c r="U113" s="31" t="n"/>
      <c r="V113" s="31" t="n"/>
      <c r="W113" s="31" t="n"/>
      <c r="X113" s="31" t="n"/>
      <c r="Y113" s="31" t="n"/>
      <c r="Z113" s="31" t="n"/>
    </row>
    <row r="114" ht="14.25" customHeight="1">
      <c r="A114" s="31" t="n"/>
      <c r="D114" s="161" t="n"/>
      <c r="E114" s="161" t="n"/>
      <c r="Q114" s="31" t="n"/>
      <c r="R114" s="31" t="n"/>
      <c r="S114" s="31" t="n"/>
      <c r="T114" s="31" t="n"/>
      <c r="U114" s="31" t="n"/>
      <c r="V114" s="31" t="n"/>
      <c r="W114" s="31" t="n"/>
      <c r="X114" s="31" t="n"/>
      <c r="Y114" s="31" t="n"/>
      <c r="Z114" s="31" t="n"/>
    </row>
    <row r="115" ht="14.25" customHeight="1">
      <c r="A115" s="31" t="n"/>
      <c r="D115" s="161" t="n"/>
      <c r="E115" s="161" t="n"/>
      <c r="Q115" s="31" t="n"/>
      <c r="R115" s="31" t="n"/>
      <c r="S115" s="31" t="n"/>
      <c r="T115" s="31" t="n"/>
      <c r="U115" s="31" t="n"/>
      <c r="V115" s="31" t="n"/>
      <c r="W115" s="31" t="n"/>
      <c r="X115" s="31" t="n"/>
      <c r="Y115" s="31" t="n"/>
      <c r="Z115" s="31" t="n"/>
    </row>
    <row r="116" ht="14.25" customHeight="1">
      <c r="A116" s="31" t="n"/>
      <c r="D116" s="161" t="n"/>
      <c r="E116" s="161" t="n"/>
      <c r="Q116" s="31" t="n"/>
      <c r="R116" s="31" t="n"/>
      <c r="S116" s="31" t="n"/>
      <c r="T116" s="31" t="n"/>
      <c r="U116" s="31" t="n"/>
      <c r="V116" s="31" t="n"/>
      <c r="W116" s="31" t="n"/>
      <c r="X116" s="31" t="n"/>
      <c r="Y116" s="31" t="n"/>
      <c r="Z116" s="31" t="n"/>
    </row>
    <row r="117" ht="14.25" customHeight="1">
      <c r="A117" s="31" t="n"/>
      <c r="D117" s="161" t="n"/>
      <c r="E117" s="161" t="n"/>
      <c r="Q117" s="31" t="n"/>
      <c r="R117" s="31" t="n"/>
      <c r="S117" s="31" t="n"/>
      <c r="T117" s="31" t="n"/>
      <c r="U117" s="31" t="n"/>
      <c r="V117" s="31" t="n"/>
      <c r="W117" s="31" t="n"/>
      <c r="X117" s="31" t="n"/>
      <c r="Y117" s="31" t="n"/>
      <c r="Z117" s="31" t="n"/>
    </row>
    <row r="118" ht="14.25" customHeight="1">
      <c r="A118" s="31" t="n"/>
      <c r="D118" s="161" t="n"/>
      <c r="E118" s="161" t="n"/>
      <c r="Q118" s="31" t="n"/>
      <c r="R118" s="31" t="n"/>
      <c r="S118" s="31" t="n"/>
      <c r="T118" s="31" t="n"/>
      <c r="U118" s="31" t="n"/>
      <c r="V118" s="31" t="n"/>
      <c r="W118" s="31" t="n"/>
      <c r="X118" s="31" t="n"/>
      <c r="Y118" s="31" t="n"/>
      <c r="Z118" s="31" t="n"/>
    </row>
    <row r="119" ht="14.25" customHeight="1">
      <c r="A119" s="31" t="n"/>
      <c r="D119" s="161" t="n"/>
      <c r="E119" s="161" t="n"/>
      <c r="Q119" s="31" t="n"/>
      <c r="R119" s="31" t="n"/>
      <c r="S119" s="31" t="n"/>
      <c r="T119" s="31" t="n"/>
      <c r="U119" s="31" t="n"/>
      <c r="V119" s="31" t="n"/>
      <c r="W119" s="31" t="n"/>
      <c r="X119" s="31" t="n"/>
      <c r="Y119" s="31" t="n"/>
      <c r="Z119" s="31" t="n"/>
    </row>
    <row r="120" ht="14.25" customHeight="1">
      <c r="A120" s="31" t="n"/>
      <c r="D120" s="161" t="n"/>
      <c r="E120" s="161" t="n"/>
      <c r="Q120" s="31" t="n"/>
      <c r="R120" s="31" t="n"/>
      <c r="S120" s="31" t="n"/>
      <c r="T120" s="31" t="n"/>
      <c r="U120" s="31" t="n"/>
      <c r="V120" s="31" t="n"/>
      <c r="W120" s="31" t="n"/>
      <c r="X120" s="31" t="n"/>
      <c r="Y120" s="31" t="n"/>
      <c r="Z120" s="31" t="n"/>
    </row>
    <row r="121" ht="14.25" customHeight="1">
      <c r="A121" s="31" t="n"/>
      <c r="D121" s="161" t="n"/>
      <c r="E121" s="161" t="n"/>
      <c r="Q121" s="31" t="n"/>
      <c r="R121" s="31" t="n"/>
      <c r="S121" s="31" t="n"/>
      <c r="T121" s="31" t="n"/>
      <c r="U121" s="31" t="n"/>
      <c r="V121" s="31" t="n"/>
      <c r="W121" s="31" t="n"/>
      <c r="X121" s="31" t="n"/>
      <c r="Y121" s="31" t="n"/>
      <c r="Z121" s="31" t="n"/>
    </row>
    <row r="122" ht="14.25" customHeight="1">
      <c r="A122" s="31" t="n"/>
      <c r="D122" s="161" t="n"/>
      <c r="E122" s="161" t="n"/>
      <c r="Q122" s="31" t="n"/>
      <c r="R122" s="31" t="n"/>
      <c r="S122" s="31" t="n"/>
      <c r="T122" s="31" t="n"/>
      <c r="U122" s="31" t="n"/>
      <c r="V122" s="31" t="n"/>
      <c r="W122" s="31" t="n"/>
      <c r="X122" s="31" t="n"/>
      <c r="Y122" s="31" t="n"/>
      <c r="Z122" s="31" t="n"/>
    </row>
    <row r="123" ht="14.25" customHeight="1">
      <c r="A123" s="31" t="n"/>
      <c r="D123" s="161" t="n"/>
      <c r="E123" s="161" t="n"/>
      <c r="Q123" s="31" t="n"/>
      <c r="R123" s="31" t="n"/>
      <c r="S123" s="31" t="n"/>
      <c r="T123" s="31" t="n"/>
      <c r="U123" s="31" t="n"/>
      <c r="V123" s="31" t="n"/>
      <c r="W123" s="31" t="n"/>
      <c r="X123" s="31" t="n"/>
      <c r="Y123" s="31" t="n"/>
      <c r="Z123" s="31" t="n"/>
    </row>
    <row r="124" ht="14.25" customHeight="1">
      <c r="A124" s="31" t="n"/>
      <c r="D124" s="161" t="n"/>
      <c r="E124" s="161" t="n"/>
      <c r="Q124" s="31" t="n"/>
      <c r="R124" s="31" t="n"/>
      <c r="S124" s="31" t="n"/>
      <c r="T124" s="31" t="n"/>
      <c r="U124" s="31" t="n"/>
      <c r="V124" s="31" t="n"/>
      <c r="W124" s="31" t="n"/>
      <c r="X124" s="31" t="n"/>
      <c r="Y124" s="31" t="n"/>
      <c r="Z124" s="31" t="n"/>
    </row>
    <row r="125" ht="14.25" customHeight="1">
      <c r="A125" s="31" t="n"/>
      <c r="D125" s="161" t="n"/>
      <c r="E125" s="161" t="n"/>
      <c r="Q125" s="31" t="n"/>
      <c r="R125" s="31" t="n"/>
      <c r="S125" s="31" t="n"/>
      <c r="T125" s="31" t="n"/>
      <c r="U125" s="31" t="n"/>
      <c r="V125" s="31" t="n"/>
      <c r="W125" s="31" t="n"/>
      <c r="X125" s="31" t="n"/>
      <c r="Y125" s="31" t="n"/>
      <c r="Z125" s="31" t="n"/>
    </row>
    <row r="126" ht="14.25" customHeight="1">
      <c r="A126" s="31" t="n"/>
      <c r="D126" s="161" t="n"/>
      <c r="E126" s="161" t="n"/>
      <c r="Q126" s="31" t="n"/>
      <c r="R126" s="31" t="n"/>
      <c r="S126" s="31" t="n"/>
      <c r="T126" s="31" t="n"/>
      <c r="U126" s="31" t="n"/>
      <c r="V126" s="31" t="n"/>
      <c r="W126" s="31" t="n"/>
      <c r="X126" s="31" t="n"/>
      <c r="Y126" s="31" t="n"/>
      <c r="Z126" s="31" t="n"/>
    </row>
    <row r="127" ht="14.25" customHeight="1">
      <c r="A127" s="31" t="n"/>
      <c r="D127" s="161" t="n"/>
      <c r="E127" s="161" t="n"/>
      <c r="Q127" s="31" t="n"/>
      <c r="R127" s="31" t="n"/>
      <c r="S127" s="31" t="n"/>
      <c r="T127" s="31" t="n"/>
      <c r="U127" s="31" t="n"/>
      <c r="V127" s="31" t="n"/>
      <c r="W127" s="31" t="n"/>
      <c r="X127" s="31" t="n"/>
      <c r="Y127" s="31" t="n"/>
      <c r="Z127" s="31" t="n"/>
    </row>
    <row r="128" ht="14.25" customHeight="1">
      <c r="A128" s="31" t="n"/>
      <c r="D128" s="161" t="n"/>
      <c r="E128" s="161" t="n"/>
      <c r="Q128" s="31" t="n"/>
      <c r="R128" s="31" t="n"/>
      <c r="S128" s="31" t="n"/>
      <c r="T128" s="31" t="n"/>
      <c r="U128" s="31" t="n"/>
      <c r="V128" s="31" t="n"/>
      <c r="W128" s="31" t="n"/>
      <c r="X128" s="31" t="n"/>
      <c r="Y128" s="31" t="n"/>
      <c r="Z128" s="31" t="n"/>
    </row>
    <row r="129" ht="14.25" customHeight="1">
      <c r="A129" s="31" t="n"/>
      <c r="D129" s="161" t="n"/>
      <c r="E129" s="161" t="n"/>
      <c r="Q129" s="31" t="n"/>
      <c r="R129" s="31" t="n"/>
      <c r="S129" s="31" t="n"/>
      <c r="T129" s="31" t="n"/>
      <c r="U129" s="31" t="n"/>
      <c r="V129" s="31" t="n"/>
      <c r="W129" s="31" t="n"/>
      <c r="X129" s="31" t="n"/>
      <c r="Y129" s="31" t="n"/>
      <c r="Z129" s="31" t="n"/>
    </row>
    <row r="130" ht="14.25" customHeight="1">
      <c r="A130" s="31" t="n"/>
      <c r="D130" s="161" t="n"/>
      <c r="E130" s="161" t="n"/>
      <c r="Q130" s="31" t="n"/>
      <c r="R130" s="31" t="n"/>
      <c r="S130" s="31" t="n"/>
      <c r="T130" s="31" t="n"/>
      <c r="U130" s="31" t="n"/>
      <c r="V130" s="31" t="n"/>
      <c r="W130" s="31" t="n"/>
      <c r="X130" s="31" t="n"/>
      <c r="Y130" s="31" t="n"/>
      <c r="Z130" s="31" t="n"/>
    </row>
    <row r="131" ht="14.25" customHeight="1">
      <c r="A131" s="31" t="n"/>
      <c r="D131" s="161" t="n"/>
      <c r="E131" s="161" t="n"/>
      <c r="Q131" s="31" t="n"/>
      <c r="R131" s="31" t="n"/>
      <c r="S131" s="31" t="n"/>
      <c r="T131" s="31" t="n"/>
      <c r="U131" s="31" t="n"/>
      <c r="V131" s="31" t="n"/>
      <c r="W131" s="31" t="n"/>
      <c r="X131" s="31" t="n"/>
      <c r="Y131" s="31" t="n"/>
      <c r="Z131" s="31" t="n"/>
    </row>
    <row r="132" ht="14.25" customHeight="1">
      <c r="A132" s="31" t="n"/>
      <c r="D132" s="161" t="n"/>
      <c r="E132" s="161" t="n"/>
      <c r="Q132" s="31" t="n"/>
      <c r="R132" s="31" t="n"/>
      <c r="S132" s="31" t="n"/>
      <c r="T132" s="31" t="n"/>
      <c r="U132" s="31" t="n"/>
      <c r="V132" s="31" t="n"/>
      <c r="W132" s="31" t="n"/>
      <c r="X132" s="31" t="n"/>
      <c r="Y132" s="31" t="n"/>
      <c r="Z132" s="31" t="n"/>
    </row>
    <row r="133" ht="14.25" customHeight="1">
      <c r="A133" s="31" t="n"/>
      <c r="D133" s="161" t="n"/>
      <c r="E133" s="161" t="n"/>
      <c r="Q133" s="31" t="n"/>
      <c r="R133" s="31" t="n"/>
      <c r="S133" s="31" t="n"/>
      <c r="T133" s="31" t="n"/>
      <c r="U133" s="31" t="n"/>
      <c r="V133" s="31" t="n"/>
      <c r="W133" s="31" t="n"/>
      <c r="X133" s="31" t="n"/>
      <c r="Y133" s="31" t="n"/>
      <c r="Z133" s="31" t="n"/>
    </row>
    <row r="134" ht="14.25" customHeight="1">
      <c r="A134" s="31" t="n"/>
      <c r="D134" s="161" t="n"/>
      <c r="E134" s="161" t="n"/>
      <c r="Q134" s="31" t="n"/>
      <c r="R134" s="31" t="n"/>
      <c r="S134" s="31" t="n"/>
      <c r="T134" s="31" t="n"/>
      <c r="U134" s="31" t="n"/>
      <c r="V134" s="31" t="n"/>
      <c r="W134" s="31" t="n"/>
      <c r="X134" s="31" t="n"/>
      <c r="Y134" s="31" t="n"/>
      <c r="Z134" s="31" t="n"/>
    </row>
    <row r="135" ht="14.25" customHeight="1">
      <c r="A135" s="31" t="n"/>
      <c r="D135" s="161" t="n"/>
      <c r="E135" s="161" t="n"/>
      <c r="Q135" s="31" t="n"/>
      <c r="R135" s="31" t="n"/>
      <c r="S135" s="31" t="n"/>
      <c r="T135" s="31" t="n"/>
      <c r="U135" s="31" t="n"/>
      <c r="V135" s="31" t="n"/>
      <c r="W135" s="31" t="n"/>
      <c r="X135" s="31" t="n"/>
      <c r="Y135" s="31" t="n"/>
      <c r="Z135" s="31" t="n"/>
    </row>
    <row r="136" ht="14.25" customHeight="1">
      <c r="A136" s="31" t="n"/>
      <c r="D136" s="161" t="n"/>
      <c r="E136" s="161" t="n"/>
      <c r="Q136" s="31" t="n"/>
      <c r="R136" s="31" t="n"/>
      <c r="S136" s="31" t="n"/>
      <c r="T136" s="31" t="n"/>
      <c r="U136" s="31" t="n"/>
      <c r="V136" s="31" t="n"/>
      <c r="W136" s="31" t="n"/>
      <c r="X136" s="31" t="n"/>
      <c r="Y136" s="31" t="n"/>
      <c r="Z136" s="31" t="n"/>
    </row>
    <row r="137" ht="14.25" customHeight="1">
      <c r="A137" s="31" t="n"/>
      <c r="D137" s="161" t="n"/>
      <c r="E137" s="161" t="n"/>
      <c r="Q137" s="31" t="n"/>
      <c r="R137" s="31" t="n"/>
      <c r="S137" s="31" t="n"/>
      <c r="T137" s="31" t="n"/>
      <c r="U137" s="31" t="n"/>
      <c r="V137" s="31" t="n"/>
      <c r="W137" s="31" t="n"/>
      <c r="X137" s="31" t="n"/>
      <c r="Y137" s="31" t="n"/>
      <c r="Z137" s="31" t="n"/>
    </row>
    <row r="138" ht="14.25" customHeight="1">
      <c r="A138" s="31" t="n"/>
      <c r="D138" s="161" t="n"/>
      <c r="E138" s="161" t="n"/>
      <c r="Q138" s="31" t="n"/>
      <c r="R138" s="31" t="n"/>
      <c r="S138" s="31" t="n"/>
      <c r="T138" s="31" t="n"/>
      <c r="U138" s="31" t="n"/>
      <c r="V138" s="31" t="n"/>
      <c r="W138" s="31" t="n"/>
      <c r="X138" s="31" t="n"/>
      <c r="Y138" s="31" t="n"/>
      <c r="Z138" s="31" t="n"/>
    </row>
    <row r="139" ht="14.25" customHeight="1">
      <c r="A139" s="31" t="n"/>
      <c r="D139" s="161" t="n"/>
      <c r="E139" s="161" t="n"/>
      <c r="Q139" s="31" t="n"/>
      <c r="R139" s="31" t="n"/>
      <c r="S139" s="31" t="n"/>
      <c r="T139" s="31" t="n"/>
      <c r="U139" s="31" t="n"/>
      <c r="V139" s="31" t="n"/>
      <c r="W139" s="31" t="n"/>
      <c r="X139" s="31" t="n"/>
      <c r="Y139" s="31" t="n"/>
      <c r="Z139" s="31" t="n"/>
    </row>
    <row r="140" ht="14.25" customHeight="1">
      <c r="A140" s="31" t="n"/>
      <c r="D140" s="161" t="n"/>
      <c r="E140" s="161" t="n"/>
      <c r="Q140" s="31" t="n"/>
      <c r="R140" s="31" t="n"/>
      <c r="S140" s="31" t="n"/>
      <c r="T140" s="31" t="n"/>
      <c r="U140" s="31" t="n"/>
      <c r="V140" s="31" t="n"/>
      <c r="W140" s="31" t="n"/>
      <c r="X140" s="31" t="n"/>
      <c r="Y140" s="31" t="n"/>
      <c r="Z140" s="31" t="n"/>
    </row>
    <row r="141" ht="14.25" customHeight="1">
      <c r="A141" s="31" t="n"/>
      <c r="D141" s="161" t="n"/>
      <c r="E141" s="161" t="n"/>
      <c r="Q141" s="31" t="n"/>
      <c r="R141" s="31" t="n"/>
      <c r="S141" s="31" t="n"/>
      <c r="T141" s="31" t="n"/>
      <c r="U141" s="31" t="n"/>
      <c r="V141" s="31" t="n"/>
      <c r="W141" s="31" t="n"/>
      <c r="X141" s="31" t="n"/>
      <c r="Y141" s="31" t="n"/>
      <c r="Z141" s="31" t="n"/>
    </row>
    <row r="142" ht="14.25" customHeight="1">
      <c r="A142" s="31" t="n"/>
      <c r="D142" s="161" t="n"/>
      <c r="E142" s="161" t="n"/>
      <c r="Q142" s="31" t="n"/>
      <c r="R142" s="31" t="n"/>
      <c r="S142" s="31" t="n"/>
      <c r="T142" s="31" t="n"/>
      <c r="U142" s="31" t="n"/>
      <c r="V142" s="31" t="n"/>
      <c r="W142" s="31" t="n"/>
      <c r="X142" s="31" t="n"/>
      <c r="Y142" s="31" t="n"/>
      <c r="Z142" s="31" t="n"/>
    </row>
    <row r="143" ht="14.25" customHeight="1">
      <c r="A143" s="31" t="n"/>
      <c r="D143" s="161" t="n"/>
      <c r="E143" s="161" t="n"/>
      <c r="Q143" s="31" t="n"/>
      <c r="R143" s="31" t="n"/>
      <c r="S143" s="31" t="n"/>
      <c r="T143" s="31" t="n"/>
      <c r="U143" s="31" t="n"/>
      <c r="V143" s="31" t="n"/>
      <c r="W143" s="31" t="n"/>
      <c r="X143" s="31" t="n"/>
      <c r="Y143" s="31" t="n"/>
      <c r="Z143" s="31" t="n"/>
    </row>
    <row r="144" ht="14.25" customHeight="1">
      <c r="A144" s="31" t="n"/>
      <c r="D144" s="161" t="n"/>
      <c r="E144" s="161" t="n"/>
      <c r="Q144" s="31" t="n"/>
      <c r="R144" s="31" t="n"/>
      <c r="S144" s="31" t="n"/>
      <c r="T144" s="31" t="n"/>
      <c r="U144" s="31" t="n"/>
      <c r="V144" s="31" t="n"/>
      <c r="W144" s="31" t="n"/>
      <c r="X144" s="31" t="n"/>
      <c r="Y144" s="31" t="n"/>
      <c r="Z144" s="31" t="n"/>
    </row>
    <row r="145" ht="14.25" customHeight="1">
      <c r="A145" s="31" t="n"/>
      <c r="D145" s="161" t="n"/>
      <c r="E145" s="161" t="n"/>
      <c r="Q145" s="31" t="n"/>
      <c r="R145" s="31" t="n"/>
      <c r="S145" s="31" t="n"/>
      <c r="T145" s="31" t="n"/>
      <c r="U145" s="31" t="n"/>
      <c r="V145" s="31" t="n"/>
      <c r="W145" s="31" t="n"/>
      <c r="X145" s="31" t="n"/>
      <c r="Y145" s="31" t="n"/>
      <c r="Z145" s="31" t="n"/>
    </row>
    <row r="146" ht="14.25" customHeight="1">
      <c r="A146" s="31" t="n"/>
      <c r="D146" s="161" t="n"/>
      <c r="E146" s="161" t="n"/>
      <c r="Q146" s="31" t="n"/>
      <c r="R146" s="31" t="n"/>
      <c r="S146" s="31" t="n"/>
      <c r="T146" s="31" t="n"/>
      <c r="U146" s="31" t="n"/>
      <c r="V146" s="31" t="n"/>
      <c r="W146" s="31" t="n"/>
      <c r="X146" s="31" t="n"/>
      <c r="Y146" s="31" t="n"/>
      <c r="Z146" s="31" t="n"/>
    </row>
    <row r="147" ht="14.25" customHeight="1">
      <c r="A147" s="31" t="n"/>
      <c r="D147" s="161" t="n"/>
      <c r="E147" s="161" t="n"/>
      <c r="Q147" s="31" t="n"/>
      <c r="R147" s="31" t="n"/>
      <c r="S147" s="31" t="n"/>
      <c r="T147" s="31" t="n"/>
      <c r="U147" s="31" t="n"/>
      <c r="V147" s="31" t="n"/>
      <c r="W147" s="31" t="n"/>
      <c r="X147" s="31" t="n"/>
      <c r="Y147" s="31" t="n"/>
      <c r="Z147" s="31" t="n"/>
    </row>
    <row r="148" ht="14.25" customHeight="1">
      <c r="A148" s="31" t="n"/>
      <c r="D148" s="161" t="n"/>
      <c r="E148" s="161" t="n"/>
      <c r="Q148" s="31" t="n"/>
      <c r="R148" s="31" t="n"/>
      <c r="S148" s="31" t="n"/>
      <c r="T148" s="31" t="n"/>
      <c r="U148" s="31" t="n"/>
      <c r="V148" s="31" t="n"/>
      <c r="W148" s="31" t="n"/>
      <c r="X148" s="31" t="n"/>
      <c r="Y148" s="31" t="n"/>
      <c r="Z148" s="31" t="n"/>
    </row>
    <row r="149" ht="14.25" customHeight="1">
      <c r="A149" s="31" t="n"/>
      <c r="D149" s="161" t="n"/>
      <c r="E149" s="161" t="n"/>
      <c r="Q149" s="31" t="n"/>
      <c r="R149" s="31" t="n"/>
      <c r="S149" s="31" t="n"/>
      <c r="T149" s="31" t="n"/>
      <c r="U149" s="31" t="n"/>
      <c r="V149" s="31" t="n"/>
      <c r="W149" s="31" t="n"/>
      <c r="X149" s="31" t="n"/>
      <c r="Y149" s="31" t="n"/>
      <c r="Z149" s="31" t="n"/>
    </row>
    <row r="150" ht="14.25" customHeight="1">
      <c r="A150" s="31" t="n"/>
      <c r="D150" s="161" t="n"/>
      <c r="E150" s="161" t="n"/>
      <c r="Q150" s="31" t="n"/>
      <c r="R150" s="31" t="n"/>
      <c r="S150" s="31" t="n"/>
      <c r="T150" s="31" t="n"/>
      <c r="U150" s="31" t="n"/>
      <c r="V150" s="31" t="n"/>
      <c r="W150" s="31" t="n"/>
      <c r="X150" s="31" t="n"/>
      <c r="Y150" s="31" t="n"/>
      <c r="Z150" s="31" t="n"/>
    </row>
    <row r="151" ht="14.25" customHeight="1">
      <c r="A151" s="31" t="n"/>
      <c r="D151" s="161" t="n"/>
      <c r="E151" s="161" t="n"/>
      <c r="Q151" s="31" t="n"/>
      <c r="R151" s="31" t="n"/>
      <c r="S151" s="31" t="n"/>
      <c r="T151" s="31" t="n"/>
      <c r="U151" s="31" t="n"/>
      <c r="V151" s="31" t="n"/>
      <c r="W151" s="31" t="n"/>
      <c r="X151" s="31" t="n"/>
      <c r="Y151" s="31" t="n"/>
      <c r="Z151" s="31" t="n"/>
    </row>
    <row r="152" ht="14.25" customHeight="1">
      <c r="A152" s="31" t="n"/>
      <c r="D152" s="161" t="n"/>
      <c r="E152" s="161" t="n"/>
      <c r="Q152" s="31" t="n"/>
      <c r="R152" s="31" t="n"/>
      <c r="S152" s="31" t="n"/>
      <c r="T152" s="31" t="n"/>
      <c r="U152" s="31" t="n"/>
      <c r="V152" s="31" t="n"/>
      <c r="W152" s="31" t="n"/>
      <c r="X152" s="31" t="n"/>
      <c r="Y152" s="31" t="n"/>
      <c r="Z152" s="31" t="n"/>
    </row>
    <row r="153" ht="14.25" customHeight="1">
      <c r="A153" s="31" t="n"/>
      <c r="D153" s="161" t="n"/>
      <c r="E153" s="161" t="n"/>
      <c r="Q153" s="31" t="n"/>
      <c r="R153" s="31" t="n"/>
      <c r="S153" s="31" t="n"/>
      <c r="T153" s="31" t="n"/>
      <c r="U153" s="31" t="n"/>
      <c r="V153" s="31" t="n"/>
      <c r="W153" s="31" t="n"/>
      <c r="X153" s="31" t="n"/>
      <c r="Y153" s="31" t="n"/>
      <c r="Z153" s="31" t="n"/>
    </row>
    <row r="154" ht="14.25" customHeight="1">
      <c r="A154" s="31" t="n"/>
      <c r="D154" s="161" t="n"/>
      <c r="E154" s="161" t="n"/>
      <c r="Q154" s="31" t="n"/>
      <c r="R154" s="31" t="n"/>
      <c r="S154" s="31" t="n"/>
      <c r="T154" s="31" t="n"/>
      <c r="U154" s="31" t="n"/>
      <c r="V154" s="31" t="n"/>
      <c r="W154" s="31" t="n"/>
      <c r="X154" s="31" t="n"/>
      <c r="Y154" s="31" t="n"/>
      <c r="Z154" s="31" t="n"/>
    </row>
    <row r="155" ht="14.25" customHeight="1">
      <c r="A155" s="31" t="n"/>
      <c r="D155" s="161" t="n"/>
      <c r="E155" s="161" t="n"/>
      <c r="Q155" s="31" t="n"/>
      <c r="R155" s="31" t="n"/>
      <c r="S155" s="31" t="n"/>
      <c r="T155" s="31" t="n"/>
      <c r="U155" s="31" t="n"/>
      <c r="V155" s="31" t="n"/>
      <c r="W155" s="31" t="n"/>
      <c r="X155" s="31" t="n"/>
      <c r="Y155" s="31" t="n"/>
      <c r="Z155" s="31" t="n"/>
    </row>
    <row r="156" ht="14.25" customHeight="1">
      <c r="A156" s="31" t="n"/>
      <c r="D156" s="161" t="n"/>
      <c r="E156" s="161" t="n"/>
      <c r="Q156" s="31" t="n"/>
      <c r="R156" s="31" t="n"/>
      <c r="S156" s="31" t="n"/>
      <c r="T156" s="31" t="n"/>
      <c r="U156" s="31" t="n"/>
      <c r="V156" s="31" t="n"/>
      <c r="W156" s="31" t="n"/>
      <c r="X156" s="31" t="n"/>
      <c r="Y156" s="31" t="n"/>
      <c r="Z156" s="31" t="n"/>
    </row>
    <row r="157" ht="14.25" customHeight="1">
      <c r="A157" s="31" t="n"/>
      <c r="D157" s="161" t="n"/>
      <c r="E157" s="161" t="n"/>
      <c r="Q157" s="31" t="n"/>
      <c r="R157" s="31" t="n"/>
      <c r="S157" s="31" t="n"/>
      <c r="T157" s="31" t="n"/>
      <c r="U157" s="31" t="n"/>
      <c r="V157" s="31" t="n"/>
      <c r="W157" s="31" t="n"/>
      <c r="X157" s="31" t="n"/>
      <c r="Y157" s="31" t="n"/>
      <c r="Z157" s="31" t="n"/>
    </row>
    <row r="158" ht="14.25" customHeight="1">
      <c r="A158" s="31" t="n"/>
      <c r="D158" s="161" t="n"/>
      <c r="E158" s="161" t="n"/>
      <c r="Q158" s="31" t="n"/>
      <c r="R158" s="31" t="n"/>
      <c r="S158" s="31" t="n"/>
      <c r="T158" s="31" t="n"/>
      <c r="U158" s="31" t="n"/>
      <c r="V158" s="31" t="n"/>
      <c r="W158" s="31" t="n"/>
      <c r="X158" s="31" t="n"/>
      <c r="Y158" s="31" t="n"/>
      <c r="Z158" s="31" t="n"/>
    </row>
    <row r="159" ht="14.25" customHeight="1">
      <c r="A159" s="31" t="n"/>
      <c r="D159" s="161" t="n"/>
      <c r="E159" s="161" t="n"/>
      <c r="Q159" s="31" t="n"/>
      <c r="R159" s="31" t="n"/>
      <c r="S159" s="31" t="n"/>
      <c r="T159" s="31" t="n"/>
      <c r="U159" s="31" t="n"/>
      <c r="V159" s="31" t="n"/>
      <c r="W159" s="31" t="n"/>
      <c r="X159" s="31" t="n"/>
      <c r="Y159" s="31" t="n"/>
      <c r="Z159" s="31" t="n"/>
    </row>
    <row r="160" ht="14.25" customHeight="1">
      <c r="A160" s="31" t="n"/>
      <c r="D160" s="161" t="n"/>
      <c r="E160" s="161" t="n"/>
      <c r="Q160" s="31" t="n"/>
      <c r="R160" s="31" t="n"/>
      <c r="S160" s="31" t="n"/>
      <c r="T160" s="31" t="n"/>
      <c r="U160" s="31" t="n"/>
      <c r="V160" s="31" t="n"/>
      <c r="W160" s="31" t="n"/>
      <c r="X160" s="31" t="n"/>
      <c r="Y160" s="31" t="n"/>
      <c r="Z160" s="31" t="n"/>
    </row>
    <row r="161" ht="14.25" customHeight="1">
      <c r="A161" s="31" t="n"/>
      <c r="D161" s="161" t="n"/>
      <c r="E161" s="161" t="n"/>
      <c r="Q161" s="31" t="n"/>
      <c r="R161" s="31" t="n"/>
      <c r="S161" s="31" t="n"/>
      <c r="T161" s="31" t="n"/>
      <c r="U161" s="31" t="n"/>
      <c r="V161" s="31" t="n"/>
      <c r="W161" s="31" t="n"/>
      <c r="X161" s="31" t="n"/>
      <c r="Y161" s="31" t="n"/>
      <c r="Z161" s="31" t="n"/>
    </row>
    <row r="162" ht="14.25" customHeight="1">
      <c r="A162" s="31" t="n"/>
      <c r="D162" s="161" t="n"/>
      <c r="E162" s="161" t="n"/>
      <c r="Q162" s="31" t="n"/>
      <c r="R162" s="31" t="n"/>
      <c r="S162" s="31" t="n"/>
      <c r="T162" s="31" t="n"/>
      <c r="U162" s="31" t="n"/>
      <c r="V162" s="31" t="n"/>
      <c r="W162" s="31" t="n"/>
      <c r="X162" s="31" t="n"/>
      <c r="Y162" s="31" t="n"/>
      <c r="Z162" s="31" t="n"/>
    </row>
    <row r="163" ht="14.25" customHeight="1">
      <c r="A163" s="31" t="n"/>
      <c r="D163" s="161" t="n"/>
      <c r="E163" s="161" t="n"/>
      <c r="Q163" s="31" t="n"/>
      <c r="R163" s="31" t="n"/>
      <c r="S163" s="31" t="n"/>
      <c r="T163" s="31" t="n"/>
      <c r="U163" s="31" t="n"/>
      <c r="V163" s="31" t="n"/>
      <c r="W163" s="31" t="n"/>
      <c r="X163" s="31" t="n"/>
      <c r="Y163" s="31" t="n"/>
      <c r="Z163" s="31" t="n"/>
    </row>
    <row r="164" ht="14.25" customHeight="1">
      <c r="A164" s="31" t="n"/>
      <c r="D164" s="161" t="n"/>
      <c r="E164" s="161" t="n"/>
      <c r="Q164" s="31" t="n"/>
      <c r="R164" s="31" t="n"/>
      <c r="S164" s="31" t="n"/>
      <c r="T164" s="31" t="n"/>
      <c r="U164" s="31" t="n"/>
      <c r="V164" s="31" t="n"/>
      <c r="W164" s="31" t="n"/>
      <c r="X164" s="31" t="n"/>
      <c r="Y164" s="31" t="n"/>
      <c r="Z164" s="31" t="n"/>
    </row>
    <row r="165" ht="14.25" customHeight="1">
      <c r="A165" s="31" t="n"/>
      <c r="D165" s="161" t="n"/>
      <c r="E165" s="161" t="n"/>
      <c r="Q165" s="31" t="n"/>
      <c r="R165" s="31" t="n"/>
      <c r="S165" s="31" t="n"/>
      <c r="T165" s="31" t="n"/>
      <c r="U165" s="31" t="n"/>
      <c r="V165" s="31" t="n"/>
      <c r="W165" s="31" t="n"/>
      <c r="X165" s="31" t="n"/>
      <c r="Y165" s="31" t="n"/>
      <c r="Z165" s="31" t="n"/>
    </row>
    <row r="166" ht="14.25" customHeight="1">
      <c r="A166" s="31" t="n"/>
      <c r="D166" s="161" t="n"/>
      <c r="E166" s="161" t="n"/>
      <c r="Q166" s="31" t="n"/>
      <c r="R166" s="31" t="n"/>
      <c r="S166" s="31" t="n"/>
      <c r="T166" s="31" t="n"/>
      <c r="U166" s="31" t="n"/>
      <c r="V166" s="31" t="n"/>
      <c r="W166" s="31" t="n"/>
      <c r="X166" s="31" t="n"/>
      <c r="Y166" s="31" t="n"/>
      <c r="Z166" s="31" t="n"/>
    </row>
    <row r="167" ht="14.25" customHeight="1">
      <c r="A167" s="31" t="n"/>
      <c r="D167" s="161" t="n"/>
      <c r="E167" s="161" t="n"/>
      <c r="Q167" s="31" t="n"/>
      <c r="R167" s="31" t="n"/>
      <c r="S167" s="31" t="n"/>
      <c r="T167" s="31" t="n"/>
      <c r="U167" s="31" t="n"/>
      <c r="V167" s="31" t="n"/>
      <c r="W167" s="31" t="n"/>
      <c r="X167" s="31" t="n"/>
      <c r="Y167" s="31" t="n"/>
      <c r="Z167" s="31" t="n"/>
    </row>
    <row r="168" ht="14.25" customHeight="1">
      <c r="A168" s="31" t="n"/>
      <c r="D168" s="161" t="n"/>
      <c r="E168" s="161" t="n"/>
      <c r="Q168" s="31" t="n"/>
      <c r="R168" s="31" t="n"/>
      <c r="S168" s="31" t="n"/>
      <c r="T168" s="31" t="n"/>
      <c r="U168" s="31" t="n"/>
      <c r="V168" s="31" t="n"/>
      <c r="W168" s="31" t="n"/>
      <c r="X168" s="31" t="n"/>
      <c r="Y168" s="31" t="n"/>
      <c r="Z168" s="31" t="n"/>
    </row>
    <row r="169" ht="14.25" customHeight="1">
      <c r="A169" s="31" t="n"/>
      <c r="D169" s="161" t="n"/>
      <c r="E169" s="161" t="n"/>
      <c r="Q169" s="31" t="n"/>
      <c r="R169" s="31" t="n"/>
      <c r="S169" s="31" t="n"/>
      <c r="T169" s="31" t="n"/>
      <c r="U169" s="31" t="n"/>
      <c r="V169" s="31" t="n"/>
      <c r="W169" s="31" t="n"/>
      <c r="X169" s="31" t="n"/>
      <c r="Y169" s="31" t="n"/>
      <c r="Z169" s="31" t="n"/>
    </row>
    <row r="170" ht="14.25" customHeight="1">
      <c r="A170" s="31" t="n"/>
      <c r="D170" s="161" t="n"/>
      <c r="E170" s="161" t="n"/>
      <c r="Q170" s="31" t="n"/>
      <c r="R170" s="31" t="n"/>
      <c r="S170" s="31" t="n"/>
      <c r="T170" s="31" t="n"/>
      <c r="U170" s="31" t="n"/>
      <c r="V170" s="31" t="n"/>
      <c r="W170" s="31" t="n"/>
      <c r="X170" s="31" t="n"/>
      <c r="Y170" s="31" t="n"/>
      <c r="Z170" s="31" t="n"/>
    </row>
    <row r="171" ht="14.25" customHeight="1">
      <c r="A171" s="31" t="n"/>
      <c r="D171" s="161" t="n"/>
      <c r="E171" s="161" t="n"/>
      <c r="Q171" s="31" t="n"/>
      <c r="R171" s="31" t="n"/>
      <c r="S171" s="31" t="n"/>
      <c r="T171" s="31" t="n"/>
      <c r="U171" s="31" t="n"/>
      <c r="V171" s="31" t="n"/>
      <c r="W171" s="31" t="n"/>
      <c r="X171" s="31" t="n"/>
      <c r="Y171" s="31" t="n"/>
      <c r="Z171" s="31" t="n"/>
    </row>
    <row r="172" ht="14.25" customHeight="1">
      <c r="A172" s="31" t="n"/>
      <c r="D172" s="161" t="n"/>
      <c r="E172" s="161" t="n"/>
      <c r="Q172" s="31" t="n"/>
      <c r="R172" s="31" t="n"/>
      <c r="S172" s="31" t="n"/>
      <c r="T172" s="31" t="n"/>
      <c r="U172" s="31" t="n"/>
      <c r="V172" s="31" t="n"/>
      <c r="W172" s="31" t="n"/>
      <c r="X172" s="31" t="n"/>
      <c r="Y172" s="31" t="n"/>
      <c r="Z172" s="31" t="n"/>
    </row>
    <row r="173" ht="14.25" customHeight="1">
      <c r="A173" s="31" t="n"/>
      <c r="D173" s="161" t="n"/>
      <c r="E173" s="161" t="n"/>
      <c r="Q173" s="31" t="n"/>
      <c r="R173" s="31" t="n"/>
      <c r="S173" s="31" t="n"/>
      <c r="T173" s="31" t="n"/>
      <c r="U173" s="31" t="n"/>
      <c r="V173" s="31" t="n"/>
      <c r="W173" s="31" t="n"/>
      <c r="X173" s="31" t="n"/>
      <c r="Y173" s="31" t="n"/>
      <c r="Z173" s="31" t="n"/>
    </row>
    <row r="174" ht="14.25" customHeight="1">
      <c r="A174" s="31" t="n"/>
      <c r="D174" s="161" t="n"/>
      <c r="E174" s="161" t="n"/>
      <c r="Q174" s="31" t="n"/>
      <c r="R174" s="31" t="n"/>
      <c r="S174" s="31" t="n"/>
      <c r="T174" s="31" t="n"/>
      <c r="U174" s="31" t="n"/>
      <c r="V174" s="31" t="n"/>
      <c r="W174" s="31" t="n"/>
      <c r="X174" s="31" t="n"/>
      <c r="Y174" s="31" t="n"/>
      <c r="Z174" s="31" t="n"/>
    </row>
    <row r="175" ht="14.25" customHeight="1">
      <c r="A175" s="31" t="n"/>
      <c r="D175" s="161" t="n"/>
      <c r="E175" s="161" t="n"/>
      <c r="Q175" s="31" t="n"/>
      <c r="R175" s="31" t="n"/>
      <c r="S175" s="31" t="n"/>
      <c r="T175" s="31" t="n"/>
      <c r="U175" s="31" t="n"/>
      <c r="V175" s="31" t="n"/>
      <c r="W175" s="31" t="n"/>
      <c r="X175" s="31" t="n"/>
      <c r="Y175" s="31" t="n"/>
      <c r="Z175" s="31" t="n"/>
    </row>
    <row r="176" ht="14.25" customHeight="1">
      <c r="A176" s="31" t="n"/>
      <c r="D176" s="161" t="n"/>
      <c r="E176" s="161" t="n"/>
      <c r="Q176" s="31" t="n"/>
      <c r="R176" s="31" t="n"/>
      <c r="S176" s="31" t="n"/>
      <c r="T176" s="31" t="n"/>
      <c r="U176" s="31" t="n"/>
      <c r="V176" s="31" t="n"/>
      <c r="W176" s="31" t="n"/>
      <c r="X176" s="31" t="n"/>
      <c r="Y176" s="31" t="n"/>
      <c r="Z176" s="31" t="n"/>
    </row>
    <row r="177" ht="14.25" customHeight="1">
      <c r="A177" s="31" t="n"/>
      <c r="D177" s="161" t="n"/>
      <c r="E177" s="161" t="n"/>
      <c r="Q177" s="31" t="n"/>
      <c r="R177" s="31" t="n"/>
      <c r="S177" s="31" t="n"/>
      <c r="T177" s="31" t="n"/>
      <c r="U177" s="31" t="n"/>
      <c r="V177" s="31" t="n"/>
      <c r="W177" s="31" t="n"/>
      <c r="X177" s="31" t="n"/>
      <c r="Y177" s="31" t="n"/>
      <c r="Z177" s="31" t="n"/>
    </row>
    <row r="178" ht="14.25" customHeight="1">
      <c r="A178" s="31" t="n"/>
      <c r="D178" s="161" t="n"/>
      <c r="E178" s="161" t="n"/>
      <c r="Q178" s="31" t="n"/>
      <c r="R178" s="31" t="n"/>
      <c r="S178" s="31" t="n"/>
      <c r="T178" s="31" t="n"/>
      <c r="U178" s="31" t="n"/>
      <c r="V178" s="31" t="n"/>
      <c r="W178" s="31" t="n"/>
      <c r="X178" s="31" t="n"/>
      <c r="Y178" s="31" t="n"/>
      <c r="Z178" s="31" t="n"/>
    </row>
    <row r="179" ht="14.25" customHeight="1">
      <c r="A179" s="31" t="n"/>
      <c r="D179" s="161" t="n"/>
      <c r="E179" s="161" t="n"/>
      <c r="Q179" s="31" t="n"/>
      <c r="R179" s="31" t="n"/>
      <c r="S179" s="31" t="n"/>
      <c r="T179" s="31" t="n"/>
      <c r="U179" s="31" t="n"/>
      <c r="V179" s="31" t="n"/>
      <c r="W179" s="31" t="n"/>
      <c r="X179" s="31" t="n"/>
      <c r="Y179" s="31" t="n"/>
      <c r="Z179" s="31" t="n"/>
    </row>
    <row r="180" ht="14.25" customHeight="1">
      <c r="A180" s="31" t="n"/>
      <c r="D180" s="161" t="n"/>
      <c r="E180" s="161" t="n"/>
      <c r="Q180" s="31" t="n"/>
      <c r="R180" s="31" t="n"/>
      <c r="S180" s="31" t="n"/>
      <c r="T180" s="31" t="n"/>
      <c r="U180" s="31" t="n"/>
      <c r="V180" s="31" t="n"/>
      <c r="W180" s="31" t="n"/>
      <c r="X180" s="31" t="n"/>
      <c r="Y180" s="31" t="n"/>
      <c r="Z180" s="31" t="n"/>
    </row>
    <row r="181" ht="14.25" customHeight="1">
      <c r="A181" s="31" t="n"/>
      <c r="D181" s="161" t="n"/>
      <c r="E181" s="161" t="n"/>
      <c r="Q181" s="31" t="n"/>
      <c r="R181" s="31" t="n"/>
      <c r="S181" s="31" t="n"/>
      <c r="T181" s="31" t="n"/>
      <c r="U181" s="31" t="n"/>
      <c r="V181" s="31" t="n"/>
      <c r="W181" s="31" t="n"/>
      <c r="X181" s="31" t="n"/>
      <c r="Y181" s="31" t="n"/>
      <c r="Z181" s="31" t="n"/>
    </row>
    <row r="182" ht="14.25" customHeight="1">
      <c r="A182" s="31" t="n"/>
      <c r="D182" s="161" t="n"/>
      <c r="E182" s="161" t="n"/>
      <c r="Q182" s="31" t="n"/>
      <c r="R182" s="31" t="n"/>
      <c r="S182" s="31" t="n"/>
      <c r="T182" s="31" t="n"/>
      <c r="U182" s="31" t="n"/>
      <c r="V182" s="31" t="n"/>
      <c r="W182" s="31" t="n"/>
      <c r="X182" s="31" t="n"/>
      <c r="Y182" s="31" t="n"/>
      <c r="Z182" s="31" t="n"/>
    </row>
    <row r="183" ht="14.25" customHeight="1">
      <c r="A183" s="31" t="n"/>
      <c r="D183" s="161" t="n"/>
      <c r="E183" s="161" t="n"/>
      <c r="Q183" s="31" t="n"/>
      <c r="R183" s="31" t="n"/>
      <c r="S183" s="31" t="n"/>
      <c r="T183" s="31" t="n"/>
      <c r="U183" s="31" t="n"/>
      <c r="V183" s="31" t="n"/>
      <c r="W183" s="31" t="n"/>
      <c r="X183" s="31" t="n"/>
      <c r="Y183" s="31" t="n"/>
      <c r="Z183" s="31" t="n"/>
    </row>
    <row r="184" ht="14.25" customHeight="1">
      <c r="A184" s="31" t="n"/>
      <c r="D184" s="161" t="n"/>
      <c r="E184" s="161" t="n"/>
      <c r="Q184" s="31" t="n"/>
      <c r="R184" s="31" t="n"/>
      <c r="S184" s="31" t="n"/>
      <c r="T184" s="31" t="n"/>
      <c r="U184" s="31" t="n"/>
      <c r="V184" s="31" t="n"/>
      <c r="W184" s="31" t="n"/>
      <c r="X184" s="31" t="n"/>
      <c r="Y184" s="31" t="n"/>
      <c r="Z184" s="31" t="n"/>
    </row>
    <row r="185" ht="14.25" customHeight="1">
      <c r="A185" s="31" t="n"/>
      <c r="D185" s="161" t="n"/>
      <c r="E185" s="161" t="n"/>
      <c r="Q185" s="31" t="n"/>
      <c r="R185" s="31" t="n"/>
      <c r="S185" s="31" t="n"/>
      <c r="T185" s="31" t="n"/>
      <c r="U185" s="31" t="n"/>
      <c r="V185" s="31" t="n"/>
      <c r="W185" s="31" t="n"/>
      <c r="X185" s="31" t="n"/>
      <c r="Y185" s="31" t="n"/>
      <c r="Z185" s="31" t="n"/>
    </row>
    <row r="186" ht="14.25" customHeight="1">
      <c r="A186" s="31" t="n"/>
      <c r="D186" s="161" t="n"/>
      <c r="E186" s="161" t="n"/>
      <c r="Q186" s="31" t="n"/>
      <c r="R186" s="31" t="n"/>
      <c r="S186" s="31" t="n"/>
      <c r="T186" s="31" t="n"/>
      <c r="U186" s="31" t="n"/>
      <c r="V186" s="31" t="n"/>
      <c r="W186" s="31" t="n"/>
      <c r="X186" s="31" t="n"/>
      <c r="Y186" s="31" t="n"/>
      <c r="Z186" s="31" t="n"/>
    </row>
    <row r="187" ht="14.25" customHeight="1">
      <c r="A187" s="31" t="n"/>
      <c r="D187" s="161" t="n"/>
      <c r="E187" s="161" t="n"/>
      <c r="Q187" s="31" t="n"/>
      <c r="R187" s="31" t="n"/>
      <c r="S187" s="31" t="n"/>
      <c r="T187" s="31" t="n"/>
      <c r="U187" s="31" t="n"/>
      <c r="V187" s="31" t="n"/>
      <c r="W187" s="31" t="n"/>
      <c r="X187" s="31" t="n"/>
      <c r="Y187" s="31" t="n"/>
      <c r="Z187" s="31" t="n"/>
    </row>
    <row r="188" ht="14.25" customHeight="1">
      <c r="A188" s="31" t="n"/>
      <c r="D188" s="161" t="n"/>
      <c r="E188" s="161" t="n"/>
      <c r="Q188" s="31" t="n"/>
      <c r="R188" s="31" t="n"/>
      <c r="S188" s="31" t="n"/>
      <c r="T188" s="31" t="n"/>
      <c r="U188" s="31" t="n"/>
      <c r="V188" s="31" t="n"/>
      <c r="W188" s="31" t="n"/>
      <c r="X188" s="31" t="n"/>
      <c r="Y188" s="31" t="n"/>
      <c r="Z188" s="31" t="n"/>
    </row>
    <row r="189" ht="14.25" customHeight="1">
      <c r="A189" s="31" t="n"/>
      <c r="D189" s="161" t="n"/>
      <c r="E189" s="161" t="n"/>
      <c r="Q189" s="31" t="n"/>
      <c r="R189" s="31" t="n"/>
      <c r="S189" s="31" t="n"/>
      <c r="T189" s="31" t="n"/>
      <c r="U189" s="31" t="n"/>
      <c r="V189" s="31" t="n"/>
      <c r="W189" s="31" t="n"/>
      <c r="X189" s="31" t="n"/>
      <c r="Y189" s="31" t="n"/>
      <c r="Z189" s="31" t="n"/>
    </row>
    <row r="190" ht="14.25" customHeight="1">
      <c r="A190" s="31" t="n"/>
      <c r="D190" s="161" t="n"/>
      <c r="E190" s="161" t="n"/>
      <c r="Q190" s="31" t="n"/>
      <c r="R190" s="31" t="n"/>
      <c r="S190" s="31" t="n"/>
      <c r="T190" s="31" t="n"/>
      <c r="U190" s="31" t="n"/>
      <c r="V190" s="31" t="n"/>
      <c r="W190" s="31" t="n"/>
      <c r="X190" s="31" t="n"/>
      <c r="Y190" s="31" t="n"/>
      <c r="Z190" s="31" t="n"/>
    </row>
    <row r="191" ht="14.25" customHeight="1">
      <c r="A191" s="31" t="n"/>
      <c r="D191" s="161" t="n"/>
      <c r="E191" s="161" t="n"/>
      <c r="Q191" s="31" t="n"/>
      <c r="R191" s="31" t="n"/>
      <c r="S191" s="31" t="n"/>
      <c r="T191" s="31" t="n"/>
      <c r="U191" s="31" t="n"/>
      <c r="V191" s="31" t="n"/>
      <c r="W191" s="31" t="n"/>
      <c r="X191" s="31" t="n"/>
      <c r="Y191" s="31" t="n"/>
      <c r="Z191" s="31" t="n"/>
    </row>
    <row r="192" ht="14.25" customHeight="1">
      <c r="A192" s="31" t="n"/>
      <c r="D192" s="161" t="n"/>
      <c r="E192" s="161" t="n"/>
      <c r="Q192" s="31" t="n"/>
      <c r="R192" s="31" t="n"/>
      <c r="S192" s="31" t="n"/>
      <c r="T192" s="31" t="n"/>
      <c r="U192" s="31" t="n"/>
      <c r="V192" s="31" t="n"/>
      <c r="W192" s="31" t="n"/>
      <c r="X192" s="31" t="n"/>
      <c r="Y192" s="31" t="n"/>
      <c r="Z192" s="31" t="n"/>
    </row>
    <row r="193" ht="14.25" customHeight="1">
      <c r="A193" s="31" t="n"/>
      <c r="D193" s="161" t="n"/>
      <c r="E193" s="161" t="n"/>
      <c r="Q193" s="31" t="n"/>
      <c r="R193" s="31" t="n"/>
      <c r="S193" s="31" t="n"/>
      <c r="T193" s="31" t="n"/>
      <c r="U193" s="31" t="n"/>
      <c r="V193" s="31" t="n"/>
      <c r="W193" s="31" t="n"/>
      <c r="X193" s="31" t="n"/>
      <c r="Y193" s="31" t="n"/>
      <c r="Z193" s="31" t="n"/>
    </row>
    <row r="194" ht="14.25" customHeight="1">
      <c r="A194" s="31" t="n"/>
      <c r="D194" s="161" t="n"/>
      <c r="E194" s="161" t="n"/>
      <c r="Q194" s="31" t="n"/>
      <c r="R194" s="31" t="n"/>
      <c r="S194" s="31" t="n"/>
      <c r="T194" s="31" t="n"/>
      <c r="U194" s="31" t="n"/>
      <c r="V194" s="31" t="n"/>
      <c r="W194" s="31" t="n"/>
      <c r="X194" s="31" t="n"/>
      <c r="Y194" s="31" t="n"/>
      <c r="Z194" s="31" t="n"/>
    </row>
    <row r="195" ht="14.25" customHeight="1">
      <c r="A195" s="31" t="n"/>
      <c r="D195" s="161" t="n"/>
      <c r="E195" s="161" t="n"/>
      <c r="Q195" s="31" t="n"/>
      <c r="R195" s="31" t="n"/>
      <c r="S195" s="31" t="n"/>
      <c r="T195" s="31" t="n"/>
      <c r="U195" s="31" t="n"/>
      <c r="V195" s="31" t="n"/>
      <c r="W195" s="31" t="n"/>
      <c r="X195" s="31" t="n"/>
      <c r="Y195" s="31" t="n"/>
      <c r="Z195" s="31" t="n"/>
    </row>
    <row r="196" ht="14.25" customHeight="1">
      <c r="A196" s="31" t="n"/>
      <c r="D196" s="161" t="n"/>
      <c r="E196" s="161" t="n"/>
      <c r="Q196" s="31" t="n"/>
      <c r="R196" s="31" t="n"/>
      <c r="S196" s="31" t="n"/>
      <c r="T196" s="31" t="n"/>
      <c r="U196" s="31" t="n"/>
      <c r="V196" s="31" t="n"/>
      <c r="W196" s="31" t="n"/>
      <c r="X196" s="31" t="n"/>
      <c r="Y196" s="31" t="n"/>
      <c r="Z196" s="31" t="n"/>
    </row>
    <row r="197" ht="14.25" customHeight="1">
      <c r="A197" s="31" t="n"/>
      <c r="D197" s="161" t="n"/>
      <c r="E197" s="161" t="n"/>
      <c r="Q197" s="31" t="n"/>
      <c r="R197" s="31" t="n"/>
      <c r="S197" s="31" t="n"/>
      <c r="T197" s="31" t="n"/>
      <c r="U197" s="31" t="n"/>
      <c r="V197" s="31" t="n"/>
      <c r="W197" s="31" t="n"/>
      <c r="X197" s="31" t="n"/>
      <c r="Y197" s="31" t="n"/>
      <c r="Z197" s="31" t="n"/>
    </row>
    <row r="198" ht="14.25" customHeight="1">
      <c r="A198" s="31" t="n"/>
      <c r="D198" s="161" t="n"/>
      <c r="E198" s="161" t="n"/>
      <c r="Q198" s="31" t="n"/>
      <c r="R198" s="31" t="n"/>
      <c r="S198" s="31" t="n"/>
      <c r="T198" s="31" t="n"/>
      <c r="U198" s="31" t="n"/>
      <c r="V198" s="31" t="n"/>
      <c r="W198" s="31" t="n"/>
      <c r="X198" s="31" t="n"/>
      <c r="Y198" s="31" t="n"/>
      <c r="Z198" s="31" t="n"/>
    </row>
    <row r="199" ht="14.25" customHeight="1">
      <c r="A199" s="31" t="n"/>
      <c r="D199" s="161" t="n"/>
      <c r="E199" s="161" t="n"/>
      <c r="Q199" s="31" t="n"/>
      <c r="R199" s="31" t="n"/>
      <c r="S199" s="31" t="n"/>
      <c r="T199" s="31" t="n"/>
      <c r="U199" s="31" t="n"/>
      <c r="V199" s="31" t="n"/>
      <c r="W199" s="31" t="n"/>
      <c r="X199" s="31" t="n"/>
      <c r="Y199" s="31" t="n"/>
      <c r="Z199" s="31" t="n"/>
    </row>
    <row r="200" ht="14.25" customHeight="1">
      <c r="A200" s="31" t="n"/>
      <c r="D200" s="161" t="n"/>
      <c r="E200" s="161" t="n"/>
      <c r="Q200" s="31" t="n"/>
      <c r="R200" s="31" t="n"/>
      <c r="S200" s="31" t="n"/>
      <c r="T200" s="31" t="n"/>
      <c r="U200" s="31" t="n"/>
      <c r="V200" s="31" t="n"/>
      <c r="W200" s="31" t="n"/>
      <c r="X200" s="31" t="n"/>
      <c r="Y200" s="31" t="n"/>
      <c r="Z200" s="31" t="n"/>
    </row>
    <row r="201" ht="14.25" customHeight="1">
      <c r="A201" s="31" t="n"/>
      <c r="D201" s="161" t="n"/>
      <c r="E201" s="161" t="n"/>
      <c r="Q201" s="31" t="n"/>
      <c r="R201" s="31" t="n"/>
      <c r="S201" s="31" t="n"/>
      <c r="T201" s="31" t="n"/>
      <c r="U201" s="31" t="n"/>
      <c r="V201" s="31" t="n"/>
      <c r="W201" s="31" t="n"/>
      <c r="X201" s="31" t="n"/>
      <c r="Y201" s="31" t="n"/>
      <c r="Z201" s="31" t="n"/>
    </row>
    <row r="202" ht="14.25" customHeight="1">
      <c r="A202" s="31" t="n"/>
      <c r="D202" s="161" t="n"/>
      <c r="E202" s="161" t="n"/>
      <c r="Q202" s="31" t="n"/>
      <c r="R202" s="31" t="n"/>
      <c r="S202" s="31" t="n"/>
      <c r="T202" s="31" t="n"/>
      <c r="U202" s="31" t="n"/>
      <c r="V202" s="31" t="n"/>
      <c r="W202" s="31" t="n"/>
      <c r="X202" s="31" t="n"/>
      <c r="Y202" s="31" t="n"/>
      <c r="Z202" s="31" t="n"/>
    </row>
    <row r="203" ht="14.25" customHeight="1">
      <c r="A203" s="31" t="n"/>
      <c r="D203" s="161" t="n"/>
      <c r="E203" s="161" t="n"/>
      <c r="Q203" s="31" t="n"/>
      <c r="R203" s="31" t="n"/>
      <c r="S203" s="31" t="n"/>
      <c r="T203" s="31" t="n"/>
      <c r="U203" s="31" t="n"/>
      <c r="V203" s="31" t="n"/>
      <c r="W203" s="31" t="n"/>
      <c r="X203" s="31" t="n"/>
      <c r="Y203" s="31" t="n"/>
      <c r="Z203" s="31" t="n"/>
    </row>
    <row r="204" ht="14.25" customHeight="1">
      <c r="A204" s="31" t="n"/>
      <c r="D204" s="161" t="n"/>
      <c r="E204" s="161" t="n"/>
      <c r="Q204" s="31" t="n"/>
      <c r="R204" s="31" t="n"/>
      <c r="S204" s="31" t="n"/>
      <c r="T204" s="31" t="n"/>
      <c r="U204" s="31" t="n"/>
      <c r="V204" s="31" t="n"/>
      <c r="W204" s="31" t="n"/>
      <c r="X204" s="31" t="n"/>
      <c r="Y204" s="31" t="n"/>
      <c r="Z204" s="31" t="n"/>
    </row>
    <row r="205" ht="14.25" customHeight="1">
      <c r="A205" s="31" t="n"/>
      <c r="D205" s="161" t="n"/>
      <c r="E205" s="161" t="n"/>
      <c r="Q205" s="31" t="n"/>
      <c r="R205" s="31" t="n"/>
      <c r="S205" s="31" t="n"/>
      <c r="T205" s="31" t="n"/>
      <c r="U205" s="31" t="n"/>
      <c r="V205" s="31" t="n"/>
      <c r="W205" s="31" t="n"/>
      <c r="X205" s="31" t="n"/>
      <c r="Y205" s="31" t="n"/>
      <c r="Z205" s="31" t="n"/>
    </row>
    <row r="206" ht="14.25" customHeight="1">
      <c r="A206" s="31" t="n"/>
      <c r="D206" s="161" t="n"/>
      <c r="E206" s="161" t="n"/>
      <c r="Q206" s="31" t="n"/>
      <c r="R206" s="31" t="n"/>
      <c r="S206" s="31" t="n"/>
      <c r="T206" s="31" t="n"/>
      <c r="U206" s="31" t="n"/>
      <c r="V206" s="31" t="n"/>
      <c r="W206" s="31" t="n"/>
      <c r="X206" s="31" t="n"/>
      <c r="Y206" s="31" t="n"/>
      <c r="Z206" s="31" t="n"/>
    </row>
    <row r="207" ht="14.25" customHeight="1">
      <c r="A207" s="31" t="n"/>
      <c r="D207" s="161" t="n"/>
      <c r="E207" s="161" t="n"/>
      <c r="Q207" s="31" t="n"/>
      <c r="R207" s="31" t="n"/>
      <c r="S207" s="31" t="n"/>
      <c r="T207" s="31" t="n"/>
      <c r="U207" s="31" t="n"/>
      <c r="V207" s="31" t="n"/>
      <c r="W207" s="31" t="n"/>
      <c r="X207" s="31" t="n"/>
      <c r="Y207" s="31" t="n"/>
      <c r="Z207" s="31" t="n"/>
    </row>
    <row r="208" ht="14.25" customHeight="1">
      <c r="A208" s="31" t="n"/>
      <c r="D208" s="161" t="n"/>
      <c r="E208" s="161" t="n"/>
      <c r="Q208" s="31" t="n"/>
      <c r="R208" s="31" t="n"/>
      <c r="S208" s="31" t="n"/>
      <c r="T208" s="31" t="n"/>
      <c r="U208" s="31" t="n"/>
      <c r="V208" s="31" t="n"/>
      <c r="W208" s="31" t="n"/>
      <c r="X208" s="31" t="n"/>
      <c r="Y208" s="31" t="n"/>
      <c r="Z208" s="31" t="n"/>
    </row>
    <row r="209" ht="14.25" customHeight="1">
      <c r="A209" s="31" t="n"/>
      <c r="D209" s="161" t="n"/>
      <c r="E209" s="161" t="n"/>
      <c r="Q209" s="31" t="n"/>
      <c r="R209" s="31" t="n"/>
      <c r="S209" s="31" t="n"/>
      <c r="T209" s="31" t="n"/>
      <c r="U209" s="31" t="n"/>
      <c r="V209" s="31" t="n"/>
      <c r="W209" s="31" t="n"/>
      <c r="X209" s="31" t="n"/>
      <c r="Y209" s="31" t="n"/>
      <c r="Z209" s="31" t="n"/>
    </row>
    <row r="210" ht="14.25" customHeight="1">
      <c r="A210" s="31" t="n"/>
      <c r="D210" s="161" t="n"/>
      <c r="E210" s="161" t="n"/>
      <c r="Q210" s="31" t="n"/>
      <c r="R210" s="31" t="n"/>
      <c r="S210" s="31" t="n"/>
      <c r="T210" s="31" t="n"/>
      <c r="U210" s="31" t="n"/>
      <c r="V210" s="31" t="n"/>
      <c r="W210" s="31" t="n"/>
      <c r="X210" s="31" t="n"/>
      <c r="Y210" s="31" t="n"/>
      <c r="Z210" s="31" t="n"/>
    </row>
    <row r="211" ht="14.25" customHeight="1">
      <c r="A211" s="31" t="n"/>
      <c r="D211" s="161" t="n"/>
      <c r="E211" s="161" t="n"/>
      <c r="Q211" s="31" t="n"/>
      <c r="R211" s="31" t="n"/>
      <c r="S211" s="31" t="n"/>
      <c r="T211" s="31" t="n"/>
      <c r="U211" s="31" t="n"/>
      <c r="V211" s="31" t="n"/>
      <c r="W211" s="31" t="n"/>
      <c r="X211" s="31" t="n"/>
      <c r="Y211" s="31" t="n"/>
      <c r="Z211" s="31" t="n"/>
    </row>
    <row r="212" ht="14.25" customHeight="1">
      <c r="A212" s="31" t="n"/>
      <c r="D212" s="161" t="n"/>
      <c r="E212" s="161" t="n"/>
      <c r="Q212" s="31" t="n"/>
      <c r="R212" s="31" t="n"/>
      <c r="S212" s="31" t="n"/>
      <c r="T212" s="31" t="n"/>
      <c r="U212" s="31" t="n"/>
      <c r="V212" s="31" t="n"/>
      <c r="W212" s="31" t="n"/>
      <c r="X212" s="31" t="n"/>
      <c r="Y212" s="31" t="n"/>
      <c r="Z212" s="31" t="n"/>
    </row>
    <row r="213" ht="14.25" customHeight="1">
      <c r="A213" s="31" t="n"/>
      <c r="D213" s="161" t="n"/>
      <c r="E213" s="161" t="n"/>
      <c r="Q213" s="31" t="n"/>
      <c r="R213" s="31" t="n"/>
      <c r="S213" s="31" t="n"/>
      <c r="T213" s="31" t="n"/>
      <c r="U213" s="31" t="n"/>
      <c r="V213" s="31" t="n"/>
      <c r="W213" s="31" t="n"/>
      <c r="X213" s="31" t="n"/>
      <c r="Y213" s="31" t="n"/>
      <c r="Z213" s="31" t="n"/>
    </row>
    <row r="214" ht="14.25" customHeight="1">
      <c r="A214" s="31" t="n"/>
      <c r="D214" s="161" t="n"/>
      <c r="E214" s="161" t="n"/>
      <c r="Q214" s="31" t="n"/>
      <c r="R214" s="31" t="n"/>
      <c r="S214" s="31" t="n"/>
      <c r="T214" s="31" t="n"/>
      <c r="U214" s="31" t="n"/>
      <c r="V214" s="31" t="n"/>
      <c r="W214" s="31" t="n"/>
      <c r="X214" s="31" t="n"/>
      <c r="Y214" s="31" t="n"/>
      <c r="Z214" s="31" t="n"/>
    </row>
    <row r="215" ht="14.25" customHeight="1">
      <c r="A215" s="31" t="n"/>
      <c r="D215" s="161" t="n"/>
      <c r="E215" s="161" t="n"/>
      <c r="Q215" s="31" t="n"/>
      <c r="R215" s="31" t="n"/>
      <c r="S215" s="31" t="n"/>
      <c r="T215" s="31" t="n"/>
      <c r="U215" s="31" t="n"/>
      <c r="V215" s="31" t="n"/>
      <c r="W215" s="31" t="n"/>
      <c r="X215" s="31" t="n"/>
      <c r="Y215" s="31" t="n"/>
      <c r="Z215" s="31" t="n"/>
    </row>
    <row r="216" ht="14.25" customHeight="1">
      <c r="A216" s="31" t="n"/>
      <c r="D216" s="161" t="n"/>
      <c r="E216" s="161" t="n"/>
      <c r="Q216" s="31" t="n"/>
      <c r="R216" s="31" t="n"/>
      <c r="S216" s="31" t="n"/>
      <c r="T216" s="31" t="n"/>
      <c r="U216" s="31" t="n"/>
      <c r="V216" s="31" t="n"/>
      <c r="W216" s="31" t="n"/>
      <c r="X216" s="31" t="n"/>
      <c r="Y216" s="31" t="n"/>
      <c r="Z216" s="31" t="n"/>
    </row>
    <row r="217" ht="14.25" customHeight="1">
      <c r="A217" s="31" t="n"/>
      <c r="D217" s="161" t="n"/>
      <c r="E217" s="161" t="n"/>
      <c r="Q217" s="31" t="n"/>
      <c r="R217" s="31" t="n"/>
      <c r="S217" s="31" t="n"/>
      <c r="T217" s="31" t="n"/>
      <c r="U217" s="31" t="n"/>
      <c r="V217" s="31" t="n"/>
      <c r="W217" s="31" t="n"/>
      <c r="X217" s="31" t="n"/>
      <c r="Y217" s="31" t="n"/>
      <c r="Z217" s="31" t="n"/>
    </row>
    <row r="218" ht="14.25" customHeight="1">
      <c r="A218" s="31" t="n"/>
      <c r="D218" s="161" t="n"/>
      <c r="E218" s="161" t="n"/>
      <c r="Q218" s="31" t="n"/>
      <c r="R218" s="31" t="n"/>
      <c r="S218" s="31" t="n"/>
      <c r="T218" s="31" t="n"/>
      <c r="U218" s="31" t="n"/>
      <c r="V218" s="31" t="n"/>
      <c r="W218" s="31" t="n"/>
      <c r="X218" s="31" t="n"/>
      <c r="Y218" s="31" t="n"/>
      <c r="Z218" s="31" t="n"/>
    </row>
    <row r="219" ht="14.25" customHeight="1">
      <c r="A219" s="31" t="n"/>
      <c r="D219" s="161" t="n"/>
      <c r="E219" s="161" t="n"/>
      <c r="Q219" s="31" t="n"/>
      <c r="R219" s="31" t="n"/>
      <c r="S219" s="31" t="n"/>
      <c r="T219" s="31" t="n"/>
      <c r="U219" s="31" t="n"/>
      <c r="V219" s="31" t="n"/>
      <c r="W219" s="31" t="n"/>
      <c r="X219" s="31" t="n"/>
      <c r="Y219" s="31" t="n"/>
      <c r="Z219" s="31" t="n"/>
    </row>
    <row r="220" ht="14.25" customHeight="1">
      <c r="A220" s="31" t="n"/>
      <c r="D220" s="161" t="n"/>
      <c r="E220" s="161" t="n"/>
      <c r="Q220" s="31" t="n"/>
      <c r="R220" s="31" t="n"/>
      <c r="S220" s="31" t="n"/>
      <c r="T220" s="31" t="n"/>
      <c r="U220" s="31" t="n"/>
      <c r="V220" s="31" t="n"/>
      <c r="W220" s="31" t="n"/>
      <c r="X220" s="31" t="n"/>
      <c r="Y220" s="31" t="n"/>
      <c r="Z220" s="31" t="n"/>
    </row>
    <row r="221" ht="14.25" customHeight="1">
      <c r="A221" s="31" t="n"/>
      <c r="D221" s="161" t="n"/>
      <c r="E221" s="161" t="n"/>
      <c r="Q221" s="31" t="n"/>
      <c r="R221" s="31" t="n"/>
      <c r="S221" s="31" t="n"/>
      <c r="T221" s="31" t="n"/>
      <c r="U221" s="31" t="n"/>
      <c r="V221" s="31" t="n"/>
      <c r="W221" s="31" t="n"/>
      <c r="X221" s="31" t="n"/>
      <c r="Y221" s="31" t="n"/>
      <c r="Z221" s="31" t="n"/>
    </row>
    <row r="222" ht="14.25" customHeight="1">
      <c r="A222" s="31" t="n"/>
      <c r="D222" s="161" t="n"/>
      <c r="E222" s="161" t="n"/>
      <c r="Q222" s="31" t="n"/>
      <c r="R222" s="31" t="n"/>
      <c r="S222" s="31" t="n"/>
      <c r="T222" s="31" t="n"/>
      <c r="U222" s="31" t="n"/>
      <c r="V222" s="31" t="n"/>
      <c r="W222" s="31" t="n"/>
      <c r="X222" s="31" t="n"/>
      <c r="Y222" s="31" t="n"/>
      <c r="Z222" s="31" t="n"/>
    </row>
    <row r="223" ht="14.25" customHeight="1">
      <c r="A223" s="31" t="n"/>
      <c r="D223" s="161" t="n"/>
      <c r="E223" s="161" t="n"/>
      <c r="Q223" s="31" t="n"/>
      <c r="R223" s="31" t="n"/>
      <c r="S223" s="31" t="n"/>
      <c r="T223" s="31" t="n"/>
      <c r="U223" s="31" t="n"/>
      <c r="V223" s="31" t="n"/>
      <c r="W223" s="31" t="n"/>
      <c r="X223" s="31" t="n"/>
      <c r="Y223" s="31" t="n"/>
      <c r="Z223" s="31" t="n"/>
    </row>
    <row r="224" ht="14.25" customHeight="1">
      <c r="A224" s="31" t="n"/>
      <c r="D224" s="161" t="n"/>
      <c r="E224" s="161" t="n"/>
      <c r="Q224" s="31" t="n"/>
      <c r="R224" s="31" t="n"/>
      <c r="S224" s="31" t="n"/>
      <c r="T224" s="31" t="n"/>
      <c r="U224" s="31" t="n"/>
      <c r="V224" s="31" t="n"/>
      <c r="W224" s="31" t="n"/>
      <c r="X224" s="31" t="n"/>
      <c r="Y224" s="31" t="n"/>
      <c r="Z224" s="31" t="n"/>
    </row>
    <row r="225" ht="14.25" customHeight="1">
      <c r="A225" s="31" t="n"/>
      <c r="D225" s="161" t="n"/>
      <c r="E225" s="161" t="n"/>
      <c r="Q225" s="31" t="n"/>
      <c r="R225" s="31" t="n"/>
      <c r="S225" s="31" t="n"/>
      <c r="T225" s="31" t="n"/>
      <c r="U225" s="31" t="n"/>
      <c r="V225" s="31" t="n"/>
      <c r="W225" s="31" t="n"/>
      <c r="X225" s="31" t="n"/>
      <c r="Y225" s="31" t="n"/>
      <c r="Z225" s="31" t="n"/>
    </row>
    <row r="226" ht="14.25" customHeight="1">
      <c r="A226" s="31" t="n"/>
      <c r="D226" s="161" t="n"/>
      <c r="E226" s="161" t="n"/>
      <c r="Q226" s="31" t="n"/>
      <c r="R226" s="31" t="n"/>
      <c r="S226" s="31" t="n"/>
      <c r="T226" s="31" t="n"/>
      <c r="U226" s="31" t="n"/>
      <c r="V226" s="31" t="n"/>
      <c r="W226" s="31" t="n"/>
      <c r="X226" s="31" t="n"/>
      <c r="Y226" s="31" t="n"/>
      <c r="Z226" s="31" t="n"/>
    </row>
    <row r="227" ht="14.25" customHeight="1">
      <c r="A227" s="31" t="n"/>
      <c r="D227" s="161" t="n"/>
      <c r="E227" s="161" t="n"/>
      <c r="Q227" s="31" t="n"/>
      <c r="R227" s="31" t="n"/>
      <c r="S227" s="31" t="n"/>
      <c r="T227" s="31" t="n"/>
      <c r="U227" s="31" t="n"/>
      <c r="V227" s="31" t="n"/>
      <c r="W227" s="31" t="n"/>
      <c r="X227" s="31" t="n"/>
      <c r="Y227" s="31" t="n"/>
      <c r="Z227" s="31" t="n"/>
    </row>
    <row r="228" ht="14.25" customHeight="1">
      <c r="A228" s="31" t="n"/>
      <c r="D228" s="161" t="n"/>
      <c r="E228" s="161" t="n"/>
      <c r="Q228" s="31" t="n"/>
      <c r="R228" s="31" t="n"/>
      <c r="S228" s="31" t="n"/>
      <c r="T228" s="31" t="n"/>
      <c r="U228" s="31" t="n"/>
      <c r="V228" s="31" t="n"/>
      <c r="W228" s="31" t="n"/>
      <c r="X228" s="31" t="n"/>
      <c r="Y228" s="31" t="n"/>
      <c r="Z228" s="31" t="n"/>
    </row>
    <row r="229" ht="14.25" customHeight="1">
      <c r="A229" s="31" t="n"/>
      <c r="D229" s="161" t="n"/>
      <c r="E229" s="161" t="n"/>
      <c r="Q229" s="31" t="n"/>
      <c r="R229" s="31" t="n"/>
      <c r="S229" s="31" t="n"/>
      <c r="T229" s="31" t="n"/>
      <c r="U229" s="31" t="n"/>
      <c r="V229" s="31" t="n"/>
      <c r="W229" s="31" t="n"/>
      <c r="X229" s="31" t="n"/>
      <c r="Y229" s="31" t="n"/>
      <c r="Z229" s="31" t="n"/>
    </row>
    <row r="230" ht="14.25" customHeight="1">
      <c r="A230" s="31" t="n"/>
      <c r="D230" s="161" t="n"/>
      <c r="E230" s="161" t="n"/>
      <c r="Q230" s="31" t="n"/>
      <c r="R230" s="31" t="n"/>
      <c r="S230" s="31" t="n"/>
      <c r="T230" s="31" t="n"/>
      <c r="U230" s="31" t="n"/>
      <c r="V230" s="31" t="n"/>
      <c r="W230" s="31" t="n"/>
      <c r="X230" s="31" t="n"/>
      <c r="Y230" s="31" t="n"/>
      <c r="Z230" s="31" t="n"/>
    </row>
    <row r="231" ht="14.25" customHeight="1">
      <c r="A231" s="31" t="n"/>
      <c r="D231" s="161" t="n"/>
      <c r="E231" s="161" t="n"/>
      <c r="Q231" s="31" t="n"/>
      <c r="R231" s="31" t="n"/>
      <c r="S231" s="31" t="n"/>
      <c r="T231" s="31" t="n"/>
      <c r="U231" s="31" t="n"/>
      <c r="V231" s="31" t="n"/>
      <c r="W231" s="31" t="n"/>
      <c r="X231" s="31" t="n"/>
      <c r="Y231" s="31" t="n"/>
      <c r="Z231" s="31" t="n"/>
    </row>
    <row r="232" ht="14.25" customHeight="1">
      <c r="A232" s="31" t="n"/>
      <c r="D232" s="161" t="n"/>
      <c r="E232" s="161" t="n"/>
      <c r="Q232" s="31" t="n"/>
      <c r="R232" s="31" t="n"/>
      <c r="S232" s="31" t="n"/>
      <c r="T232" s="31" t="n"/>
      <c r="U232" s="31" t="n"/>
      <c r="V232" s="31" t="n"/>
      <c r="W232" s="31" t="n"/>
      <c r="X232" s="31" t="n"/>
      <c r="Y232" s="31" t="n"/>
      <c r="Z232" s="31" t="n"/>
    </row>
    <row r="233" ht="14.25" customHeight="1">
      <c r="A233" s="31" t="n"/>
      <c r="D233" s="161" t="n"/>
      <c r="E233" s="161" t="n"/>
      <c r="Q233" s="31" t="n"/>
      <c r="R233" s="31" t="n"/>
      <c r="S233" s="31" t="n"/>
      <c r="T233" s="31" t="n"/>
      <c r="U233" s="31" t="n"/>
      <c r="V233" s="31" t="n"/>
      <c r="W233" s="31" t="n"/>
      <c r="X233" s="31" t="n"/>
      <c r="Y233" s="31" t="n"/>
      <c r="Z233" s="31" t="n"/>
    </row>
    <row r="234" ht="14.25" customHeight="1">
      <c r="A234" s="31" t="n"/>
      <c r="D234" s="161" t="n"/>
      <c r="E234" s="161" t="n"/>
      <c r="Q234" s="31" t="n"/>
      <c r="R234" s="31" t="n"/>
      <c r="S234" s="31" t="n"/>
      <c r="T234" s="31" t="n"/>
      <c r="U234" s="31" t="n"/>
      <c r="V234" s="31" t="n"/>
      <c r="W234" s="31" t="n"/>
      <c r="X234" s="31" t="n"/>
      <c r="Y234" s="31" t="n"/>
      <c r="Z234" s="31" t="n"/>
    </row>
    <row r="235" ht="14.25" customHeight="1">
      <c r="A235" s="31" t="n"/>
      <c r="D235" s="161" t="n"/>
      <c r="E235" s="161" t="n"/>
      <c r="Q235" s="31" t="n"/>
      <c r="R235" s="31" t="n"/>
      <c r="S235" s="31" t="n"/>
      <c r="T235" s="31" t="n"/>
      <c r="U235" s="31" t="n"/>
      <c r="V235" s="31" t="n"/>
      <c r="W235" s="31" t="n"/>
      <c r="X235" s="31" t="n"/>
      <c r="Y235" s="31" t="n"/>
      <c r="Z235" s="31" t="n"/>
    </row>
    <row r="236" ht="14.25" customHeight="1">
      <c r="A236" s="31" t="n"/>
      <c r="D236" s="161" t="n"/>
      <c r="E236" s="161" t="n"/>
      <c r="Q236" s="31" t="n"/>
      <c r="R236" s="31" t="n"/>
      <c r="S236" s="31" t="n"/>
      <c r="T236" s="31" t="n"/>
      <c r="U236" s="31" t="n"/>
      <c r="V236" s="31" t="n"/>
      <c r="W236" s="31" t="n"/>
      <c r="X236" s="31" t="n"/>
      <c r="Y236" s="31" t="n"/>
      <c r="Z236" s="31" t="n"/>
    </row>
    <row r="237" ht="14.25" customHeight="1">
      <c r="A237" s="31" t="n"/>
      <c r="D237" s="161" t="n"/>
      <c r="E237" s="161" t="n"/>
      <c r="Q237" s="31" t="n"/>
      <c r="R237" s="31" t="n"/>
      <c r="S237" s="31" t="n"/>
      <c r="T237" s="31" t="n"/>
      <c r="U237" s="31" t="n"/>
      <c r="V237" s="31" t="n"/>
      <c r="W237" s="31" t="n"/>
      <c r="X237" s="31" t="n"/>
      <c r="Y237" s="31" t="n"/>
      <c r="Z237" s="31" t="n"/>
    </row>
    <row r="238" ht="14.25" customHeight="1">
      <c r="A238" s="31" t="n"/>
      <c r="D238" s="161" t="n"/>
      <c r="E238" s="161" t="n"/>
      <c r="Q238" s="31" t="n"/>
      <c r="R238" s="31" t="n"/>
      <c r="S238" s="31" t="n"/>
      <c r="T238" s="31" t="n"/>
      <c r="U238" s="31" t="n"/>
      <c r="V238" s="31" t="n"/>
      <c r="W238" s="31" t="n"/>
      <c r="X238" s="31" t="n"/>
      <c r="Y238" s="31" t="n"/>
      <c r="Z238" s="31" t="n"/>
    </row>
    <row r="239" ht="14.25" customHeight="1">
      <c r="A239" s="31" t="n"/>
      <c r="D239" s="161" t="n"/>
      <c r="E239" s="161" t="n"/>
      <c r="Q239" s="31" t="n"/>
      <c r="R239" s="31" t="n"/>
      <c r="S239" s="31" t="n"/>
      <c r="T239" s="31" t="n"/>
      <c r="U239" s="31" t="n"/>
      <c r="V239" s="31" t="n"/>
      <c r="W239" s="31" t="n"/>
      <c r="X239" s="31" t="n"/>
      <c r="Y239" s="31" t="n"/>
      <c r="Z239" s="31" t="n"/>
    </row>
    <row r="240" ht="14.25" customHeight="1">
      <c r="A240" s="31" t="n"/>
      <c r="D240" s="161" t="n"/>
      <c r="E240" s="161" t="n"/>
      <c r="Q240" s="31" t="n"/>
      <c r="R240" s="31" t="n"/>
      <c r="S240" s="31" t="n"/>
      <c r="T240" s="31" t="n"/>
      <c r="U240" s="31" t="n"/>
      <c r="V240" s="31" t="n"/>
      <c r="W240" s="31" t="n"/>
      <c r="X240" s="31" t="n"/>
      <c r="Y240" s="31" t="n"/>
      <c r="Z240" s="31" t="n"/>
    </row>
    <row r="241" ht="14.25" customHeight="1">
      <c r="A241" s="31" t="n"/>
      <c r="D241" s="161" t="n"/>
      <c r="E241" s="161" t="n"/>
      <c r="Q241" s="31" t="n"/>
      <c r="R241" s="31" t="n"/>
      <c r="S241" s="31" t="n"/>
      <c r="T241" s="31" t="n"/>
      <c r="U241" s="31" t="n"/>
      <c r="V241" s="31" t="n"/>
      <c r="W241" s="31" t="n"/>
      <c r="X241" s="31" t="n"/>
      <c r="Y241" s="31" t="n"/>
      <c r="Z241" s="31" t="n"/>
    </row>
    <row r="242" ht="14.25" customHeight="1">
      <c r="A242" s="31" t="n"/>
      <c r="D242" s="161" t="n"/>
      <c r="E242" s="161" t="n"/>
      <c r="Q242" s="31" t="n"/>
      <c r="R242" s="31" t="n"/>
      <c r="S242" s="31" t="n"/>
      <c r="T242" s="31" t="n"/>
      <c r="U242" s="31" t="n"/>
      <c r="V242" s="31" t="n"/>
      <c r="W242" s="31" t="n"/>
      <c r="X242" s="31" t="n"/>
      <c r="Y242" s="31" t="n"/>
      <c r="Z242" s="31" t="n"/>
    </row>
    <row r="243" ht="14.25" customHeight="1">
      <c r="A243" s="31" t="n"/>
      <c r="D243" s="161" t="n"/>
      <c r="E243" s="161" t="n"/>
      <c r="Q243" s="31" t="n"/>
      <c r="R243" s="31" t="n"/>
      <c r="S243" s="31" t="n"/>
      <c r="T243" s="31" t="n"/>
      <c r="U243" s="31" t="n"/>
      <c r="V243" s="31" t="n"/>
      <c r="W243" s="31" t="n"/>
      <c r="X243" s="31" t="n"/>
      <c r="Y243" s="31" t="n"/>
      <c r="Z243" s="31" t="n"/>
    </row>
    <row r="244" ht="14.25" customHeight="1">
      <c r="A244" s="31" t="n"/>
      <c r="D244" s="161" t="n"/>
      <c r="E244" s="161" t="n"/>
      <c r="Q244" s="31" t="n"/>
      <c r="R244" s="31" t="n"/>
      <c r="S244" s="31" t="n"/>
      <c r="T244" s="31" t="n"/>
      <c r="U244" s="31" t="n"/>
      <c r="V244" s="31" t="n"/>
      <c r="W244" s="31" t="n"/>
      <c r="X244" s="31" t="n"/>
      <c r="Y244" s="31" t="n"/>
      <c r="Z244" s="31" t="n"/>
    </row>
    <row r="245" ht="14.25" customHeight="1">
      <c r="A245" s="31" t="n"/>
      <c r="D245" s="161" t="n"/>
      <c r="E245" s="161" t="n"/>
      <c r="Q245" s="31" t="n"/>
      <c r="R245" s="31" t="n"/>
      <c r="S245" s="31" t="n"/>
      <c r="T245" s="31" t="n"/>
      <c r="U245" s="31" t="n"/>
      <c r="V245" s="31" t="n"/>
      <c r="W245" s="31" t="n"/>
      <c r="X245" s="31" t="n"/>
      <c r="Y245" s="31" t="n"/>
      <c r="Z245" s="31" t="n"/>
    </row>
    <row r="246" ht="14.25" customHeight="1">
      <c r="A246" s="31" t="n"/>
      <c r="D246" s="161" t="n"/>
      <c r="E246" s="161" t="n"/>
      <c r="Q246" s="31" t="n"/>
      <c r="R246" s="31" t="n"/>
      <c r="S246" s="31" t="n"/>
      <c r="T246" s="31" t="n"/>
      <c r="U246" s="31" t="n"/>
      <c r="V246" s="31" t="n"/>
      <c r="W246" s="31" t="n"/>
      <c r="X246" s="31" t="n"/>
      <c r="Y246" s="31" t="n"/>
      <c r="Z246" s="31" t="n"/>
    </row>
    <row r="247" ht="14.25" customHeight="1">
      <c r="A247" s="31" t="n"/>
      <c r="D247" s="161" t="n"/>
      <c r="E247" s="161" t="n"/>
      <c r="Q247" s="31" t="n"/>
      <c r="R247" s="31" t="n"/>
      <c r="S247" s="31" t="n"/>
      <c r="T247" s="31" t="n"/>
      <c r="U247" s="31" t="n"/>
      <c r="V247" s="31" t="n"/>
      <c r="W247" s="31" t="n"/>
      <c r="X247" s="31" t="n"/>
      <c r="Y247" s="31" t="n"/>
      <c r="Z247" s="31" t="n"/>
    </row>
    <row r="248" ht="14.25" customHeight="1">
      <c r="A248" s="31" t="n"/>
      <c r="D248" s="161" t="n"/>
      <c r="E248" s="161" t="n"/>
      <c r="Q248" s="31" t="n"/>
      <c r="R248" s="31" t="n"/>
      <c r="S248" s="31" t="n"/>
      <c r="T248" s="31" t="n"/>
      <c r="U248" s="31" t="n"/>
      <c r="V248" s="31" t="n"/>
      <c r="W248" s="31" t="n"/>
      <c r="X248" s="31" t="n"/>
      <c r="Y248" s="31" t="n"/>
      <c r="Z248" s="31" t="n"/>
    </row>
    <row r="249" ht="14.25" customHeight="1">
      <c r="A249" s="31" t="n"/>
      <c r="D249" s="161" t="n"/>
      <c r="E249" s="161" t="n"/>
      <c r="Q249" s="31" t="n"/>
      <c r="R249" s="31" t="n"/>
      <c r="S249" s="31" t="n"/>
      <c r="T249" s="31" t="n"/>
      <c r="U249" s="31" t="n"/>
      <c r="V249" s="31" t="n"/>
      <c r="W249" s="31" t="n"/>
      <c r="X249" s="31" t="n"/>
      <c r="Y249" s="31" t="n"/>
      <c r="Z249" s="31" t="n"/>
    </row>
    <row r="250" ht="14.25" customHeight="1">
      <c r="A250" s="31" t="n"/>
      <c r="D250" s="161" t="n"/>
      <c r="E250" s="161" t="n"/>
      <c r="Q250" s="31" t="n"/>
      <c r="R250" s="31" t="n"/>
      <c r="S250" s="31" t="n"/>
      <c r="T250" s="31" t="n"/>
      <c r="U250" s="31" t="n"/>
      <c r="V250" s="31" t="n"/>
      <c r="W250" s="31" t="n"/>
      <c r="X250" s="31" t="n"/>
      <c r="Y250" s="31" t="n"/>
      <c r="Z250" s="31" t="n"/>
    </row>
    <row r="251" ht="14.25" customHeight="1">
      <c r="A251" s="31" t="n"/>
      <c r="D251" s="161" t="n"/>
      <c r="E251" s="161" t="n"/>
      <c r="Q251" s="31" t="n"/>
      <c r="R251" s="31" t="n"/>
      <c r="S251" s="31" t="n"/>
      <c r="T251" s="31" t="n"/>
      <c r="U251" s="31" t="n"/>
      <c r="V251" s="31" t="n"/>
      <c r="W251" s="31" t="n"/>
      <c r="X251" s="31" t="n"/>
      <c r="Y251" s="31" t="n"/>
      <c r="Z251" s="31" t="n"/>
    </row>
    <row r="252" ht="14.25" customHeight="1">
      <c r="A252" s="31" t="n"/>
      <c r="D252" s="161" t="n"/>
      <c r="E252" s="161" t="n"/>
      <c r="Q252" s="31" t="n"/>
      <c r="R252" s="31" t="n"/>
      <c r="S252" s="31" t="n"/>
      <c r="T252" s="31" t="n"/>
      <c r="U252" s="31" t="n"/>
      <c r="V252" s="31" t="n"/>
      <c r="W252" s="31" t="n"/>
      <c r="X252" s="31" t="n"/>
      <c r="Y252" s="31" t="n"/>
      <c r="Z252" s="31" t="n"/>
    </row>
    <row r="253" ht="14.25" customHeight="1">
      <c r="A253" s="31" t="n"/>
      <c r="D253" s="161" t="n"/>
      <c r="E253" s="161" t="n"/>
      <c r="Q253" s="31" t="n"/>
      <c r="R253" s="31" t="n"/>
      <c r="S253" s="31" t="n"/>
      <c r="T253" s="31" t="n"/>
      <c r="U253" s="31" t="n"/>
      <c r="V253" s="31" t="n"/>
      <c r="W253" s="31" t="n"/>
      <c r="X253" s="31" t="n"/>
      <c r="Y253" s="31" t="n"/>
      <c r="Z253" s="31" t="n"/>
    </row>
    <row r="254" ht="14.25" customHeight="1">
      <c r="A254" s="31" t="n"/>
      <c r="D254" s="161" t="n"/>
      <c r="E254" s="161" t="n"/>
      <c r="Q254" s="31" t="n"/>
      <c r="R254" s="31" t="n"/>
      <c r="S254" s="31" t="n"/>
      <c r="T254" s="31" t="n"/>
      <c r="U254" s="31" t="n"/>
      <c r="V254" s="31" t="n"/>
      <c r="W254" s="31" t="n"/>
      <c r="X254" s="31" t="n"/>
      <c r="Y254" s="31" t="n"/>
      <c r="Z254" s="31" t="n"/>
    </row>
    <row r="255" ht="14.25" customHeight="1">
      <c r="A255" s="31" t="n"/>
      <c r="D255" s="161" t="n"/>
      <c r="E255" s="161" t="n"/>
      <c r="Q255" s="31" t="n"/>
      <c r="R255" s="31" t="n"/>
      <c r="S255" s="31" t="n"/>
      <c r="T255" s="31" t="n"/>
      <c r="U255" s="31" t="n"/>
      <c r="V255" s="31" t="n"/>
      <c r="W255" s="31" t="n"/>
      <c r="X255" s="31" t="n"/>
      <c r="Y255" s="31" t="n"/>
      <c r="Z255" s="31" t="n"/>
    </row>
    <row r="256" ht="14.25" customHeight="1">
      <c r="A256" s="31" t="n"/>
      <c r="D256" s="161" t="n"/>
      <c r="E256" s="161" t="n"/>
      <c r="Q256" s="31" t="n"/>
      <c r="R256" s="31" t="n"/>
      <c r="S256" s="31" t="n"/>
      <c r="T256" s="31" t="n"/>
      <c r="U256" s="31" t="n"/>
      <c r="V256" s="31" t="n"/>
      <c r="W256" s="31" t="n"/>
      <c r="X256" s="31" t="n"/>
      <c r="Y256" s="31" t="n"/>
      <c r="Z256" s="31" t="n"/>
    </row>
    <row r="257" ht="14.25" customHeight="1">
      <c r="A257" s="31" t="n"/>
      <c r="D257" s="161" t="n"/>
      <c r="E257" s="161" t="n"/>
      <c r="Q257" s="31" t="n"/>
      <c r="R257" s="31" t="n"/>
      <c r="S257" s="31" t="n"/>
      <c r="T257" s="31" t="n"/>
      <c r="U257" s="31" t="n"/>
      <c r="V257" s="31" t="n"/>
      <c r="W257" s="31" t="n"/>
      <c r="X257" s="31" t="n"/>
      <c r="Y257" s="31" t="n"/>
      <c r="Z257" s="31" t="n"/>
    </row>
    <row r="258" ht="14.25" customHeight="1">
      <c r="A258" s="31" t="n"/>
      <c r="D258" s="161" t="n"/>
      <c r="E258" s="161" t="n"/>
      <c r="Q258" s="31" t="n"/>
      <c r="R258" s="31" t="n"/>
      <c r="S258" s="31" t="n"/>
      <c r="T258" s="31" t="n"/>
      <c r="U258" s="31" t="n"/>
      <c r="V258" s="31" t="n"/>
      <c r="W258" s="31" t="n"/>
      <c r="X258" s="31" t="n"/>
      <c r="Y258" s="31" t="n"/>
      <c r="Z258" s="31" t="n"/>
    </row>
    <row r="259" ht="14.25" customHeight="1">
      <c r="A259" s="31" t="n"/>
      <c r="D259" s="161" t="n"/>
      <c r="E259" s="161" t="n"/>
      <c r="Q259" s="31" t="n"/>
      <c r="R259" s="31" t="n"/>
      <c r="S259" s="31" t="n"/>
      <c r="T259" s="31" t="n"/>
      <c r="U259" s="31" t="n"/>
      <c r="V259" s="31" t="n"/>
      <c r="W259" s="31" t="n"/>
      <c r="X259" s="31" t="n"/>
      <c r="Y259" s="31" t="n"/>
      <c r="Z259" s="31" t="n"/>
    </row>
    <row r="260" ht="14.25" customHeight="1">
      <c r="A260" s="31" t="n"/>
      <c r="D260" s="161" t="n"/>
      <c r="E260" s="161" t="n"/>
      <c r="Q260" s="31" t="n"/>
      <c r="R260" s="31" t="n"/>
      <c r="S260" s="31" t="n"/>
      <c r="T260" s="31" t="n"/>
      <c r="U260" s="31" t="n"/>
      <c r="V260" s="31" t="n"/>
      <c r="W260" s="31" t="n"/>
      <c r="X260" s="31" t="n"/>
      <c r="Y260" s="31" t="n"/>
      <c r="Z260" s="31" t="n"/>
    </row>
    <row r="261" ht="14.25" customHeight="1">
      <c r="A261" s="31" t="n"/>
      <c r="D261" s="161" t="n"/>
      <c r="E261" s="161" t="n"/>
      <c r="Q261" s="31" t="n"/>
      <c r="R261" s="31" t="n"/>
      <c r="S261" s="31" t="n"/>
      <c r="T261" s="31" t="n"/>
      <c r="U261" s="31" t="n"/>
      <c r="V261" s="31" t="n"/>
      <c r="W261" s="31" t="n"/>
      <c r="X261" s="31" t="n"/>
      <c r="Y261" s="31" t="n"/>
      <c r="Z261" s="31" t="n"/>
    </row>
    <row r="262" ht="14.25" customHeight="1">
      <c r="A262" s="31" t="n"/>
      <c r="D262" s="161" t="n"/>
      <c r="E262" s="161" t="n"/>
      <c r="Q262" s="31" t="n"/>
      <c r="R262" s="31" t="n"/>
      <c r="S262" s="31" t="n"/>
      <c r="T262" s="31" t="n"/>
      <c r="U262" s="31" t="n"/>
      <c r="V262" s="31" t="n"/>
      <c r="W262" s="31" t="n"/>
      <c r="X262" s="31" t="n"/>
      <c r="Y262" s="31" t="n"/>
      <c r="Z262" s="31" t="n"/>
    </row>
    <row r="263" ht="14.25" customHeight="1">
      <c r="A263" s="31" t="n"/>
      <c r="D263" s="161" t="n"/>
      <c r="E263" s="161" t="n"/>
      <c r="Q263" s="31" t="n"/>
      <c r="R263" s="31" t="n"/>
      <c r="S263" s="31" t="n"/>
      <c r="T263" s="31" t="n"/>
      <c r="U263" s="31" t="n"/>
      <c r="V263" s="31" t="n"/>
      <c r="W263" s="31" t="n"/>
      <c r="X263" s="31" t="n"/>
      <c r="Y263" s="31" t="n"/>
      <c r="Z263" s="31" t="n"/>
    </row>
    <row r="264" ht="14.25" customHeight="1">
      <c r="A264" s="31" t="n"/>
      <c r="D264" s="161" t="n"/>
      <c r="E264" s="161" t="n"/>
      <c r="Q264" s="31" t="n"/>
      <c r="R264" s="31" t="n"/>
      <c r="S264" s="31" t="n"/>
      <c r="T264" s="31" t="n"/>
      <c r="U264" s="31" t="n"/>
      <c r="V264" s="31" t="n"/>
      <c r="W264" s="31" t="n"/>
      <c r="X264" s="31" t="n"/>
      <c r="Y264" s="31" t="n"/>
      <c r="Z264" s="31" t="n"/>
    </row>
    <row r="265" ht="14.25" customHeight="1">
      <c r="A265" s="31" t="n"/>
      <c r="D265" s="161" t="n"/>
      <c r="E265" s="161" t="n"/>
      <c r="Q265" s="31" t="n"/>
      <c r="R265" s="31" t="n"/>
      <c r="S265" s="31" t="n"/>
      <c r="T265" s="31" t="n"/>
      <c r="U265" s="31" t="n"/>
      <c r="V265" s="31" t="n"/>
      <c r="W265" s="31" t="n"/>
      <c r="X265" s="31" t="n"/>
      <c r="Y265" s="31" t="n"/>
      <c r="Z265" s="31" t="n"/>
    </row>
    <row r="266" ht="14.25" customHeight="1">
      <c r="A266" s="31" t="n"/>
      <c r="D266" s="161" t="n"/>
      <c r="E266" s="161" t="n"/>
      <c r="Q266" s="31" t="n"/>
      <c r="R266" s="31" t="n"/>
      <c r="S266" s="31" t="n"/>
      <c r="T266" s="31" t="n"/>
      <c r="U266" s="31" t="n"/>
      <c r="V266" s="31" t="n"/>
      <c r="W266" s="31" t="n"/>
      <c r="X266" s="31" t="n"/>
      <c r="Y266" s="31" t="n"/>
      <c r="Z266" s="31" t="n"/>
    </row>
    <row r="267" ht="14.25" customHeight="1">
      <c r="A267" s="31" t="n"/>
      <c r="D267" s="161" t="n"/>
      <c r="E267" s="161" t="n"/>
      <c r="Q267" s="31" t="n"/>
      <c r="R267" s="31" t="n"/>
      <c r="S267" s="31" t="n"/>
      <c r="T267" s="31" t="n"/>
      <c r="U267" s="31" t="n"/>
      <c r="V267" s="31" t="n"/>
      <c r="W267" s="31" t="n"/>
      <c r="X267" s="31" t="n"/>
      <c r="Y267" s="31" t="n"/>
      <c r="Z267" s="31" t="n"/>
    </row>
    <row r="268" ht="14.25" customHeight="1">
      <c r="A268" s="31" t="n"/>
      <c r="D268" s="161" t="n"/>
      <c r="E268" s="161" t="n"/>
      <c r="Q268" s="31" t="n"/>
      <c r="R268" s="31" t="n"/>
      <c r="S268" s="31" t="n"/>
      <c r="T268" s="31" t="n"/>
      <c r="U268" s="31" t="n"/>
      <c r="V268" s="31" t="n"/>
      <c r="W268" s="31" t="n"/>
      <c r="X268" s="31" t="n"/>
      <c r="Y268" s="31" t="n"/>
      <c r="Z268" s="31" t="n"/>
    </row>
    <row r="269" ht="14.25" customHeight="1">
      <c r="A269" s="31" t="n"/>
      <c r="D269" s="161" t="n"/>
      <c r="E269" s="161" t="n"/>
      <c r="Q269" s="31" t="n"/>
      <c r="R269" s="31" t="n"/>
      <c r="S269" s="31" t="n"/>
      <c r="T269" s="31" t="n"/>
      <c r="U269" s="31" t="n"/>
      <c r="V269" s="31" t="n"/>
      <c r="W269" s="31" t="n"/>
      <c r="X269" s="31" t="n"/>
      <c r="Y269" s="31" t="n"/>
      <c r="Z269" s="31" t="n"/>
    </row>
    <row r="270" ht="14.25" customHeight="1">
      <c r="A270" s="31" t="n"/>
      <c r="D270" s="161" t="n"/>
      <c r="E270" s="161" t="n"/>
      <c r="Q270" s="31" t="n"/>
      <c r="R270" s="31" t="n"/>
      <c r="S270" s="31" t="n"/>
      <c r="T270" s="31" t="n"/>
      <c r="U270" s="31" t="n"/>
      <c r="V270" s="31" t="n"/>
      <c r="W270" s="31" t="n"/>
      <c r="X270" s="31" t="n"/>
      <c r="Y270" s="31" t="n"/>
      <c r="Z270" s="31" t="n"/>
    </row>
    <row r="271" ht="14.25" customHeight="1">
      <c r="A271" s="31" t="n"/>
      <c r="D271" s="161" t="n"/>
      <c r="E271" s="161" t="n"/>
      <c r="Q271" s="31" t="n"/>
      <c r="R271" s="31" t="n"/>
      <c r="S271" s="31" t="n"/>
      <c r="T271" s="31" t="n"/>
      <c r="U271" s="31" t="n"/>
      <c r="V271" s="31" t="n"/>
      <c r="W271" s="31" t="n"/>
      <c r="X271" s="31" t="n"/>
      <c r="Y271" s="31" t="n"/>
      <c r="Z271" s="31" t="n"/>
    </row>
    <row r="272" ht="14.25" customHeight="1">
      <c r="A272" s="31" t="n"/>
      <c r="D272" s="161" t="n"/>
      <c r="E272" s="161" t="n"/>
      <c r="Q272" s="31" t="n"/>
      <c r="R272" s="31" t="n"/>
      <c r="S272" s="31" t="n"/>
      <c r="T272" s="31" t="n"/>
      <c r="U272" s="31" t="n"/>
      <c r="V272" s="31" t="n"/>
      <c r="W272" s="31" t="n"/>
      <c r="X272" s="31" t="n"/>
      <c r="Y272" s="31" t="n"/>
      <c r="Z272" s="31" t="n"/>
    </row>
    <row r="273" ht="14.25" customHeight="1">
      <c r="A273" s="31" t="n"/>
      <c r="D273" s="161" t="n"/>
      <c r="E273" s="161" t="n"/>
      <c r="Q273" s="31" t="n"/>
      <c r="R273" s="31" t="n"/>
      <c r="S273" s="31" t="n"/>
      <c r="T273" s="31" t="n"/>
      <c r="U273" s="31" t="n"/>
      <c r="V273" s="31" t="n"/>
      <c r="W273" s="31" t="n"/>
      <c r="X273" s="31" t="n"/>
      <c r="Y273" s="31" t="n"/>
      <c r="Z273" s="31" t="n"/>
    </row>
    <row r="274" ht="14.25" customHeight="1">
      <c r="A274" s="31" t="n"/>
      <c r="D274" s="161" t="n"/>
      <c r="E274" s="161" t="n"/>
      <c r="Q274" s="31" t="n"/>
      <c r="R274" s="31" t="n"/>
      <c r="S274" s="31" t="n"/>
      <c r="T274" s="31" t="n"/>
      <c r="U274" s="31" t="n"/>
      <c r="V274" s="31" t="n"/>
      <c r="W274" s="31" t="n"/>
      <c r="X274" s="31" t="n"/>
      <c r="Y274" s="31" t="n"/>
      <c r="Z274" s="31" t="n"/>
    </row>
    <row r="275" ht="14.25" customHeight="1">
      <c r="A275" s="31" t="n"/>
      <c r="D275" s="161" t="n"/>
      <c r="E275" s="161" t="n"/>
      <c r="Q275" s="31" t="n"/>
      <c r="R275" s="31" t="n"/>
      <c r="S275" s="31" t="n"/>
      <c r="T275" s="31" t="n"/>
      <c r="U275" s="31" t="n"/>
      <c r="V275" s="31" t="n"/>
      <c r="W275" s="31" t="n"/>
      <c r="X275" s="31" t="n"/>
      <c r="Y275" s="31" t="n"/>
      <c r="Z275" s="31" t="n"/>
    </row>
    <row r="276" ht="14.25" customHeight="1">
      <c r="A276" s="31" t="n"/>
      <c r="D276" s="161" t="n"/>
      <c r="E276" s="161" t="n"/>
      <c r="Q276" s="31" t="n"/>
      <c r="R276" s="31" t="n"/>
      <c r="S276" s="31" t="n"/>
      <c r="T276" s="31" t="n"/>
      <c r="U276" s="31" t="n"/>
      <c r="V276" s="31" t="n"/>
      <c r="W276" s="31" t="n"/>
      <c r="X276" s="31" t="n"/>
      <c r="Y276" s="31" t="n"/>
      <c r="Z276" s="31" t="n"/>
    </row>
    <row r="277" ht="14.25" customHeight="1">
      <c r="A277" s="31" t="n"/>
      <c r="D277" s="161" t="n"/>
      <c r="E277" s="161" t="n"/>
      <c r="Q277" s="31" t="n"/>
      <c r="R277" s="31" t="n"/>
      <c r="S277" s="31" t="n"/>
      <c r="T277" s="31" t="n"/>
      <c r="U277" s="31" t="n"/>
      <c r="V277" s="31" t="n"/>
      <c r="W277" s="31" t="n"/>
      <c r="X277" s="31" t="n"/>
      <c r="Y277" s="31" t="n"/>
      <c r="Z277" s="31" t="n"/>
    </row>
    <row r="278" ht="14.25" customHeight="1">
      <c r="A278" s="31" t="n"/>
      <c r="D278" s="161" t="n"/>
      <c r="E278" s="161" t="n"/>
      <c r="Q278" s="31" t="n"/>
      <c r="R278" s="31" t="n"/>
      <c r="S278" s="31" t="n"/>
      <c r="T278" s="31" t="n"/>
      <c r="U278" s="31" t="n"/>
      <c r="V278" s="31" t="n"/>
      <c r="W278" s="31" t="n"/>
      <c r="X278" s="31" t="n"/>
      <c r="Y278" s="31" t="n"/>
      <c r="Z278" s="31" t="n"/>
    </row>
    <row r="279" ht="14.25" customHeight="1">
      <c r="A279" s="31" t="n"/>
      <c r="D279" s="161" t="n"/>
      <c r="E279" s="161" t="n"/>
      <c r="Q279" s="31" t="n"/>
      <c r="R279" s="31" t="n"/>
      <c r="S279" s="31" t="n"/>
      <c r="T279" s="31" t="n"/>
      <c r="U279" s="31" t="n"/>
      <c r="V279" s="31" t="n"/>
      <c r="W279" s="31" t="n"/>
      <c r="X279" s="31" t="n"/>
      <c r="Y279" s="31" t="n"/>
      <c r="Z279" s="31" t="n"/>
    </row>
    <row r="280" ht="14.25" customHeight="1">
      <c r="A280" s="31" t="n"/>
      <c r="D280" s="161" t="n"/>
      <c r="E280" s="161" t="n"/>
      <c r="Q280" s="31" t="n"/>
      <c r="R280" s="31" t="n"/>
      <c r="S280" s="31" t="n"/>
      <c r="T280" s="31" t="n"/>
      <c r="U280" s="31" t="n"/>
      <c r="V280" s="31" t="n"/>
      <c r="W280" s="31" t="n"/>
      <c r="X280" s="31" t="n"/>
      <c r="Y280" s="31" t="n"/>
      <c r="Z280" s="31" t="n"/>
    </row>
    <row r="281" ht="14.25" customHeight="1">
      <c r="A281" s="31" t="n"/>
      <c r="D281" s="161" t="n"/>
      <c r="E281" s="161" t="n"/>
      <c r="Q281" s="31" t="n"/>
      <c r="R281" s="31" t="n"/>
      <c r="S281" s="31" t="n"/>
      <c r="T281" s="31" t="n"/>
      <c r="U281" s="31" t="n"/>
      <c r="V281" s="31" t="n"/>
      <c r="W281" s="31" t="n"/>
      <c r="X281" s="31" t="n"/>
      <c r="Y281" s="31" t="n"/>
      <c r="Z281" s="31" t="n"/>
    </row>
    <row r="282" ht="14.25" customHeight="1">
      <c r="A282" s="31" t="n"/>
      <c r="D282" s="161" t="n"/>
      <c r="E282" s="161" t="n"/>
      <c r="Q282" s="31" t="n"/>
      <c r="R282" s="31" t="n"/>
      <c r="S282" s="31" t="n"/>
      <c r="T282" s="31" t="n"/>
      <c r="U282" s="31" t="n"/>
      <c r="V282" s="31" t="n"/>
      <c r="W282" s="31" t="n"/>
      <c r="X282" s="31" t="n"/>
      <c r="Y282" s="31" t="n"/>
      <c r="Z282" s="31" t="n"/>
    </row>
    <row r="283" ht="14.25" customHeight="1">
      <c r="A283" s="31" t="n"/>
      <c r="D283" s="161" t="n"/>
      <c r="E283" s="161" t="n"/>
      <c r="Q283" s="31" t="n"/>
      <c r="R283" s="31" t="n"/>
      <c r="S283" s="31" t="n"/>
      <c r="T283" s="31" t="n"/>
      <c r="U283" s="31" t="n"/>
      <c r="V283" s="31" t="n"/>
      <c r="W283" s="31" t="n"/>
      <c r="X283" s="31" t="n"/>
      <c r="Y283" s="31" t="n"/>
      <c r="Z283" s="31" t="n"/>
    </row>
    <row r="284" ht="14.25" customHeight="1">
      <c r="A284" s="31" t="n"/>
      <c r="D284" s="161" t="n"/>
      <c r="E284" s="161" t="n"/>
      <c r="Q284" s="31" t="n"/>
      <c r="R284" s="31" t="n"/>
      <c r="S284" s="31" t="n"/>
      <c r="T284" s="31" t="n"/>
      <c r="U284" s="31" t="n"/>
      <c r="V284" s="31" t="n"/>
      <c r="W284" s="31" t="n"/>
      <c r="X284" s="31" t="n"/>
      <c r="Y284" s="31" t="n"/>
      <c r="Z284" s="31" t="n"/>
    </row>
    <row r="285" ht="14.25" customHeight="1">
      <c r="A285" s="31" t="n"/>
      <c r="D285" s="161" t="n"/>
      <c r="E285" s="161" t="n"/>
      <c r="Q285" s="31" t="n"/>
      <c r="R285" s="31" t="n"/>
      <c r="S285" s="31" t="n"/>
      <c r="T285" s="31" t="n"/>
      <c r="U285" s="31" t="n"/>
      <c r="V285" s="31" t="n"/>
      <c r="W285" s="31" t="n"/>
      <c r="X285" s="31" t="n"/>
      <c r="Y285" s="31" t="n"/>
      <c r="Z285" s="31" t="n"/>
    </row>
    <row r="286" ht="14.25" customHeight="1">
      <c r="A286" s="31" t="n"/>
      <c r="D286" s="161" t="n"/>
      <c r="E286" s="161" t="n"/>
      <c r="Q286" s="31" t="n"/>
      <c r="R286" s="31" t="n"/>
      <c r="S286" s="31" t="n"/>
      <c r="T286" s="31" t="n"/>
      <c r="U286" s="31" t="n"/>
      <c r="V286" s="31" t="n"/>
      <c r="W286" s="31" t="n"/>
      <c r="X286" s="31" t="n"/>
      <c r="Y286" s="31" t="n"/>
      <c r="Z286" s="31" t="n"/>
    </row>
    <row r="287" ht="14.25" customHeight="1">
      <c r="A287" s="31" t="n"/>
      <c r="D287" s="161" t="n"/>
      <c r="E287" s="161" t="n"/>
      <c r="Q287" s="31" t="n"/>
      <c r="R287" s="31" t="n"/>
      <c r="S287" s="31" t="n"/>
      <c r="T287" s="31" t="n"/>
      <c r="U287" s="31" t="n"/>
      <c r="V287" s="31" t="n"/>
      <c r="W287" s="31" t="n"/>
      <c r="X287" s="31" t="n"/>
      <c r="Y287" s="31" t="n"/>
      <c r="Z287" s="31" t="n"/>
    </row>
    <row r="288" ht="14.25" customHeight="1">
      <c r="A288" s="31" t="n"/>
      <c r="D288" s="161" t="n"/>
      <c r="E288" s="161" t="n"/>
      <c r="Q288" s="31" t="n"/>
      <c r="R288" s="31" t="n"/>
      <c r="S288" s="31" t="n"/>
      <c r="T288" s="31" t="n"/>
      <c r="U288" s="31" t="n"/>
      <c r="V288" s="31" t="n"/>
      <c r="W288" s="31" t="n"/>
      <c r="X288" s="31" t="n"/>
      <c r="Y288" s="31" t="n"/>
      <c r="Z288" s="31" t="n"/>
    </row>
    <row r="289" ht="14.25" customHeight="1">
      <c r="A289" s="31" t="n"/>
      <c r="D289" s="161" t="n"/>
      <c r="E289" s="161" t="n"/>
      <c r="Q289" s="31" t="n"/>
      <c r="R289" s="31" t="n"/>
      <c r="S289" s="31" t="n"/>
      <c r="T289" s="31" t="n"/>
      <c r="U289" s="31" t="n"/>
      <c r="V289" s="31" t="n"/>
      <c r="W289" s="31" t="n"/>
      <c r="X289" s="31" t="n"/>
      <c r="Y289" s="31" t="n"/>
      <c r="Z289" s="31" t="n"/>
    </row>
    <row r="290" ht="14.25" customHeight="1">
      <c r="A290" s="31" t="n"/>
      <c r="D290" s="161" t="n"/>
      <c r="E290" s="161" t="n"/>
      <c r="Q290" s="31" t="n"/>
      <c r="R290" s="31" t="n"/>
      <c r="S290" s="31" t="n"/>
      <c r="T290" s="31" t="n"/>
      <c r="U290" s="31" t="n"/>
      <c r="V290" s="31" t="n"/>
      <c r="W290" s="31" t="n"/>
      <c r="X290" s="31" t="n"/>
      <c r="Y290" s="31" t="n"/>
      <c r="Z290" s="31" t="n"/>
    </row>
    <row r="291" ht="14.25" customHeight="1">
      <c r="A291" s="31" t="n"/>
      <c r="D291" s="161" t="n"/>
      <c r="E291" s="161" t="n"/>
      <c r="Q291" s="31" t="n"/>
      <c r="R291" s="31" t="n"/>
      <c r="S291" s="31" t="n"/>
      <c r="T291" s="31" t="n"/>
      <c r="U291" s="31" t="n"/>
      <c r="V291" s="31" t="n"/>
      <c r="W291" s="31" t="n"/>
      <c r="X291" s="31" t="n"/>
      <c r="Y291" s="31" t="n"/>
      <c r="Z291" s="31" t="n"/>
    </row>
    <row r="292" ht="14.25" customHeight="1">
      <c r="A292" s="31" t="n"/>
      <c r="D292" s="161" t="n"/>
      <c r="E292" s="161" t="n"/>
      <c r="Q292" s="31" t="n"/>
      <c r="R292" s="31" t="n"/>
      <c r="S292" s="31" t="n"/>
      <c r="T292" s="31" t="n"/>
      <c r="U292" s="31" t="n"/>
      <c r="V292" s="31" t="n"/>
      <c r="W292" s="31" t="n"/>
      <c r="X292" s="31" t="n"/>
      <c r="Y292" s="31" t="n"/>
      <c r="Z292" s="31" t="n"/>
    </row>
    <row r="293" ht="14.25" customHeight="1">
      <c r="A293" s="31" t="n"/>
      <c r="D293" s="161" t="n"/>
      <c r="E293" s="161" t="n"/>
      <c r="Q293" s="31" t="n"/>
      <c r="R293" s="31" t="n"/>
      <c r="S293" s="31" t="n"/>
      <c r="T293" s="31" t="n"/>
      <c r="U293" s="31" t="n"/>
      <c r="V293" s="31" t="n"/>
      <c r="W293" s="31" t="n"/>
      <c r="X293" s="31" t="n"/>
      <c r="Y293" s="31" t="n"/>
      <c r="Z293" s="31" t="n"/>
    </row>
    <row r="294" ht="14.25" customHeight="1">
      <c r="A294" s="31" t="n"/>
      <c r="D294" s="161" t="n"/>
      <c r="E294" s="161" t="n"/>
      <c r="Q294" s="31" t="n"/>
      <c r="R294" s="31" t="n"/>
      <c r="S294" s="31" t="n"/>
      <c r="T294" s="31" t="n"/>
      <c r="U294" s="31" t="n"/>
      <c r="V294" s="31" t="n"/>
      <c r="W294" s="31" t="n"/>
      <c r="X294" s="31" t="n"/>
      <c r="Y294" s="31" t="n"/>
      <c r="Z294" s="31" t="n"/>
    </row>
    <row r="295" ht="14.25" customHeight="1">
      <c r="A295" s="31" t="n"/>
      <c r="D295" s="161" t="n"/>
      <c r="E295" s="161" t="n"/>
      <c r="Q295" s="31" t="n"/>
      <c r="R295" s="31" t="n"/>
      <c r="S295" s="31" t="n"/>
      <c r="T295" s="31" t="n"/>
      <c r="U295" s="31" t="n"/>
      <c r="V295" s="31" t="n"/>
      <c r="W295" s="31" t="n"/>
      <c r="X295" s="31" t="n"/>
      <c r="Y295" s="31" t="n"/>
      <c r="Z295" s="31" t="n"/>
    </row>
    <row r="296" ht="14.25" customHeight="1">
      <c r="A296" s="31" t="n"/>
      <c r="D296" s="161" t="n"/>
      <c r="E296" s="161" t="n"/>
      <c r="Q296" s="31" t="n"/>
      <c r="R296" s="31" t="n"/>
      <c r="S296" s="31" t="n"/>
      <c r="T296" s="31" t="n"/>
      <c r="U296" s="31" t="n"/>
      <c r="V296" s="31" t="n"/>
      <c r="W296" s="31" t="n"/>
      <c r="X296" s="31" t="n"/>
      <c r="Y296" s="31" t="n"/>
      <c r="Z296" s="31" t="n"/>
    </row>
    <row r="297" ht="14.25" customHeight="1">
      <c r="A297" s="31" t="n"/>
      <c r="D297" s="161" t="n"/>
      <c r="E297" s="161" t="n"/>
      <c r="Q297" s="31" t="n"/>
      <c r="R297" s="31" t="n"/>
      <c r="S297" s="31" t="n"/>
      <c r="T297" s="31" t="n"/>
      <c r="U297" s="31" t="n"/>
      <c r="V297" s="31" t="n"/>
      <c r="W297" s="31" t="n"/>
      <c r="X297" s="31" t="n"/>
      <c r="Y297" s="31" t="n"/>
      <c r="Z297" s="31" t="n"/>
    </row>
    <row r="298" ht="14.25" customHeight="1">
      <c r="A298" s="31" t="n"/>
      <c r="D298" s="161" t="n"/>
      <c r="E298" s="161" t="n"/>
      <c r="Q298" s="31" t="n"/>
      <c r="R298" s="31" t="n"/>
      <c r="S298" s="31" t="n"/>
      <c r="T298" s="31" t="n"/>
      <c r="U298" s="31" t="n"/>
      <c r="V298" s="31" t="n"/>
      <c r="W298" s="31" t="n"/>
      <c r="X298" s="31" t="n"/>
      <c r="Y298" s="31" t="n"/>
      <c r="Z298" s="31" t="n"/>
    </row>
    <row r="299" ht="14.25" customHeight="1">
      <c r="A299" s="31" t="n"/>
      <c r="D299" s="161" t="n"/>
      <c r="E299" s="161" t="n"/>
      <c r="Q299" s="31" t="n"/>
      <c r="R299" s="31" t="n"/>
      <c r="S299" s="31" t="n"/>
      <c r="T299" s="31" t="n"/>
      <c r="U299" s="31" t="n"/>
      <c r="V299" s="31" t="n"/>
      <c r="W299" s="31" t="n"/>
      <c r="X299" s="31" t="n"/>
      <c r="Y299" s="31" t="n"/>
      <c r="Z299" s="31" t="n"/>
    </row>
    <row r="300" ht="14.25" customHeight="1">
      <c r="A300" s="31" t="n"/>
      <c r="D300" s="161" t="n"/>
      <c r="E300" s="161" t="n"/>
      <c r="Q300" s="31" t="n"/>
      <c r="R300" s="31" t="n"/>
      <c r="S300" s="31" t="n"/>
      <c r="T300" s="31" t="n"/>
      <c r="U300" s="31" t="n"/>
      <c r="V300" s="31" t="n"/>
      <c r="W300" s="31" t="n"/>
      <c r="X300" s="31" t="n"/>
      <c r="Y300" s="31" t="n"/>
      <c r="Z300" s="31" t="n"/>
    </row>
    <row r="301" ht="14.25" customHeight="1">
      <c r="A301" s="31" t="n"/>
      <c r="D301" s="161" t="n"/>
      <c r="E301" s="161" t="n"/>
      <c r="Q301" s="31" t="n"/>
      <c r="R301" s="31" t="n"/>
      <c r="S301" s="31" t="n"/>
      <c r="T301" s="31" t="n"/>
      <c r="U301" s="31" t="n"/>
      <c r="V301" s="31" t="n"/>
      <c r="W301" s="31" t="n"/>
      <c r="X301" s="31" t="n"/>
      <c r="Y301" s="31" t="n"/>
      <c r="Z301" s="31" t="n"/>
    </row>
    <row r="302" ht="14.25" customHeight="1">
      <c r="A302" s="31" t="n"/>
      <c r="D302" s="161" t="n"/>
      <c r="E302" s="161" t="n"/>
      <c r="Q302" s="31" t="n"/>
      <c r="R302" s="31" t="n"/>
      <c r="S302" s="31" t="n"/>
      <c r="T302" s="31" t="n"/>
      <c r="U302" s="31" t="n"/>
      <c r="V302" s="31" t="n"/>
      <c r="W302" s="31" t="n"/>
      <c r="X302" s="31" t="n"/>
      <c r="Y302" s="31" t="n"/>
      <c r="Z302" s="31" t="n"/>
    </row>
    <row r="303" ht="14.25" customHeight="1">
      <c r="A303" s="31" t="n"/>
      <c r="D303" s="161" t="n"/>
      <c r="E303" s="161" t="n"/>
      <c r="Q303" s="31" t="n"/>
      <c r="R303" s="31" t="n"/>
      <c r="S303" s="31" t="n"/>
      <c r="T303" s="31" t="n"/>
      <c r="U303" s="31" t="n"/>
      <c r="V303" s="31" t="n"/>
      <c r="W303" s="31" t="n"/>
      <c r="X303" s="31" t="n"/>
      <c r="Y303" s="31" t="n"/>
      <c r="Z303" s="31" t="n"/>
    </row>
    <row r="304" ht="14.25" customHeight="1">
      <c r="A304" s="31" t="n"/>
      <c r="D304" s="161" t="n"/>
      <c r="E304" s="161" t="n"/>
      <c r="Q304" s="31" t="n"/>
      <c r="R304" s="31" t="n"/>
      <c r="S304" s="31" t="n"/>
      <c r="T304" s="31" t="n"/>
      <c r="U304" s="31" t="n"/>
      <c r="V304" s="31" t="n"/>
      <c r="W304" s="31" t="n"/>
      <c r="X304" s="31" t="n"/>
      <c r="Y304" s="31" t="n"/>
      <c r="Z304" s="31" t="n"/>
    </row>
    <row r="305" ht="14.25" customHeight="1">
      <c r="A305" s="31" t="n"/>
      <c r="D305" s="161" t="n"/>
      <c r="E305" s="161" t="n"/>
      <c r="Q305" s="31" t="n"/>
      <c r="R305" s="31" t="n"/>
      <c r="S305" s="31" t="n"/>
      <c r="T305" s="31" t="n"/>
      <c r="U305" s="31" t="n"/>
      <c r="V305" s="31" t="n"/>
      <c r="W305" s="31" t="n"/>
      <c r="X305" s="31" t="n"/>
      <c r="Y305" s="31" t="n"/>
      <c r="Z305" s="31" t="n"/>
    </row>
    <row r="306" ht="14.25" customHeight="1">
      <c r="A306" s="31" t="n"/>
      <c r="D306" s="161" t="n"/>
      <c r="E306" s="161" t="n"/>
      <c r="Q306" s="31" t="n"/>
      <c r="R306" s="31" t="n"/>
      <c r="S306" s="31" t="n"/>
      <c r="T306" s="31" t="n"/>
      <c r="U306" s="31" t="n"/>
      <c r="V306" s="31" t="n"/>
      <c r="W306" s="31" t="n"/>
      <c r="X306" s="31" t="n"/>
      <c r="Y306" s="31" t="n"/>
      <c r="Z306" s="31" t="n"/>
    </row>
    <row r="307" ht="14.25" customHeight="1">
      <c r="A307" s="31" t="n"/>
      <c r="D307" s="161" t="n"/>
      <c r="E307" s="161" t="n"/>
      <c r="Q307" s="31" t="n"/>
      <c r="R307" s="31" t="n"/>
      <c r="S307" s="31" t="n"/>
      <c r="T307" s="31" t="n"/>
      <c r="U307" s="31" t="n"/>
      <c r="V307" s="31" t="n"/>
      <c r="W307" s="31" t="n"/>
      <c r="X307" s="31" t="n"/>
      <c r="Y307" s="31" t="n"/>
      <c r="Z307" s="31" t="n"/>
    </row>
    <row r="308" ht="14.25" customHeight="1">
      <c r="A308" s="31" t="n"/>
      <c r="D308" s="161" t="n"/>
      <c r="E308" s="161" t="n"/>
      <c r="Q308" s="31" t="n"/>
      <c r="R308" s="31" t="n"/>
      <c r="S308" s="31" t="n"/>
      <c r="T308" s="31" t="n"/>
      <c r="U308" s="31" t="n"/>
      <c r="V308" s="31" t="n"/>
      <c r="W308" s="31" t="n"/>
      <c r="X308" s="31" t="n"/>
      <c r="Y308" s="31" t="n"/>
      <c r="Z308" s="31" t="n"/>
    </row>
    <row r="309" ht="14.25" customHeight="1">
      <c r="A309" s="31" t="n"/>
      <c r="D309" s="161" t="n"/>
      <c r="E309" s="161" t="n"/>
      <c r="Q309" s="31" t="n"/>
      <c r="R309" s="31" t="n"/>
      <c r="S309" s="31" t="n"/>
      <c r="T309" s="31" t="n"/>
      <c r="U309" s="31" t="n"/>
      <c r="V309" s="31" t="n"/>
      <c r="W309" s="31" t="n"/>
      <c r="X309" s="31" t="n"/>
      <c r="Y309" s="31" t="n"/>
      <c r="Z309" s="31" t="n"/>
    </row>
    <row r="310" ht="14.25" customHeight="1">
      <c r="A310" s="31" t="n"/>
      <c r="D310" s="161" t="n"/>
      <c r="E310" s="161" t="n"/>
      <c r="Q310" s="31" t="n"/>
      <c r="R310" s="31" t="n"/>
      <c r="S310" s="31" t="n"/>
      <c r="T310" s="31" t="n"/>
      <c r="U310" s="31" t="n"/>
      <c r="V310" s="31" t="n"/>
      <c r="W310" s="31" t="n"/>
      <c r="X310" s="31" t="n"/>
      <c r="Y310" s="31" t="n"/>
      <c r="Z310" s="31" t="n"/>
    </row>
    <row r="311" ht="14.25" customHeight="1">
      <c r="A311" s="31" t="n"/>
      <c r="D311" s="161" t="n"/>
      <c r="E311" s="161" t="n"/>
      <c r="Q311" s="31" t="n"/>
      <c r="R311" s="31" t="n"/>
      <c r="S311" s="31" t="n"/>
      <c r="T311" s="31" t="n"/>
      <c r="U311" s="31" t="n"/>
      <c r="V311" s="31" t="n"/>
      <c r="W311" s="31" t="n"/>
      <c r="X311" s="31" t="n"/>
      <c r="Y311" s="31" t="n"/>
      <c r="Z311" s="31" t="n"/>
    </row>
    <row r="312" ht="14.25" customHeight="1">
      <c r="A312" s="31" t="n"/>
      <c r="D312" s="161" t="n"/>
      <c r="E312" s="161" t="n"/>
      <c r="Q312" s="31" t="n"/>
      <c r="R312" s="31" t="n"/>
      <c r="S312" s="31" t="n"/>
      <c r="T312" s="31" t="n"/>
      <c r="U312" s="31" t="n"/>
      <c r="V312" s="31" t="n"/>
      <c r="W312" s="31" t="n"/>
      <c r="X312" s="31" t="n"/>
      <c r="Y312" s="31" t="n"/>
      <c r="Z312" s="31" t="n"/>
    </row>
    <row r="313" ht="14.25" customHeight="1">
      <c r="A313" s="31" t="n"/>
      <c r="D313" s="161" t="n"/>
      <c r="E313" s="161" t="n"/>
      <c r="Q313" s="31" t="n"/>
      <c r="R313" s="31" t="n"/>
      <c r="S313" s="31" t="n"/>
      <c r="T313" s="31" t="n"/>
      <c r="U313" s="31" t="n"/>
      <c r="V313" s="31" t="n"/>
      <c r="W313" s="31" t="n"/>
      <c r="X313" s="31" t="n"/>
      <c r="Y313" s="31" t="n"/>
      <c r="Z313" s="31" t="n"/>
    </row>
    <row r="314" ht="14.25" customHeight="1">
      <c r="A314" s="31" t="n"/>
      <c r="D314" s="161" t="n"/>
      <c r="E314" s="161" t="n"/>
      <c r="Q314" s="31" t="n"/>
      <c r="R314" s="31" t="n"/>
      <c r="S314" s="31" t="n"/>
      <c r="T314" s="31" t="n"/>
      <c r="U314" s="31" t="n"/>
      <c r="V314" s="31" t="n"/>
      <c r="W314" s="31" t="n"/>
      <c r="X314" s="31" t="n"/>
      <c r="Y314" s="31" t="n"/>
      <c r="Z314" s="31" t="n"/>
    </row>
    <row r="315" ht="14.25" customHeight="1">
      <c r="A315" s="31" t="n"/>
      <c r="D315" s="161" t="n"/>
      <c r="E315" s="161" t="n"/>
      <c r="Q315" s="31" t="n"/>
      <c r="R315" s="31" t="n"/>
      <c r="S315" s="31" t="n"/>
      <c r="T315" s="31" t="n"/>
      <c r="U315" s="31" t="n"/>
      <c r="V315" s="31" t="n"/>
      <c r="W315" s="31" t="n"/>
      <c r="X315" s="31" t="n"/>
      <c r="Y315" s="31" t="n"/>
      <c r="Z315" s="31" t="n"/>
    </row>
    <row r="316" ht="14.25" customHeight="1">
      <c r="A316" s="31" t="n"/>
      <c r="D316" s="161" t="n"/>
      <c r="E316" s="161" t="n"/>
      <c r="Q316" s="31" t="n"/>
      <c r="R316" s="31" t="n"/>
      <c r="S316" s="31" t="n"/>
      <c r="T316" s="31" t="n"/>
      <c r="U316" s="31" t="n"/>
      <c r="V316" s="31" t="n"/>
      <c r="W316" s="31" t="n"/>
      <c r="X316" s="31" t="n"/>
      <c r="Y316" s="31" t="n"/>
      <c r="Z316" s="31" t="n"/>
    </row>
    <row r="317" ht="14.25" customHeight="1">
      <c r="A317" s="31" t="n"/>
      <c r="D317" s="161" t="n"/>
      <c r="E317" s="161" t="n"/>
      <c r="Q317" s="31" t="n"/>
      <c r="R317" s="31" t="n"/>
      <c r="S317" s="31" t="n"/>
      <c r="T317" s="31" t="n"/>
      <c r="U317" s="31" t="n"/>
      <c r="V317" s="31" t="n"/>
      <c r="W317" s="31" t="n"/>
      <c r="X317" s="31" t="n"/>
      <c r="Y317" s="31" t="n"/>
      <c r="Z317" s="31" t="n"/>
    </row>
    <row r="318" ht="14.25" customHeight="1">
      <c r="A318" s="31" t="n"/>
      <c r="D318" s="161" t="n"/>
      <c r="E318" s="161" t="n"/>
      <c r="Q318" s="31" t="n"/>
      <c r="R318" s="31" t="n"/>
      <c r="S318" s="31" t="n"/>
      <c r="T318" s="31" t="n"/>
      <c r="U318" s="31" t="n"/>
      <c r="V318" s="31" t="n"/>
      <c r="W318" s="31" t="n"/>
      <c r="X318" s="31" t="n"/>
      <c r="Y318" s="31" t="n"/>
      <c r="Z318" s="31" t="n"/>
    </row>
    <row r="319" ht="14.25" customHeight="1">
      <c r="A319" s="31" t="n"/>
      <c r="D319" s="161" t="n"/>
      <c r="E319" s="161" t="n"/>
      <c r="Q319" s="31" t="n"/>
      <c r="R319" s="31" t="n"/>
      <c r="S319" s="31" t="n"/>
      <c r="T319" s="31" t="n"/>
      <c r="U319" s="31" t="n"/>
      <c r="V319" s="31" t="n"/>
      <c r="W319" s="31" t="n"/>
      <c r="X319" s="31" t="n"/>
      <c r="Y319" s="31" t="n"/>
      <c r="Z319" s="31" t="n"/>
    </row>
    <row r="320" ht="14.25" customHeight="1">
      <c r="A320" s="31" t="n"/>
      <c r="D320" s="161" t="n"/>
      <c r="E320" s="161" t="n"/>
      <c r="Q320" s="31" t="n"/>
      <c r="R320" s="31" t="n"/>
      <c r="S320" s="31" t="n"/>
      <c r="T320" s="31" t="n"/>
      <c r="U320" s="31" t="n"/>
      <c r="V320" s="31" t="n"/>
      <c r="W320" s="31" t="n"/>
      <c r="X320" s="31" t="n"/>
      <c r="Y320" s="31" t="n"/>
      <c r="Z320" s="31" t="n"/>
    </row>
    <row r="321" ht="14.25" customHeight="1">
      <c r="A321" s="31" t="n"/>
      <c r="D321" s="161" t="n"/>
      <c r="E321" s="161" t="n"/>
      <c r="Q321" s="31" t="n"/>
      <c r="R321" s="31" t="n"/>
      <c r="S321" s="31" t="n"/>
      <c r="T321" s="31" t="n"/>
      <c r="U321" s="31" t="n"/>
      <c r="V321" s="31" t="n"/>
      <c r="W321" s="31" t="n"/>
      <c r="X321" s="31" t="n"/>
      <c r="Y321" s="31" t="n"/>
      <c r="Z321" s="31" t="n"/>
    </row>
    <row r="322" ht="14.25" customHeight="1">
      <c r="A322" s="31" t="n"/>
      <c r="D322" s="161" t="n"/>
      <c r="E322" s="161" t="n"/>
      <c r="Q322" s="31" t="n"/>
      <c r="R322" s="31" t="n"/>
      <c r="S322" s="31" t="n"/>
      <c r="T322" s="31" t="n"/>
      <c r="U322" s="31" t="n"/>
      <c r="V322" s="31" t="n"/>
      <c r="W322" s="31" t="n"/>
      <c r="X322" s="31" t="n"/>
      <c r="Y322" s="31" t="n"/>
      <c r="Z322" s="31" t="n"/>
    </row>
    <row r="323" ht="14.25" customHeight="1">
      <c r="A323" s="31" t="n"/>
      <c r="D323" s="161" t="n"/>
      <c r="E323" s="161" t="n"/>
      <c r="Q323" s="31" t="n"/>
      <c r="R323" s="31" t="n"/>
      <c r="S323" s="31" t="n"/>
      <c r="T323" s="31" t="n"/>
      <c r="U323" s="31" t="n"/>
      <c r="V323" s="31" t="n"/>
      <c r="W323" s="31" t="n"/>
      <c r="X323" s="31" t="n"/>
      <c r="Y323" s="31" t="n"/>
      <c r="Z323" s="31" t="n"/>
    </row>
    <row r="324" ht="14.25" customHeight="1">
      <c r="A324" s="31" t="n"/>
      <c r="D324" s="161" t="n"/>
      <c r="E324" s="161" t="n"/>
      <c r="Q324" s="31" t="n"/>
      <c r="R324" s="31" t="n"/>
      <c r="S324" s="31" t="n"/>
      <c r="T324" s="31" t="n"/>
      <c r="U324" s="31" t="n"/>
      <c r="V324" s="31" t="n"/>
      <c r="W324" s="31" t="n"/>
      <c r="X324" s="31" t="n"/>
      <c r="Y324" s="31" t="n"/>
      <c r="Z324" s="31" t="n"/>
    </row>
    <row r="325" ht="14.25" customHeight="1">
      <c r="A325" s="31" t="n"/>
      <c r="D325" s="161" t="n"/>
      <c r="E325" s="161" t="n"/>
      <c r="Q325" s="31" t="n"/>
      <c r="R325" s="31" t="n"/>
      <c r="S325" s="31" t="n"/>
      <c r="T325" s="31" t="n"/>
      <c r="U325" s="31" t="n"/>
      <c r="V325" s="31" t="n"/>
      <c r="W325" s="31" t="n"/>
      <c r="X325" s="31" t="n"/>
      <c r="Y325" s="31" t="n"/>
      <c r="Z325" s="31" t="n"/>
    </row>
    <row r="326" ht="14.25" customHeight="1">
      <c r="A326" s="31" t="n"/>
      <c r="D326" s="161" t="n"/>
      <c r="E326" s="161" t="n"/>
      <c r="Q326" s="31" t="n"/>
      <c r="R326" s="31" t="n"/>
      <c r="S326" s="31" t="n"/>
      <c r="T326" s="31" t="n"/>
      <c r="U326" s="31" t="n"/>
      <c r="V326" s="31" t="n"/>
      <c r="W326" s="31" t="n"/>
      <c r="X326" s="31" t="n"/>
      <c r="Y326" s="31" t="n"/>
      <c r="Z326" s="31" t="n"/>
    </row>
    <row r="327" ht="14.25" customHeight="1">
      <c r="A327" s="31" t="n"/>
      <c r="D327" s="161" t="n"/>
      <c r="E327" s="161" t="n"/>
      <c r="Q327" s="31" t="n"/>
      <c r="R327" s="31" t="n"/>
      <c r="S327" s="31" t="n"/>
      <c r="T327" s="31" t="n"/>
      <c r="U327" s="31" t="n"/>
      <c r="V327" s="31" t="n"/>
      <c r="W327" s="31" t="n"/>
      <c r="X327" s="31" t="n"/>
      <c r="Y327" s="31" t="n"/>
      <c r="Z327" s="31" t="n"/>
    </row>
    <row r="328" ht="14.25" customHeight="1">
      <c r="A328" s="31" t="n"/>
      <c r="D328" s="161" t="n"/>
      <c r="E328" s="161" t="n"/>
      <c r="Q328" s="31" t="n"/>
      <c r="R328" s="31" t="n"/>
      <c r="S328" s="31" t="n"/>
      <c r="T328" s="31" t="n"/>
      <c r="U328" s="31" t="n"/>
      <c r="V328" s="31" t="n"/>
      <c r="W328" s="31" t="n"/>
      <c r="X328" s="31" t="n"/>
      <c r="Y328" s="31" t="n"/>
      <c r="Z328" s="31" t="n"/>
    </row>
    <row r="329" ht="14.25" customHeight="1">
      <c r="A329" s="31" t="n"/>
      <c r="D329" s="161" t="n"/>
      <c r="E329" s="161" t="n"/>
      <c r="Q329" s="31" t="n"/>
      <c r="R329" s="31" t="n"/>
      <c r="S329" s="31" t="n"/>
      <c r="T329" s="31" t="n"/>
      <c r="U329" s="31" t="n"/>
      <c r="V329" s="31" t="n"/>
      <c r="W329" s="31" t="n"/>
      <c r="X329" s="31" t="n"/>
      <c r="Y329" s="31" t="n"/>
      <c r="Z329" s="31" t="n"/>
    </row>
    <row r="330" ht="14.25" customHeight="1">
      <c r="A330" s="31" t="n"/>
      <c r="D330" s="161" t="n"/>
      <c r="E330" s="161" t="n"/>
      <c r="Q330" s="31" t="n"/>
      <c r="R330" s="31" t="n"/>
      <c r="S330" s="31" t="n"/>
      <c r="T330" s="31" t="n"/>
      <c r="U330" s="31" t="n"/>
      <c r="V330" s="31" t="n"/>
      <c r="W330" s="31" t="n"/>
      <c r="X330" s="31" t="n"/>
      <c r="Y330" s="31" t="n"/>
      <c r="Z330" s="31" t="n"/>
    </row>
    <row r="331" ht="14.25" customHeight="1">
      <c r="A331" s="31" t="n"/>
      <c r="D331" s="161" t="n"/>
      <c r="E331" s="161" t="n"/>
      <c r="Q331" s="31" t="n"/>
      <c r="R331" s="31" t="n"/>
      <c r="S331" s="31" t="n"/>
      <c r="T331" s="31" t="n"/>
      <c r="U331" s="31" t="n"/>
      <c r="V331" s="31" t="n"/>
      <c r="W331" s="31" t="n"/>
      <c r="X331" s="31" t="n"/>
      <c r="Y331" s="31" t="n"/>
      <c r="Z331" s="31" t="n"/>
    </row>
    <row r="332" ht="14.25" customHeight="1">
      <c r="A332" s="31" t="n"/>
      <c r="D332" s="161" t="n"/>
      <c r="E332" s="161" t="n"/>
      <c r="Q332" s="31" t="n"/>
      <c r="R332" s="31" t="n"/>
      <c r="S332" s="31" t="n"/>
      <c r="T332" s="31" t="n"/>
      <c r="U332" s="31" t="n"/>
      <c r="V332" s="31" t="n"/>
      <c r="W332" s="31" t="n"/>
      <c r="X332" s="31" t="n"/>
      <c r="Y332" s="31" t="n"/>
      <c r="Z332" s="31" t="n"/>
    </row>
    <row r="333" ht="14.25" customHeight="1">
      <c r="A333" s="31" t="n"/>
      <c r="D333" s="161" t="n"/>
      <c r="E333" s="161" t="n"/>
      <c r="Q333" s="31" t="n"/>
      <c r="R333" s="31" t="n"/>
      <c r="S333" s="31" t="n"/>
      <c r="T333" s="31" t="n"/>
      <c r="U333" s="31" t="n"/>
      <c r="V333" s="31" t="n"/>
      <c r="W333" s="31" t="n"/>
      <c r="X333" s="31" t="n"/>
      <c r="Y333" s="31" t="n"/>
      <c r="Z333" s="31" t="n"/>
    </row>
    <row r="334" ht="14.25" customHeight="1">
      <c r="A334" s="31" t="n"/>
      <c r="D334" s="161" t="n"/>
      <c r="E334" s="161" t="n"/>
      <c r="Q334" s="31" t="n"/>
      <c r="R334" s="31" t="n"/>
      <c r="S334" s="31" t="n"/>
      <c r="T334" s="31" t="n"/>
      <c r="U334" s="31" t="n"/>
      <c r="V334" s="31" t="n"/>
      <c r="W334" s="31" t="n"/>
      <c r="X334" s="31" t="n"/>
      <c r="Y334" s="31" t="n"/>
      <c r="Z334" s="31" t="n"/>
    </row>
    <row r="335" ht="14.25" customHeight="1">
      <c r="A335" s="31" t="n"/>
      <c r="D335" s="161" t="n"/>
      <c r="E335" s="161" t="n"/>
      <c r="Q335" s="31" t="n"/>
      <c r="R335" s="31" t="n"/>
      <c r="S335" s="31" t="n"/>
      <c r="T335" s="31" t="n"/>
      <c r="U335" s="31" t="n"/>
      <c r="V335" s="31" t="n"/>
      <c r="W335" s="31" t="n"/>
      <c r="X335" s="31" t="n"/>
      <c r="Y335" s="31" t="n"/>
      <c r="Z335" s="31" t="n"/>
    </row>
    <row r="336" ht="14.25" customHeight="1">
      <c r="A336" s="31" t="n"/>
      <c r="D336" s="161" t="n"/>
      <c r="E336" s="161" t="n"/>
      <c r="Q336" s="31" t="n"/>
      <c r="R336" s="31" t="n"/>
      <c r="S336" s="31" t="n"/>
      <c r="T336" s="31" t="n"/>
      <c r="U336" s="31" t="n"/>
      <c r="V336" s="31" t="n"/>
      <c r="W336" s="31" t="n"/>
      <c r="X336" s="31" t="n"/>
      <c r="Y336" s="31" t="n"/>
      <c r="Z336" s="31" t="n"/>
    </row>
    <row r="337" ht="14.25" customHeight="1">
      <c r="A337" s="31" t="n"/>
      <c r="D337" s="161" t="n"/>
      <c r="E337" s="161" t="n"/>
      <c r="Q337" s="31" t="n"/>
      <c r="R337" s="31" t="n"/>
      <c r="S337" s="31" t="n"/>
      <c r="T337" s="31" t="n"/>
      <c r="U337" s="31" t="n"/>
      <c r="V337" s="31" t="n"/>
      <c r="W337" s="31" t="n"/>
      <c r="X337" s="31" t="n"/>
      <c r="Y337" s="31" t="n"/>
      <c r="Z337" s="31" t="n"/>
    </row>
    <row r="338" ht="14.25" customHeight="1">
      <c r="A338" s="31" t="n"/>
      <c r="D338" s="161" t="n"/>
      <c r="E338" s="161" t="n"/>
      <c r="Q338" s="31" t="n"/>
      <c r="R338" s="31" t="n"/>
      <c r="S338" s="31" t="n"/>
      <c r="T338" s="31" t="n"/>
      <c r="U338" s="31" t="n"/>
      <c r="V338" s="31" t="n"/>
      <c r="W338" s="31" t="n"/>
      <c r="X338" s="31" t="n"/>
      <c r="Y338" s="31" t="n"/>
      <c r="Z338" s="31" t="n"/>
    </row>
    <row r="339" ht="14.25" customHeight="1">
      <c r="A339" s="31" t="n"/>
      <c r="D339" s="161" t="n"/>
      <c r="E339" s="161" t="n"/>
      <c r="Q339" s="31" t="n"/>
      <c r="R339" s="31" t="n"/>
      <c r="S339" s="31" t="n"/>
      <c r="T339" s="31" t="n"/>
      <c r="U339" s="31" t="n"/>
      <c r="V339" s="31" t="n"/>
      <c r="W339" s="31" t="n"/>
      <c r="X339" s="31" t="n"/>
      <c r="Y339" s="31" t="n"/>
      <c r="Z339" s="31" t="n"/>
    </row>
    <row r="340" ht="14.25" customHeight="1">
      <c r="A340" s="31" t="n"/>
      <c r="D340" s="161" t="n"/>
      <c r="E340" s="161" t="n"/>
      <c r="Q340" s="31" t="n"/>
      <c r="R340" s="31" t="n"/>
      <c r="S340" s="31" t="n"/>
      <c r="T340" s="31" t="n"/>
      <c r="U340" s="31" t="n"/>
      <c r="V340" s="31" t="n"/>
      <c r="W340" s="31" t="n"/>
      <c r="X340" s="31" t="n"/>
      <c r="Y340" s="31" t="n"/>
      <c r="Z340" s="31" t="n"/>
    </row>
    <row r="341" ht="14.25" customHeight="1">
      <c r="A341" s="31" t="n"/>
      <c r="D341" s="161" t="n"/>
      <c r="E341" s="161" t="n"/>
      <c r="Q341" s="31" t="n"/>
      <c r="R341" s="31" t="n"/>
      <c r="S341" s="31" t="n"/>
      <c r="T341" s="31" t="n"/>
      <c r="U341" s="31" t="n"/>
      <c r="V341" s="31" t="n"/>
      <c r="W341" s="31" t="n"/>
      <c r="X341" s="31" t="n"/>
      <c r="Y341" s="31" t="n"/>
      <c r="Z341" s="31" t="n"/>
    </row>
    <row r="342" ht="14.25" customHeight="1">
      <c r="A342" s="31" t="n"/>
      <c r="D342" s="161" t="n"/>
      <c r="E342" s="161" t="n"/>
      <c r="Q342" s="31" t="n"/>
      <c r="R342" s="31" t="n"/>
      <c r="S342" s="31" t="n"/>
      <c r="T342" s="31" t="n"/>
      <c r="U342" s="31" t="n"/>
      <c r="V342" s="31" t="n"/>
      <c r="W342" s="31" t="n"/>
      <c r="X342" s="31" t="n"/>
      <c r="Y342" s="31" t="n"/>
      <c r="Z342" s="31" t="n"/>
    </row>
    <row r="343" ht="14.25" customHeight="1">
      <c r="A343" s="31" t="n"/>
      <c r="D343" s="161" t="n"/>
      <c r="E343" s="161" t="n"/>
      <c r="Q343" s="31" t="n"/>
      <c r="R343" s="31" t="n"/>
      <c r="S343" s="31" t="n"/>
      <c r="T343" s="31" t="n"/>
      <c r="U343" s="31" t="n"/>
      <c r="V343" s="31" t="n"/>
      <c r="W343" s="31" t="n"/>
      <c r="X343" s="31" t="n"/>
      <c r="Y343" s="31" t="n"/>
      <c r="Z343" s="31" t="n"/>
    </row>
    <row r="344" ht="14.25" customHeight="1">
      <c r="A344" s="31" t="n"/>
      <c r="D344" s="161" t="n"/>
      <c r="E344" s="161" t="n"/>
      <c r="Q344" s="31" t="n"/>
      <c r="R344" s="31" t="n"/>
      <c r="S344" s="31" t="n"/>
      <c r="T344" s="31" t="n"/>
      <c r="U344" s="31" t="n"/>
      <c r="V344" s="31" t="n"/>
      <c r="W344" s="31" t="n"/>
      <c r="X344" s="31" t="n"/>
      <c r="Y344" s="31" t="n"/>
      <c r="Z344" s="31" t="n"/>
    </row>
    <row r="345" ht="14.25" customHeight="1">
      <c r="A345" s="31" t="n"/>
      <c r="D345" s="161" t="n"/>
      <c r="E345" s="161" t="n"/>
      <c r="Q345" s="31" t="n"/>
      <c r="R345" s="31" t="n"/>
      <c r="S345" s="31" t="n"/>
      <c r="T345" s="31" t="n"/>
      <c r="U345" s="31" t="n"/>
      <c r="V345" s="31" t="n"/>
      <c r="W345" s="31" t="n"/>
      <c r="X345" s="31" t="n"/>
      <c r="Y345" s="31" t="n"/>
      <c r="Z345" s="31" t="n"/>
    </row>
    <row r="346" ht="14.25" customHeight="1">
      <c r="A346" s="31" t="n"/>
      <c r="D346" s="161" t="n"/>
      <c r="E346" s="161" t="n"/>
      <c r="Q346" s="31" t="n"/>
      <c r="R346" s="31" t="n"/>
      <c r="S346" s="31" t="n"/>
      <c r="T346" s="31" t="n"/>
      <c r="U346" s="31" t="n"/>
      <c r="V346" s="31" t="n"/>
      <c r="W346" s="31" t="n"/>
      <c r="X346" s="31" t="n"/>
      <c r="Y346" s="31" t="n"/>
      <c r="Z346" s="31" t="n"/>
    </row>
    <row r="347" ht="14.25" customHeight="1">
      <c r="A347" s="31" t="n"/>
      <c r="D347" s="161" t="n"/>
      <c r="E347" s="161" t="n"/>
      <c r="Q347" s="31" t="n"/>
      <c r="R347" s="31" t="n"/>
      <c r="S347" s="31" t="n"/>
      <c r="T347" s="31" t="n"/>
      <c r="U347" s="31" t="n"/>
      <c r="V347" s="31" t="n"/>
      <c r="W347" s="31" t="n"/>
      <c r="X347" s="31" t="n"/>
      <c r="Y347" s="31" t="n"/>
      <c r="Z347" s="31" t="n"/>
    </row>
    <row r="348" ht="14.25" customHeight="1">
      <c r="A348" s="31" t="n"/>
      <c r="D348" s="161" t="n"/>
      <c r="E348" s="161" t="n"/>
      <c r="Q348" s="31" t="n"/>
      <c r="R348" s="31" t="n"/>
      <c r="S348" s="31" t="n"/>
      <c r="T348" s="31" t="n"/>
      <c r="U348" s="31" t="n"/>
      <c r="V348" s="31" t="n"/>
      <c r="W348" s="31" t="n"/>
      <c r="X348" s="31" t="n"/>
      <c r="Y348" s="31" t="n"/>
      <c r="Z348" s="31" t="n"/>
    </row>
    <row r="349" ht="14.25" customHeight="1">
      <c r="A349" s="31" t="n"/>
      <c r="D349" s="161" t="n"/>
      <c r="E349" s="161" t="n"/>
      <c r="Q349" s="31" t="n"/>
      <c r="R349" s="31" t="n"/>
      <c r="S349" s="31" t="n"/>
      <c r="T349" s="31" t="n"/>
      <c r="U349" s="31" t="n"/>
      <c r="V349" s="31" t="n"/>
      <c r="W349" s="31" t="n"/>
      <c r="X349" s="31" t="n"/>
      <c r="Y349" s="31" t="n"/>
      <c r="Z349" s="31" t="n"/>
    </row>
    <row r="350" ht="14.25" customHeight="1">
      <c r="A350" s="31" t="n"/>
      <c r="D350" s="161" t="n"/>
      <c r="E350" s="161" t="n"/>
      <c r="Q350" s="31" t="n"/>
      <c r="R350" s="31" t="n"/>
      <c r="S350" s="31" t="n"/>
      <c r="T350" s="31" t="n"/>
      <c r="U350" s="31" t="n"/>
      <c r="V350" s="31" t="n"/>
      <c r="W350" s="31" t="n"/>
      <c r="X350" s="31" t="n"/>
      <c r="Y350" s="31" t="n"/>
      <c r="Z350" s="31" t="n"/>
    </row>
    <row r="351" ht="14.25" customHeight="1">
      <c r="A351" s="31" t="n"/>
      <c r="D351" s="161" t="n"/>
      <c r="E351" s="161" t="n"/>
      <c r="Q351" s="31" t="n"/>
      <c r="R351" s="31" t="n"/>
      <c r="S351" s="31" t="n"/>
      <c r="T351" s="31" t="n"/>
      <c r="U351" s="31" t="n"/>
      <c r="V351" s="31" t="n"/>
      <c r="W351" s="31" t="n"/>
      <c r="X351" s="31" t="n"/>
      <c r="Y351" s="31" t="n"/>
      <c r="Z351" s="31" t="n"/>
    </row>
    <row r="352" ht="14.25" customHeight="1">
      <c r="A352" s="31" t="n"/>
      <c r="D352" s="161" t="n"/>
      <c r="E352" s="161" t="n"/>
      <c r="Q352" s="31" t="n"/>
      <c r="R352" s="31" t="n"/>
      <c r="S352" s="31" t="n"/>
      <c r="T352" s="31" t="n"/>
      <c r="U352" s="31" t="n"/>
      <c r="V352" s="31" t="n"/>
      <c r="W352" s="31" t="n"/>
      <c r="X352" s="31" t="n"/>
      <c r="Y352" s="31" t="n"/>
      <c r="Z352" s="31" t="n"/>
    </row>
    <row r="353" ht="14.25" customHeight="1">
      <c r="A353" s="31" t="n"/>
      <c r="D353" s="161" t="n"/>
      <c r="E353" s="161" t="n"/>
      <c r="Q353" s="31" t="n"/>
      <c r="R353" s="31" t="n"/>
      <c r="S353" s="31" t="n"/>
      <c r="T353" s="31" t="n"/>
      <c r="U353" s="31" t="n"/>
      <c r="V353" s="31" t="n"/>
      <c r="W353" s="31" t="n"/>
      <c r="X353" s="31" t="n"/>
      <c r="Y353" s="31" t="n"/>
      <c r="Z353" s="31" t="n"/>
    </row>
    <row r="354" ht="14.25" customHeight="1">
      <c r="A354" s="31" t="n"/>
      <c r="D354" s="161" t="n"/>
      <c r="E354" s="161" t="n"/>
      <c r="Q354" s="31" t="n"/>
      <c r="R354" s="31" t="n"/>
      <c r="S354" s="31" t="n"/>
      <c r="T354" s="31" t="n"/>
      <c r="U354" s="31" t="n"/>
      <c r="V354" s="31" t="n"/>
      <c r="W354" s="31" t="n"/>
      <c r="X354" s="31" t="n"/>
      <c r="Y354" s="31" t="n"/>
      <c r="Z354" s="31" t="n"/>
    </row>
    <row r="355" ht="14.25" customHeight="1">
      <c r="A355" s="31" t="n"/>
      <c r="D355" s="161" t="n"/>
      <c r="E355" s="161" t="n"/>
      <c r="Q355" s="31" t="n"/>
      <c r="R355" s="31" t="n"/>
      <c r="S355" s="31" t="n"/>
      <c r="T355" s="31" t="n"/>
      <c r="U355" s="31" t="n"/>
      <c r="V355" s="31" t="n"/>
      <c r="W355" s="31" t="n"/>
      <c r="X355" s="31" t="n"/>
      <c r="Y355" s="31" t="n"/>
      <c r="Z355" s="31" t="n"/>
    </row>
    <row r="356" ht="14.25" customHeight="1">
      <c r="A356" s="31" t="n"/>
      <c r="D356" s="161" t="n"/>
      <c r="E356" s="161" t="n"/>
      <c r="Q356" s="31" t="n"/>
      <c r="R356" s="31" t="n"/>
      <c r="S356" s="31" t="n"/>
      <c r="T356" s="31" t="n"/>
      <c r="U356" s="31" t="n"/>
      <c r="V356" s="31" t="n"/>
      <c r="W356" s="31" t="n"/>
      <c r="X356" s="31" t="n"/>
      <c r="Y356" s="31" t="n"/>
      <c r="Z356" s="31" t="n"/>
    </row>
    <row r="357" ht="14.25" customHeight="1">
      <c r="A357" s="31" t="n"/>
      <c r="D357" s="161" t="n"/>
      <c r="E357" s="161" t="n"/>
      <c r="Q357" s="31" t="n"/>
      <c r="R357" s="31" t="n"/>
      <c r="S357" s="31" t="n"/>
      <c r="T357" s="31" t="n"/>
      <c r="U357" s="31" t="n"/>
      <c r="V357" s="31" t="n"/>
      <c r="W357" s="31" t="n"/>
      <c r="X357" s="31" t="n"/>
      <c r="Y357" s="31" t="n"/>
      <c r="Z357" s="31" t="n"/>
    </row>
    <row r="358" ht="14.25" customHeight="1">
      <c r="A358" s="31" t="n"/>
      <c r="D358" s="161" t="n"/>
      <c r="E358" s="161" t="n"/>
      <c r="Q358" s="31" t="n"/>
      <c r="R358" s="31" t="n"/>
      <c r="S358" s="31" t="n"/>
      <c r="T358" s="31" t="n"/>
      <c r="U358" s="31" t="n"/>
      <c r="V358" s="31" t="n"/>
      <c r="W358" s="31" t="n"/>
      <c r="X358" s="31" t="n"/>
      <c r="Y358" s="31" t="n"/>
      <c r="Z358" s="31" t="n"/>
    </row>
    <row r="359" ht="14.25" customHeight="1">
      <c r="A359" s="31" t="n"/>
      <c r="D359" s="161" t="n"/>
      <c r="E359" s="161" t="n"/>
      <c r="Q359" s="31" t="n"/>
      <c r="R359" s="31" t="n"/>
      <c r="S359" s="31" t="n"/>
      <c r="T359" s="31" t="n"/>
      <c r="U359" s="31" t="n"/>
      <c r="V359" s="31" t="n"/>
      <c r="W359" s="31" t="n"/>
      <c r="X359" s="31" t="n"/>
      <c r="Y359" s="31" t="n"/>
      <c r="Z359" s="31" t="n"/>
    </row>
    <row r="360" ht="14.25" customHeight="1">
      <c r="A360" s="31" t="n"/>
      <c r="D360" s="161" t="n"/>
      <c r="E360" s="161" t="n"/>
      <c r="Q360" s="31" t="n"/>
      <c r="R360" s="31" t="n"/>
      <c r="S360" s="31" t="n"/>
      <c r="T360" s="31" t="n"/>
      <c r="U360" s="31" t="n"/>
      <c r="V360" s="31" t="n"/>
      <c r="W360" s="31" t="n"/>
      <c r="X360" s="31" t="n"/>
      <c r="Y360" s="31" t="n"/>
      <c r="Z360" s="31" t="n"/>
    </row>
    <row r="361" ht="14.25" customHeight="1">
      <c r="A361" s="31" t="n"/>
      <c r="D361" s="161" t="n"/>
      <c r="E361" s="161" t="n"/>
      <c r="Q361" s="31" t="n"/>
      <c r="R361" s="31" t="n"/>
      <c r="S361" s="31" t="n"/>
      <c r="T361" s="31" t="n"/>
      <c r="U361" s="31" t="n"/>
      <c r="V361" s="31" t="n"/>
      <c r="W361" s="31" t="n"/>
      <c r="X361" s="31" t="n"/>
      <c r="Y361" s="31" t="n"/>
      <c r="Z361" s="31" t="n"/>
    </row>
    <row r="362" ht="14.25" customHeight="1">
      <c r="A362" s="31" t="n"/>
      <c r="D362" s="161" t="n"/>
      <c r="E362" s="161" t="n"/>
      <c r="Q362" s="31" t="n"/>
      <c r="R362" s="31" t="n"/>
      <c r="S362" s="31" t="n"/>
      <c r="T362" s="31" t="n"/>
      <c r="U362" s="31" t="n"/>
      <c r="V362" s="31" t="n"/>
      <c r="W362" s="31" t="n"/>
      <c r="X362" s="31" t="n"/>
      <c r="Y362" s="31" t="n"/>
      <c r="Z362" s="31" t="n"/>
    </row>
    <row r="363" ht="14.25" customHeight="1">
      <c r="A363" s="31" t="n"/>
      <c r="D363" s="161" t="n"/>
      <c r="E363" s="161" t="n"/>
      <c r="Q363" s="31" t="n"/>
      <c r="R363" s="31" t="n"/>
      <c r="S363" s="31" t="n"/>
      <c r="T363" s="31" t="n"/>
      <c r="U363" s="31" t="n"/>
      <c r="V363" s="31" t="n"/>
      <c r="W363" s="31" t="n"/>
      <c r="X363" s="31" t="n"/>
      <c r="Y363" s="31" t="n"/>
      <c r="Z363" s="31" t="n"/>
    </row>
    <row r="364" ht="14.25" customHeight="1">
      <c r="A364" s="31" t="n"/>
      <c r="D364" s="161" t="n"/>
      <c r="E364" s="161" t="n"/>
      <c r="Q364" s="31" t="n"/>
      <c r="R364" s="31" t="n"/>
      <c r="S364" s="31" t="n"/>
      <c r="T364" s="31" t="n"/>
      <c r="U364" s="31" t="n"/>
      <c r="V364" s="31" t="n"/>
      <c r="W364" s="31" t="n"/>
      <c r="X364" s="31" t="n"/>
      <c r="Y364" s="31" t="n"/>
      <c r="Z364" s="31" t="n"/>
    </row>
    <row r="365" ht="14.25" customHeight="1">
      <c r="A365" s="31" t="n"/>
      <c r="D365" s="161" t="n"/>
      <c r="E365" s="161" t="n"/>
      <c r="Q365" s="31" t="n"/>
      <c r="R365" s="31" t="n"/>
      <c r="S365" s="31" t="n"/>
      <c r="T365" s="31" t="n"/>
      <c r="U365" s="31" t="n"/>
      <c r="V365" s="31" t="n"/>
      <c r="W365" s="31" t="n"/>
      <c r="X365" s="31" t="n"/>
      <c r="Y365" s="31" t="n"/>
      <c r="Z365" s="31" t="n"/>
    </row>
    <row r="366" ht="14.25" customHeight="1">
      <c r="A366" s="31" t="n"/>
      <c r="D366" s="161" t="n"/>
      <c r="E366" s="161" t="n"/>
      <c r="Q366" s="31" t="n"/>
      <c r="R366" s="31" t="n"/>
      <c r="S366" s="31" t="n"/>
      <c r="T366" s="31" t="n"/>
      <c r="U366" s="31" t="n"/>
      <c r="V366" s="31" t="n"/>
      <c r="W366" s="31" t="n"/>
      <c r="X366" s="31" t="n"/>
      <c r="Y366" s="31" t="n"/>
      <c r="Z366" s="31" t="n"/>
    </row>
    <row r="367" ht="14.25" customHeight="1">
      <c r="A367" s="31" t="n"/>
      <c r="D367" s="161" t="n"/>
      <c r="E367" s="161" t="n"/>
      <c r="Q367" s="31" t="n"/>
      <c r="R367" s="31" t="n"/>
      <c r="S367" s="31" t="n"/>
      <c r="T367" s="31" t="n"/>
      <c r="U367" s="31" t="n"/>
      <c r="V367" s="31" t="n"/>
      <c r="W367" s="31" t="n"/>
      <c r="X367" s="31" t="n"/>
      <c r="Y367" s="31" t="n"/>
      <c r="Z367" s="31" t="n"/>
    </row>
    <row r="368" ht="14.25" customHeight="1">
      <c r="A368" s="31" t="n"/>
      <c r="D368" s="161" t="n"/>
      <c r="E368" s="161" t="n"/>
      <c r="Q368" s="31" t="n"/>
      <c r="R368" s="31" t="n"/>
      <c r="S368" s="31" t="n"/>
      <c r="T368" s="31" t="n"/>
      <c r="U368" s="31" t="n"/>
      <c r="V368" s="31" t="n"/>
      <c r="W368" s="31" t="n"/>
      <c r="X368" s="31" t="n"/>
      <c r="Y368" s="31" t="n"/>
      <c r="Z368" s="31" t="n"/>
    </row>
    <row r="369" ht="14.25" customHeight="1">
      <c r="A369" s="31" t="n"/>
      <c r="D369" s="161" t="n"/>
      <c r="E369" s="161" t="n"/>
      <c r="Q369" s="31" t="n"/>
      <c r="R369" s="31" t="n"/>
      <c r="S369" s="31" t="n"/>
      <c r="T369" s="31" t="n"/>
      <c r="U369" s="31" t="n"/>
      <c r="V369" s="31" t="n"/>
      <c r="W369" s="31" t="n"/>
      <c r="X369" s="31" t="n"/>
      <c r="Y369" s="31" t="n"/>
      <c r="Z369" s="31" t="n"/>
    </row>
    <row r="370" ht="14.25" customHeight="1">
      <c r="A370" s="31" t="n"/>
      <c r="D370" s="161" t="n"/>
      <c r="E370" s="161" t="n"/>
      <c r="Q370" s="31" t="n"/>
      <c r="R370" s="31" t="n"/>
      <c r="S370" s="31" t="n"/>
      <c r="T370" s="31" t="n"/>
      <c r="U370" s="31" t="n"/>
      <c r="V370" s="31" t="n"/>
      <c r="W370" s="31" t="n"/>
      <c r="X370" s="31" t="n"/>
      <c r="Y370" s="31" t="n"/>
      <c r="Z370" s="31" t="n"/>
    </row>
    <row r="371" ht="14.25" customHeight="1">
      <c r="A371" s="31" t="n"/>
      <c r="D371" s="161" t="n"/>
      <c r="E371" s="161" t="n"/>
      <c r="Q371" s="31" t="n"/>
      <c r="R371" s="31" t="n"/>
      <c r="S371" s="31" t="n"/>
      <c r="T371" s="31" t="n"/>
      <c r="U371" s="31" t="n"/>
      <c r="V371" s="31" t="n"/>
      <c r="W371" s="31" t="n"/>
      <c r="X371" s="31" t="n"/>
      <c r="Y371" s="31" t="n"/>
      <c r="Z371" s="31" t="n"/>
    </row>
    <row r="372" ht="14.25" customHeight="1">
      <c r="A372" s="31" t="n"/>
      <c r="D372" s="161" t="n"/>
      <c r="E372" s="161" t="n"/>
      <c r="Q372" s="31" t="n"/>
      <c r="R372" s="31" t="n"/>
      <c r="S372" s="31" t="n"/>
      <c r="T372" s="31" t="n"/>
      <c r="U372" s="31" t="n"/>
      <c r="V372" s="31" t="n"/>
      <c r="W372" s="31" t="n"/>
      <c r="X372" s="31" t="n"/>
      <c r="Y372" s="31" t="n"/>
      <c r="Z372" s="31" t="n"/>
    </row>
    <row r="373" ht="14.25" customHeight="1">
      <c r="A373" s="31" t="n"/>
      <c r="D373" s="161" t="n"/>
      <c r="E373" s="161" t="n"/>
      <c r="Q373" s="31" t="n"/>
      <c r="R373" s="31" t="n"/>
      <c r="S373" s="31" t="n"/>
      <c r="T373" s="31" t="n"/>
      <c r="U373" s="31" t="n"/>
      <c r="V373" s="31" t="n"/>
      <c r="W373" s="31" t="n"/>
      <c r="X373" s="31" t="n"/>
      <c r="Y373" s="31" t="n"/>
      <c r="Z373" s="31" t="n"/>
    </row>
    <row r="374" ht="14.25" customHeight="1">
      <c r="A374" s="31" t="n"/>
      <c r="D374" s="161" t="n"/>
      <c r="E374" s="161" t="n"/>
      <c r="Q374" s="31" t="n"/>
      <c r="R374" s="31" t="n"/>
      <c r="S374" s="31" t="n"/>
      <c r="T374" s="31" t="n"/>
      <c r="U374" s="31" t="n"/>
      <c r="V374" s="31" t="n"/>
      <c r="W374" s="31" t="n"/>
      <c r="X374" s="31" t="n"/>
      <c r="Y374" s="31" t="n"/>
      <c r="Z374" s="31" t="n"/>
    </row>
    <row r="375" ht="14.25" customHeight="1">
      <c r="A375" s="31" t="n"/>
      <c r="D375" s="161" t="n"/>
      <c r="E375" s="161" t="n"/>
      <c r="Q375" s="31" t="n"/>
      <c r="R375" s="31" t="n"/>
      <c r="S375" s="31" t="n"/>
      <c r="T375" s="31" t="n"/>
      <c r="U375" s="31" t="n"/>
      <c r="V375" s="31" t="n"/>
      <c r="W375" s="31" t="n"/>
      <c r="X375" s="31" t="n"/>
      <c r="Y375" s="31" t="n"/>
      <c r="Z375" s="31" t="n"/>
    </row>
    <row r="376" ht="14.25" customHeight="1">
      <c r="A376" s="31" t="n"/>
      <c r="D376" s="161" t="n"/>
      <c r="E376" s="161" t="n"/>
      <c r="Q376" s="31" t="n"/>
      <c r="R376" s="31" t="n"/>
      <c r="S376" s="31" t="n"/>
      <c r="T376" s="31" t="n"/>
      <c r="U376" s="31" t="n"/>
      <c r="V376" s="31" t="n"/>
      <c r="W376" s="31" t="n"/>
      <c r="X376" s="31" t="n"/>
      <c r="Y376" s="31" t="n"/>
      <c r="Z376" s="31" t="n"/>
    </row>
    <row r="377" ht="14.25" customHeight="1">
      <c r="A377" s="31" t="n"/>
      <c r="D377" s="161" t="n"/>
      <c r="E377" s="161" t="n"/>
      <c r="Q377" s="31" t="n"/>
      <c r="R377" s="31" t="n"/>
      <c r="S377" s="31" t="n"/>
      <c r="T377" s="31" t="n"/>
      <c r="U377" s="31" t="n"/>
      <c r="V377" s="31" t="n"/>
      <c r="W377" s="31" t="n"/>
      <c r="X377" s="31" t="n"/>
      <c r="Y377" s="31" t="n"/>
      <c r="Z377" s="31" t="n"/>
    </row>
    <row r="378" ht="14.25" customHeight="1">
      <c r="A378" s="31" t="n"/>
      <c r="D378" s="161" t="n"/>
      <c r="E378" s="161" t="n"/>
      <c r="Q378" s="31" t="n"/>
      <c r="R378" s="31" t="n"/>
      <c r="S378" s="31" t="n"/>
      <c r="T378" s="31" t="n"/>
      <c r="U378" s="31" t="n"/>
      <c r="V378" s="31" t="n"/>
      <c r="W378" s="31" t="n"/>
      <c r="X378" s="31" t="n"/>
      <c r="Y378" s="31" t="n"/>
      <c r="Z378" s="31" t="n"/>
    </row>
    <row r="379" ht="14.25" customHeight="1">
      <c r="A379" s="31" t="n"/>
      <c r="D379" s="161" t="n"/>
      <c r="E379" s="161" t="n"/>
      <c r="Q379" s="31" t="n"/>
      <c r="R379" s="31" t="n"/>
      <c r="S379" s="31" t="n"/>
      <c r="T379" s="31" t="n"/>
      <c r="U379" s="31" t="n"/>
      <c r="V379" s="31" t="n"/>
      <c r="W379" s="31" t="n"/>
      <c r="X379" s="31" t="n"/>
      <c r="Y379" s="31" t="n"/>
      <c r="Z379" s="31" t="n"/>
    </row>
    <row r="380" ht="14.25" customHeight="1">
      <c r="A380" s="31" t="n"/>
      <c r="D380" s="161" t="n"/>
      <c r="E380" s="161" t="n"/>
      <c r="Q380" s="31" t="n"/>
      <c r="R380" s="31" t="n"/>
      <c r="S380" s="31" t="n"/>
      <c r="T380" s="31" t="n"/>
      <c r="U380" s="31" t="n"/>
      <c r="V380" s="31" t="n"/>
      <c r="W380" s="31" t="n"/>
      <c r="X380" s="31" t="n"/>
      <c r="Y380" s="31" t="n"/>
      <c r="Z380" s="31" t="n"/>
    </row>
    <row r="381" ht="14.25" customHeight="1">
      <c r="A381" s="31" t="n"/>
      <c r="D381" s="161" t="n"/>
      <c r="E381" s="161" t="n"/>
      <c r="Q381" s="31" t="n"/>
      <c r="R381" s="31" t="n"/>
      <c r="S381" s="31" t="n"/>
      <c r="T381" s="31" t="n"/>
      <c r="U381" s="31" t="n"/>
      <c r="V381" s="31" t="n"/>
      <c r="W381" s="31" t="n"/>
      <c r="X381" s="31" t="n"/>
      <c r="Y381" s="31" t="n"/>
      <c r="Z381" s="31" t="n"/>
    </row>
    <row r="382" ht="14.25" customHeight="1">
      <c r="A382" s="31" t="n"/>
      <c r="D382" s="161" t="n"/>
      <c r="E382" s="161" t="n"/>
      <c r="Q382" s="31" t="n"/>
      <c r="R382" s="31" t="n"/>
      <c r="S382" s="31" t="n"/>
      <c r="T382" s="31" t="n"/>
      <c r="U382" s="31" t="n"/>
      <c r="V382" s="31" t="n"/>
      <c r="W382" s="31" t="n"/>
      <c r="X382" s="31" t="n"/>
      <c r="Y382" s="31" t="n"/>
      <c r="Z382" s="31" t="n"/>
    </row>
    <row r="383" ht="14.25" customHeight="1">
      <c r="A383" s="31" t="n"/>
      <c r="D383" s="161" t="n"/>
      <c r="E383" s="161" t="n"/>
      <c r="Q383" s="31" t="n"/>
      <c r="R383" s="31" t="n"/>
      <c r="S383" s="31" t="n"/>
      <c r="T383" s="31" t="n"/>
      <c r="U383" s="31" t="n"/>
      <c r="V383" s="31" t="n"/>
      <c r="W383" s="31" t="n"/>
      <c r="X383" s="31" t="n"/>
      <c r="Y383" s="31" t="n"/>
      <c r="Z383" s="31" t="n"/>
    </row>
    <row r="384" ht="14.25" customHeight="1">
      <c r="A384" s="31" t="n"/>
      <c r="D384" s="161" t="n"/>
      <c r="E384" s="161" t="n"/>
      <c r="Q384" s="31" t="n"/>
      <c r="R384" s="31" t="n"/>
      <c r="S384" s="31" t="n"/>
      <c r="T384" s="31" t="n"/>
      <c r="U384" s="31" t="n"/>
      <c r="V384" s="31" t="n"/>
      <c r="W384" s="31" t="n"/>
      <c r="X384" s="31" t="n"/>
      <c r="Y384" s="31" t="n"/>
      <c r="Z384" s="31" t="n"/>
    </row>
    <row r="385" ht="14.25" customHeight="1">
      <c r="A385" s="31" t="n"/>
      <c r="D385" s="161" t="n"/>
      <c r="E385" s="161" t="n"/>
      <c r="Q385" s="31" t="n"/>
      <c r="R385" s="31" t="n"/>
      <c r="S385" s="31" t="n"/>
      <c r="T385" s="31" t="n"/>
      <c r="U385" s="31" t="n"/>
      <c r="V385" s="31" t="n"/>
      <c r="W385" s="31" t="n"/>
      <c r="X385" s="31" t="n"/>
      <c r="Y385" s="31" t="n"/>
      <c r="Z385" s="31" t="n"/>
    </row>
    <row r="386" ht="14.25" customHeight="1">
      <c r="A386" s="31" t="n"/>
      <c r="D386" s="161" t="n"/>
      <c r="E386" s="161" t="n"/>
      <c r="Q386" s="31" t="n"/>
      <c r="R386" s="31" t="n"/>
      <c r="S386" s="31" t="n"/>
      <c r="T386" s="31" t="n"/>
      <c r="U386" s="31" t="n"/>
      <c r="V386" s="31" t="n"/>
      <c r="W386" s="31" t="n"/>
      <c r="X386" s="31" t="n"/>
      <c r="Y386" s="31" t="n"/>
      <c r="Z386" s="31" t="n"/>
    </row>
    <row r="387" ht="14.25" customHeight="1">
      <c r="A387" s="31" t="n"/>
      <c r="D387" s="161" t="n"/>
      <c r="E387" s="161" t="n"/>
      <c r="Q387" s="31" t="n"/>
      <c r="R387" s="31" t="n"/>
      <c r="S387" s="31" t="n"/>
      <c r="T387" s="31" t="n"/>
      <c r="U387" s="31" t="n"/>
      <c r="V387" s="31" t="n"/>
      <c r="W387" s="31" t="n"/>
      <c r="X387" s="31" t="n"/>
      <c r="Y387" s="31" t="n"/>
      <c r="Z387" s="31" t="n"/>
    </row>
    <row r="388" ht="14.25" customHeight="1">
      <c r="A388" s="31" t="n"/>
      <c r="D388" s="161" t="n"/>
      <c r="E388" s="161" t="n"/>
      <c r="Q388" s="31" t="n"/>
      <c r="R388" s="31" t="n"/>
      <c r="S388" s="31" t="n"/>
      <c r="T388" s="31" t="n"/>
      <c r="U388" s="31" t="n"/>
      <c r="V388" s="31" t="n"/>
      <c r="W388" s="31" t="n"/>
      <c r="X388" s="31" t="n"/>
      <c r="Y388" s="31" t="n"/>
      <c r="Z388" s="31" t="n"/>
    </row>
    <row r="389" ht="14.25" customHeight="1">
      <c r="A389" s="31" t="n"/>
      <c r="D389" s="161" t="n"/>
      <c r="E389" s="161" t="n"/>
      <c r="Q389" s="31" t="n"/>
      <c r="R389" s="31" t="n"/>
      <c r="S389" s="31" t="n"/>
      <c r="T389" s="31" t="n"/>
      <c r="U389" s="31" t="n"/>
      <c r="V389" s="31" t="n"/>
      <c r="W389" s="31" t="n"/>
      <c r="X389" s="31" t="n"/>
      <c r="Y389" s="31" t="n"/>
      <c r="Z389" s="31" t="n"/>
    </row>
    <row r="390" ht="14.25" customHeight="1">
      <c r="A390" s="31" t="n"/>
      <c r="D390" s="161" t="n"/>
      <c r="E390" s="161" t="n"/>
      <c r="Q390" s="31" t="n"/>
      <c r="R390" s="31" t="n"/>
      <c r="S390" s="31" t="n"/>
      <c r="T390" s="31" t="n"/>
      <c r="U390" s="31" t="n"/>
      <c r="V390" s="31" t="n"/>
      <c r="W390" s="31" t="n"/>
      <c r="X390" s="31" t="n"/>
      <c r="Y390" s="31" t="n"/>
      <c r="Z390" s="31" t="n"/>
    </row>
    <row r="391" ht="14.25" customHeight="1">
      <c r="A391" s="31" t="n"/>
      <c r="D391" s="161" t="n"/>
      <c r="E391" s="161" t="n"/>
      <c r="Q391" s="31" t="n"/>
      <c r="R391" s="31" t="n"/>
      <c r="S391" s="31" t="n"/>
      <c r="T391" s="31" t="n"/>
      <c r="U391" s="31" t="n"/>
      <c r="V391" s="31" t="n"/>
      <c r="W391" s="31" t="n"/>
      <c r="X391" s="31" t="n"/>
      <c r="Y391" s="31" t="n"/>
      <c r="Z391" s="31" t="n"/>
    </row>
    <row r="392" ht="14.25" customHeight="1">
      <c r="A392" s="31" t="n"/>
      <c r="D392" s="161" t="n"/>
      <c r="E392" s="161" t="n"/>
      <c r="Q392" s="31" t="n"/>
      <c r="R392" s="31" t="n"/>
      <c r="S392" s="31" t="n"/>
      <c r="T392" s="31" t="n"/>
      <c r="U392" s="31" t="n"/>
      <c r="V392" s="31" t="n"/>
      <c r="W392" s="31" t="n"/>
      <c r="X392" s="31" t="n"/>
      <c r="Y392" s="31" t="n"/>
      <c r="Z392" s="31" t="n"/>
    </row>
    <row r="393" ht="14.25" customHeight="1">
      <c r="A393" s="31" t="n"/>
      <c r="D393" s="161" t="n"/>
      <c r="E393" s="161" t="n"/>
      <c r="Q393" s="31" t="n"/>
      <c r="R393" s="31" t="n"/>
      <c r="S393" s="31" t="n"/>
      <c r="T393" s="31" t="n"/>
      <c r="U393" s="31" t="n"/>
      <c r="V393" s="31" t="n"/>
      <c r="W393" s="31" t="n"/>
      <c r="X393" s="31" t="n"/>
      <c r="Y393" s="31" t="n"/>
      <c r="Z393" s="31" t="n"/>
    </row>
    <row r="394" ht="14.25" customHeight="1">
      <c r="A394" s="31" t="n"/>
      <c r="D394" s="161" t="n"/>
      <c r="E394" s="161" t="n"/>
      <c r="Q394" s="31" t="n"/>
      <c r="R394" s="31" t="n"/>
      <c r="S394" s="31" t="n"/>
      <c r="T394" s="31" t="n"/>
      <c r="U394" s="31" t="n"/>
      <c r="V394" s="31" t="n"/>
      <c r="W394" s="31" t="n"/>
      <c r="X394" s="31" t="n"/>
      <c r="Y394" s="31" t="n"/>
      <c r="Z394" s="31" t="n"/>
    </row>
    <row r="395" ht="14.25" customHeight="1">
      <c r="A395" s="31" t="n"/>
      <c r="D395" s="161" t="n"/>
      <c r="E395" s="161" t="n"/>
      <c r="Q395" s="31" t="n"/>
      <c r="R395" s="31" t="n"/>
      <c r="S395" s="31" t="n"/>
      <c r="T395" s="31" t="n"/>
      <c r="U395" s="31" t="n"/>
      <c r="V395" s="31" t="n"/>
      <c r="W395" s="31" t="n"/>
      <c r="X395" s="31" t="n"/>
      <c r="Y395" s="31" t="n"/>
      <c r="Z395" s="31" t="n"/>
    </row>
    <row r="396" ht="14.25" customHeight="1">
      <c r="A396" s="31" t="n"/>
      <c r="D396" s="161" t="n"/>
      <c r="E396" s="161" t="n"/>
      <c r="Q396" s="31" t="n"/>
      <c r="R396" s="31" t="n"/>
      <c r="S396" s="31" t="n"/>
      <c r="T396" s="31" t="n"/>
      <c r="U396" s="31" t="n"/>
      <c r="V396" s="31" t="n"/>
      <c r="W396" s="31" t="n"/>
      <c r="X396" s="31" t="n"/>
      <c r="Y396" s="31" t="n"/>
      <c r="Z396" s="31" t="n"/>
    </row>
    <row r="397" ht="14.25" customHeight="1">
      <c r="A397" s="31" t="n"/>
      <c r="D397" s="161" t="n"/>
      <c r="E397" s="161" t="n"/>
      <c r="Q397" s="31" t="n"/>
      <c r="R397" s="31" t="n"/>
      <c r="S397" s="31" t="n"/>
      <c r="T397" s="31" t="n"/>
      <c r="U397" s="31" t="n"/>
      <c r="V397" s="31" t="n"/>
      <c r="W397" s="31" t="n"/>
      <c r="X397" s="31" t="n"/>
      <c r="Y397" s="31" t="n"/>
      <c r="Z397" s="31" t="n"/>
    </row>
    <row r="398" ht="14.25" customHeight="1">
      <c r="A398" s="31" t="n"/>
      <c r="D398" s="161" t="n"/>
      <c r="E398" s="161" t="n"/>
      <c r="Q398" s="31" t="n"/>
      <c r="R398" s="31" t="n"/>
      <c r="S398" s="31" t="n"/>
      <c r="T398" s="31" t="n"/>
      <c r="U398" s="31" t="n"/>
      <c r="V398" s="31" t="n"/>
      <c r="W398" s="31" t="n"/>
      <c r="X398" s="31" t="n"/>
      <c r="Y398" s="31" t="n"/>
      <c r="Z398" s="31" t="n"/>
    </row>
    <row r="399" ht="14.25" customHeight="1">
      <c r="A399" s="31" t="n"/>
      <c r="D399" s="161" t="n"/>
      <c r="E399" s="161" t="n"/>
      <c r="Q399" s="31" t="n"/>
      <c r="R399" s="31" t="n"/>
      <c r="S399" s="31" t="n"/>
      <c r="T399" s="31" t="n"/>
      <c r="U399" s="31" t="n"/>
      <c r="V399" s="31" t="n"/>
      <c r="W399" s="31" t="n"/>
      <c r="X399" s="31" t="n"/>
      <c r="Y399" s="31" t="n"/>
      <c r="Z399" s="31" t="n"/>
    </row>
    <row r="400" ht="14.25" customHeight="1">
      <c r="A400" s="31" t="n"/>
      <c r="D400" s="161" t="n"/>
      <c r="E400" s="161" t="n"/>
      <c r="Q400" s="31" t="n"/>
      <c r="R400" s="31" t="n"/>
      <c r="S400" s="31" t="n"/>
      <c r="T400" s="31" t="n"/>
      <c r="U400" s="31" t="n"/>
      <c r="V400" s="31" t="n"/>
      <c r="W400" s="31" t="n"/>
      <c r="X400" s="31" t="n"/>
      <c r="Y400" s="31" t="n"/>
      <c r="Z400" s="31" t="n"/>
    </row>
    <row r="401" ht="14.25" customHeight="1">
      <c r="A401" s="31" t="n"/>
      <c r="D401" s="161" t="n"/>
      <c r="E401" s="161" t="n"/>
      <c r="Q401" s="31" t="n"/>
      <c r="R401" s="31" t="n"/>
      <c r="S401" s="31" t="n"/>
      <c r="T401" s="31" t="n"/>
      <c r="U401" s="31" t="n"/>
      <c r="V401" s="31" t="n"/>
      <c r="W401" s="31" t="n"/>
      <c r="X401" s="31" t="n"/>
      <c r="Y401" s="31" t="n"/>
      <c r="Z401" s="31" t="n"/>
    </row>
    <row r="402" ht="14.25" customHeight="1">
      <c r="A402" s="31" t="n"/>
      <c r="D402" s="161" t="n"/>
      <c r="E402" s="161" t="n"/>
      <c r="Q402" s="31" t="n"/>
      <c r="R402" s="31" t="n"/>
      <c r="S402" s="31" t="n"/>
      <c r="T402" s="31" t="n"/>
      <c r="U402" s="31" t="n"/>
      <c r="V402" s="31" t="n"/>
      <c r="W402" s="31" t="n"/>
      <c r="X402" s="31" t="n"/>
      <c r="Y402" s="31" t="n"/>
      <c r="Z402" s="31" t="n"/>
    </row>
    <row r="403" ht="14.25" customHeight="1">
      <c r="A403" s="31" t="n"/>
      <c r="D403" s="161" t="n"/>
      <c r="E403" s="161" t="n"/>
      <c r="Q403" s="31" t="n"/>
      <c r="R403" s="31" t="n"/>
      <c r="S403" s="31" t="n"/>
      <c r="T403" s="31" t="n"/>
      <c r="U403" s="31" t="n"/>
      <c r="V403" s="31" t="n"/>
      <c r="W403" s="31" t="n"/>
      <c r="X403" s="31" t="n"/>
      <c r="Y403" s="31" t="n"/>
      <c r="Z403" s="31" t="n"/>
    </row>
    <row r="404" ht="14.25" customHeight="1">
      <c r="A404" s="31" t="n"/>
      <c r="D404" s="161" t="n"/>
      <c r="E404" s="161" t="n"/>
      <c r="Q404" s="31" t="n"/>
      <c r="R404" s="31" t="n"/>
      <c r="S404" s="31" t="n"/>
      <c r="T404" s="31" t="n"/>
      <c r="U404" s="31" t="n"/>
      <c r="V404" s="31" t="n"/>
      <c r="W404" s="31" t="n"/>
      <c r="X404" s="31" t="n"/>
      <c r="Y404" s="31" t="n"/>
      <c r="Z404" s="31" t="n"/>
    </row>
    <row r="405" ht="14.25" customHeight="1">
      <c r="A405" s="31" t="n"/>
      <c r="D405" s="161" t="n"/>
      <c r="E405" s="161" t="n"/>
      <c r="Q405" s="31" t="n"/>
      <c r="R405" s="31" t="n"/>
      <c r="S405" s="31" t="n"/>
      <c r="T405" s="31" t="n"/>
      <c r="U405" s="31" t="n"/>
      <c r="V405" s="31" t="n"/>
      <c r="W405" s="31" t="n"/>
      <c r="X405" s="31" t="n"/>
      <c r="Y405" s="31" t="n"/>
      <c r="Z405" s="31" t="n"/>
    </row>
    <row r="406" ht="14.25" customHeight="1">
      <c r="A406" s="31" t="n"/>
      <c r="D406" s="161" t="n"/>
      <c r="E406" s="161" t="n"/>
      <c r="Q406" s="31" t="n"/>
      <c r="R406" s="31" t="n"/>
      <c r="S406" s="31" t="n"/>
      <c r="T406" s="31" t="n"/>
      <c r="U406" s="31" t="n"/>
      <c r="V406" s="31" t="n"/>
      <c r="W406" s="31" t="n"/>
      <c r="X406" s="31" t="n"/>
      <c r="Y406" s="31" t="n"/>
      <c r="Z406" s="31" t="n"/>
    </row>
    <row r="407" ht="14.25" customHeight="1">
      <c r="A407" s="31" t="n"/>
      <c r="D407" s="161" t="n"/>
      <c r="E407" s="161" t="n"/>
      <c r="Q407" s="31" t="n"/>
      <c r="R407" s="31" t="n"/>
      <c r="S407" s="31" t="n"/>
      <c r="T407" s="31" t="n"/>
      <c r="U407" s="31" t="n"/>
      <c r="V407" s="31" t="n"/>
      <c r="W407" s="31" t="n"/>
      <c r="X407" s="31" t="n"/>
      <c r="Y407" s="31" t="n"/>
      <c r="Z407" s="31" t="n"/>
    </row>
    <row r="408" ht="14.25" customHeight="1">
      <c r="A408" s="31" t="n"/>
      <c r="D408" s="161" t="n"/>
      <c r="E408" s="161" t="n"/>
      <c r="Q408" s="31" t="n"/>
      <c r="R408" s="31" t="n"/>
      <c r="S408" s="31" t="n"/>
      <c r="T408" s="31" t="n"/>
      <c r="U408" s="31" t="n"/>
      <c r="V408" s="31" t="n"/>
      <c r="W408" s="31" t="n"/>
      <c r="X408" s="31" t="n"/>
      <c r="Y408" s="31" t="n"/>
      <c r="Z408" s="31" t="n"/>
    </row>
    <row r="409" ht="14.25" customHeight="1">
      <c r="A409" s="31" t="n"/>
      <c r="D409" s="161" t="n"/>
      <c r="E409" s="161" t="n"/>
      <c r="Q409" s="31" t="n"/>
      <c r="R409" s="31" t="n"/>
      <c r="S409" s="31" t="n"/>
      <c r="T409" s="31" t="n"/>
      <c r="U409" s="31" t="n"/>
      <c r="V409" s="31" t="n"/>
      <c r="W409" s="31" t="n"/>
      <c r="X409" s="31" t="n"/>
      <c r="Y409" s="31" t="n"/>
      <c r="Z409" s="31" t="n"/>
    </row>
    <row r="410" ht="14.25" customHeight="1">
      <c r="A410" s="31" t="n"/>
      <c r="D410" s="161" t="n"/>
      <c r="E410" s="161" t="n"/>
      <c r="Q410" s="31" t="n"/>
      <c r="R410" s="31" t="n"/>
      <c r="S410" s="31" t="n"/>
      <c r="T410" s="31" t="n"/>
      <c r="U410" s="31" t="n"/>
      <c r="V410" s="31" t="n"/>
      <c r="W410" s="31" t="n"/>
      <c r="X410" s="31" t="n"/>
      <c r="Y410" s="31" t="n"/>
      <c r="Z410" s="31" t="n"/>
    </row>
    <row r="411" ht="14.25" customHeight="1">
      <c r="A411" s="31" t="n"/>
      <c r="D411" s="161" t="n"/>
      <c r="E411" s="161" t="n"/>
      <c r="Q411" s="31" t="n"/>
      <c r="R411" s="31" t="n"/>
      <c r="S411" s="31" t="n"/>
      <c r="T411" s="31" t="n"/>
      <c r="U411" s="31" t="n"/>
      <c r="V411" s="31" t="n"/>
      <c r="W411" s="31" t="n"/>
      <c r="X411" s="31" t="n"/>
      <c r="Y411" s="31" t="n"/>
      <c r="Z411" s="31" t="n"/>
    </row>
    <row r="412" ht="14.25" customHeight="1">
      <c r="A412" s="31" t="n"/>
      <c r="D412" s="161" t="n"/>
      <c r="E412" s="161" t="n"/>
      <c r="Q412" s="31" t="n"/>
      <c r="R412" s="31" t="n"/>
      <c r="S412" s="31" t="n"/>
      <c r="T412" s="31" t="n"/>
      <c r="U412" s="31" t="n"/>
      <c r="V412" s="31" t="n"/>
      <c r="W412" s="31" t="n"/>
      <c r="X412" s="31" t="n"/>
      <c r="Y412" s="31" t="n"/>
      <c r="Z412" s="31" t="n"/>
    </row>
    <row r="413" ht="14.25" customHeight="1">
      <c r="A413" s="31" t="n"/>
      <c r="D413" s="161" t="n"/>
      <c r="E413" s="161" t="n"/>
      <c r="Q413" s="31" t="n"/>
      <c r="R413" s="31" t="n"/>
      <c r="S413" s="31" t="n"/>
      <c r="T413" s="31" t="n"/>
      <c r="U413" s="31" t="n"/>
      <c r="V413" s="31" t="n"/>
      <c r="W413" s="31" t="n"/>
      <c r="X413" s="31" t="n"/>
      <c r="Y413" s="31" t="n"/>
      <c r="Z413" s="31" t="n"/>
    </row>
    <row r="414" ht="14.25" customHeight="1">
      <c r="A414" s="31" t="n"/>
      <c r="D414" s="161" t="n"/>
      <c r="E414" s="161" t="n"/>
      <c r="Q414" s="31" t="n"/>
      <c r="R414" s="31" t="n"/>
      <c r="S414" s="31" t="n"/>
      <c r="T414" s="31" t="n"/>
      <c r="U414" s="31" t="n"/>
      <c r="V414" s="31" t="n"/>
      <c r="W414" s="31" t="n"/>
      <c r="X414" s="31" t="n"/>
      <c r="Y414" s="31" t="n"/>
      <c r="Z414" s="31" t="n"/>
    </row>
    <row r="415" ht="14.25" customHeight="1">
      <c r="A415" s="31" t="n"/>
      <c r="D415" s="161" t="n"/>
      <c r="E415" s="161" t="n"/>
      <c r="Q415" s="31" t="n"/>
      <c r="R415" s="31" t="n"/>
      <c r="S415" s="31" t="n"/>
      <c r="T415" s="31" t="n"/>
      <c r="U415" s="31" t="n"/>
      <c r="V415" s="31" t="n"/>
      <c r="W415" s="31" t="n"/>
      <c r="X415" s="31" t="n"/>
      <c r="Y415" s="31" t="n"/>
      <c r="Z415" s="31" t="n"/>
    </row>
    <row r="416" ht="14.25" customHeight="1">
      <c r="A416" s="31" t="n"/>
      <c r="D416" s="161" t="n"/>
      <c r="E416" s="161" t="n"/>
      <c r="Q416" s="31" t="n"/>
      <c r="R416" s="31" t="n"/>
      <c r="S416" s="31" t="n"/>
      <c r="T416" s="31" t="n"/>
      <c r="U416" s="31" t="n"/>
      <c r="V416" s="31" t="n"/>
      <c r="W416" s="31" t="n"/>
      <c r="X416" s="31" t="n"/>
      <c r="Y416" s="31" t="n"/>
      <c r="Z416" s="31" t="n"/>
    </row>
    <row r="417" ht="14.25" customHeight="1">
      <c r="A417" s="31" t="n"/>
      <c r="D417" s="161" t="n"/>
      <c r="E417" s="161" t="n"/>
      <c r="Q417" s="31" t="n"/>
      <c r="R417" s="31" t="n"/>
      <c r="S417" s="31" t="n"/>
      <c r="T417" s="31" t="n"/>
      <c r="U417" s="31" t="n"/>
      <c r="V417" s="31" t="n"/>
      <c r="W417" s="31" t="n"/>
      <c r="X417" s="31" t="n"/>
      <c r="Y417" s="31" t="n"/>
      <c r="Z417" s="31" t="n"/>
    </row>
    <row r="418" ht="14.25" customHeight="1">
      <c r="A418" s="31" t="n"/>
      <c r="D418" s="161" t="n"/>
      <c r="E418" s="161" t="n"/>
      <c r="Q418" s="31" t="n"/>
      <c r="R418" s="31" t="n"/>
      <c r="S418" s="31" t="n"/>
      <c r="T418" s="31" t="n"/>
      <c r="U418" s="31" t="n"/>
      <c r="V418" s="31" t="n"/>
      <c r="W418" s="31" t="n"/>
      <c r="X418" s="31" t="n"/>
      <c r="Y418" s="31" t="n"/>
      <c r="Z418" s="31" t="n"/>
    </row>
    <row r="419" ht="14.25" customHeight="1">
      <c r="A419" s="31" t="n"/>
      <c r="D419" s="161" t="n"/>
      <c r="E419" s="161" t="n"/>
      <c r="Q419" s="31" t="n"/>
      <c r="R419" s="31" t="n"/>
      <c r="S419" s="31" t="n"/>
      <c r="T419" s="31" t="n"/>
      <c r="U419" s="31" t="n"/>
      <c r="V419" s="31" t="n"/>
      <c r="W419" s="31" t="n"/>
      <c r="X419" s="31" t="n"/>
      <c r="Y419" s="31" t="n"/>
      <c r="Z419" s="31" t="n"/>
    </row>
    <row r="420" ht="14.25" customHeight="1">
      <c r="A420" s="31" t="n"/>
      <c r="D420" s="161" t="n"/>
      <c r="E420" s="161" t="n"/>
      <c r="Q420" s="31" t="n"/>
      <c r="R420" s="31" t="n"/>
      <c r="S420" s="31" t="n"/>
      <c r="T420" s="31" t="n"/>
      <c r="U420" s="31" t="n"/>
      <c r="V420" s="31" t="n"/>
      <c r="W420" s="31" t="n"/>
      <c r="X420" s="31" t="n"/>
      <c r="Y420" s="31" t="n"/>
      <c r="Z420" s="31" t="n"/>
    </row>
    <row r="421" ht="14.25" customHeight="1">
      <c r="A421" s="31" t="n"/>
      <c r="D421" s="161" t="n"/>
      <c r="E421" s="161" t="n"/>
      <c r="Q421" s="31" t="n"/>
      <c r="R421" s="31" t="n"/>
      <c r="S421" s="31" t="n"/>
      <c r="T421" s="31" t="n"/>
      <c r="U421" s="31" t="n"/>
      <c r="V421" s="31" t="n"/>
      <c r="W421" s="31" t="n"/>
      <c r="X421" s="31" t="n"/>
      <c r="Y421" s="31" t="n"/>
      <c r="Z421" s="31" t="n"/>
    </row>
    <row r="422" ht="14.25" customHeight="1">
      <c r="A422" s="31" t="n"/>
      <c r="D422" s="161" t="n"/>
      <c r="E422" s="161" t="n"/>
      <c r="Q422" s="31" t="n"/>
      <c r="R422" s="31" t="n"/>
      <c r="S422" s="31" t="n"/>
      <c r="T422" s="31" t="n"/>
      <c r="U422" s="31" t="n"/>
      <c r="V422" s="31" t="n"/>
      <c r="W422" s="31" t="n"/>
      <c r="X422" s="31" t="n"/>
      <c r="Y422" s="31" t="n"/>
      <c r="Z422" s="31" t="n"/>
    </row>
    <row r="423" ht="14.25" customHeight="1">
      <c r="A423" s="31" t="n"/>
      <c r="D423" s="161" t="n"/>
      <c r="E423" s="161" t="n"/>
      <c r="Q423" s="31" t="n"/>
      <c r="R423" s="31" t="n"/>
      <c r="S423" s="31" t="n"/>
      <c r="T423" s="31" t="n"/>
      <c r="U423" s="31" t="n"/>
      <c r="V423" s="31" t="n"/>
      <c r="W423" s="31" t="n"/>
      <c r="X423" s="31" t="n"/>
      <c r="Y423" s="31" t="n"/>
      <c r="Z423" s="31" t="n"/>
    </row>
    <row r="424" ht="14.25" customHeight="1">
      <c r="A424" s="31" t="n"/>
      <c r="D424" s="161" t="n"/>
      <c r="E424" s="161" t="n"/>
      <c r="Q424" s="31" t="n"/>
      <c r="R424" s="31" t="n"/>
      <c r="S424" s="31" t="n"/>
      <c r="T424" s="31" t="n"/>
      <c r="U424" s="31" t="n"/>
      <c r="V424" s="31" t="n"/>
      <c r="W424" s="31" t="n"/>
      <c r="X424" s="31" t="n"/>
      <c r="Y424" s="31" t="n"/>
      <c r="Z424" s="31" t="n"/>
    </row>
    <row r="425" ht="14.25" customHeight="1">
      <c r="A425" s="31" t="n"/>
      <c r="D425" s="161" t="n"/>
      <c r="E425" s="161" t="n"/>
      <c r="Q425" s="31" t="n"/>
      <c r="R425" s="31" t="n"/>
      <c r="S425" s="31" t="n"/>
      <c r="T425" s="31" t="n"/>
      <c r="U425" s="31" t="n"/>
      <c r="V425" s="31" t="n"/>
      <c r="W425" s="31" t="n"/>
      <c r="X425" s="31" t="n"/>
      <c r="Y425" s="31" t="n"/>
      <c r="Z425" s="31" t="n"/>
    </row>
    <row r="426" ht="14.25" customHeight="1">
      <c r="A426" s="31" t="n"/>
      <c r="D426" s="161" t="n"/>
      <c r="E426" s="161" t="n"/>
      <c r="Q426" s="31" t="n"/>
      <c r="R426" s="31" t="n"/>
      <c r="S426" s="31" t="n"/>
      <c r="T426" s="31" t="n"/>
      <c r="U426" s="31" t="n"/>
      <c r="V426" s="31" t="n"/>
      <c r="W426" s="31" t="n"/>
      <c r="X426" s="31" t="n"/>
      <c r="Y426" s="31" t="n"/>
      <c r="Z426" s="31" t="n"/>
    </row>
    <row r="427" ht="14.25" customHeight="1">
      <c r="A427" s="31" t="n"/>
      <c r="D427" s="161" t="n"/>
      <c r="E427" s="161" t="n"/>
      <c r="Q427" s="31" t="n"/>
      <c r="R427" s="31" t="n"/>
      <c r="S427" s="31" t="n"/>
      <c r="T427" s="31" t="n"/>
      <c r="U427" s="31" t="n"/>
      <c r="V427" s="31" t="n"/>
      <c r="W427" s="31" t="n"/>
      <c r="X427" s="31" t="n"/>
      <c r="Y427" s="31" t="n"/>
      <c r="Z427" s="31" t="n"/>
    </row>
    <row r="428" ht="14.25" customHeight="1">
      <c r="A428" s="31" t="n"/>
      <c r="D428" s="161" t="n"/>
      <c r="E428" s="161" t="n"/>
      <c r="Q428" s="31" t="n"/>
      <c r="R428" s="31" t="n"/>
      <c r="S428" s="31" t="n"/>
      <c r="T428" s="31" t="n"/>
      <c r="U428" s="31" t="n"/>
      <c r="V428" s="31" t="n"/>
      <c r="W428" s="31" t="n"/>
      <c r="X428" s="31" t="n"/>
      <c r="Y428" s="31" t="n"/>
      <c r="Z428" s="31" t="n"/>
    </row>
    <row r="429" ht="14.25" customHeight="1">
      <c r="A429" s="31" t="n"/>
      <c r="D429" s="161" t="n"/>
      <c r="E429" s="161" t="n"/>
      <c r="Q429" s="31" t="n"/>
      <c r="R429" s="31" t="n"/>
      <c r="S429" s="31" t="n"/>
      <c r="T429" s="31" t="n"/>
      <c r="U429" s="31" t="n"/>
      <c r="V429" s="31" t="n"/>
      <c r="W429" s="31" t="n"/>
      <c r="X429" s="31" t="n"/>
      <c r="Y429" s="31" t="n"/>
      <c r="Z429" s="31" t="n"/>
    </row>
    <row r="430" ht="14.25" customHeight="1">
      <c r="A430" s="31" t="n"/>
      <c r="D430" s="161" t="n"/>
      <c r="E430" s="161" t="n"/>
      <c r="Q430" s="31" t="n"/>
      <c r="R430" s="31" t="n"/>
      <c r="S430" s="31" t="n"/>
      <c r="T430" s="31" t="n"/>
      <c r="U430" s="31" t="n"/>
      <c r="V430" s="31" t="n"/>
      <c r="W430" s="31" t="n"/>
      <c r="X430" s="31" t="n"/>
      <c r="Y430" s="31" t="n"/>
      <c r="Z430" s="31" t="n"/>
    </row>
    <row r="431" ht="14.25" customHeight="1">
      <c r="A431" s="31" t="n"/>
      <c r="D431" s="161" t="n"/>
      <c r="E431" s="161" t="n"/>
      <c r="Q431" s="31" t="n"/>
      <c r="R431" s="31" t="n"/>
      <c r="S431" s="31" t="n"/>
      <c r="T431" s="31" t="n"/>
      <c r="U431" s="31" t="n"/>
      <c r="V431" s="31" t="n"/>
      <c r="W431" s="31" t="n"/>
      <c r="X431" s="31" t="n"/>
      <c r="Y431" s="31" t="n"/>
      <c r="Z431" s="31" t="n"/>
    </row>
    <row r="432" ht="14.25" customHeight="1">
      <c r="A432" s="31" t="n"/>
      <c r="D432" s="161" t="n"/>
      <c r="E432" s="161" t="n"/>
      <c r="Q432" s="31" t="n"/>
      <c r="R432" s="31" t="n"/>
      <c r="S432" s="31" t="n"/>
      <c r="T432" s="31" t="n"/>
      <c r="U432" s="31" t="n"/>
      <c r="V432" s="31" t="n"/>
      <c r="W432" s="31" t="n"/>
      <c r="X432" s="31" t="n"/>
      <c r="Y432" s="31" t="n"/>
      <c r="Z432" s="31" t="n"/>
    </row>
    <row r="433" ht="14.25" customHeight="1">
      <c r="A433" s="31" t="n"/>
      <c r="D433" s="161" t="n"/>
      <c r="E433" s="161" t="n"/>
      <c r="Q433" s="31" t="n"/>
      <c r="R433" s="31" t="n"/>
      <c r="S433" s="31" t="n"/>
      <c r="T433" s="31" t="n"/>
      <c r="U433" s="31" t="n"/>
      <c r="V433" s="31" t="n"/>
      <c r="W433" s="31" t="n"/>
      <c r="X433" s="31" t="n"/>
      <c r="Y433" s="31" t="n"/>
      <c r="Z433" s="31" t="n"/>
    </row>
    <row r="434" ht="14.25" customHeight="1">
      <c r="A434" s="31" t="n"/>
      <c r="D434" s="161" t="n"/>
      <c r="E434" s="161" t="n"/>
      <c r="Q434" s="31" t="n"/>
      <c r="R434" s="31" t="n"/>
      <c r="S434" s="31" t="n"/>
      <c r="T434" s="31" t="n"/>
      <c r="U434" s="31" t="n"/>
      <c r="V434" s="31" t="n"/>
      <c r="W434" s="31" t="n"/>
      <c r="X434" s="31" t="n"/>
      <c r="Y434" s="31" t="n"/>
      <c r="Z434" s="31" t="n"/>
    </row>
    <row r="435" ht="14.25" customHeight="1">
      <c r="A435" s="31" t="n"/>
      <c r="D435" s="161" t="n"/>
      <c r="E435" s="161" t="n"/>
      <c r="Q435" s="31" t="n"/>
      <c r="R435" s="31" t="n"/>
      <c r="S435" s="31" t="n"/>
      <c r="T435" s="31" t="n"/>
      <c r="U435" s="31" t="n"/>
      <c r="V435" s="31" t="n"/>
      <c r="W435" s="31" t="n"/>
      <c r="X435" s="31" t="n"/>
      <c r="Y435" s="31" t="n"/>
      <c r="Z435" s="31" t="n"/>
    </row>
    <row r="436" ht="14.25" customHeight="1">
      <c r="A436" s="31" t="n"/>
      <c r="D436" s="161" t="n"/>
      <c r="E436" s="161" t="n"/>
      <c r="Q436" s="31" t="n"/>
      <c r="R436" s="31" t="n"/>
      <c r="S436" s="31" t="n"/>
      <c r="T436" s="31" t="n"/>
      <c r="U436" s="31" t="n"/>
      <c r="V436" s="31" t="n"/>
      <c r="W436" s="31" t="n"/>
      <c r="X436" s="31" t="n"/>
      <c r="Y436" s="31" t="n"/>
      <c r="Z436" s="31" t="n"/>
    </row>
    <row r="437" ht="14.25" customHeight="1">
      <c r="A437" s="31" t="n"/>
      <c r="D437" s="161" t="n"/>
      <c r="E437" s="161" t="n"/>
      <c r="Q437" s="31" t="n"/>
      <c r="R437" s="31" t="n"/>
      <c r="S437" s="31" t="n"/>
      <c r="T437" s="31" t="n"/>
      <c r="U437" s="31" t="n"/>
      <c r="V437" s="31" t="n"/>
      <c r="W437" s="31" t="n"/>
      <c r="X437" s="31" t="n"/>
      <c r="Y437" s="31" t="n"/>
      <c r="Z437" s="31" t="n"/>
    </row>
    <row r="438" ht="14.25" customHeight="1">
      <c r="A438" s="31" t="n"/>
      <c r="D438" s="161" t="n"/>
      <c r="E438" s="161" t="n"/>
      <c r="Q438" s="31" t="n"/>
      <c r="R438" s="31" t="n"/>
      <c r="S438" s="31" t="n"/>
      <c r="T438" s="31" t="n"/>
      <c r="U438" s="31" t="n"/>
      <c r="V438" s="31" t="n"/>
      <c r="W438" s="31" t="n"/>
      <c r="X438" s="31" t="n"/>
      <c r="Y438" s="31" t="n"/>
      <c r="Z438" s="31" t="n"/>
    </row>
    <row r="439" ht="14.25" customHeight="1">
      <c r="A439" s="31" t="n"/>
      <c r="D439" s="161" t="n"/>
      <c r="E439" s="161" t="n"/>
      <c r="Q439" s="31" t="n"/>
      <c r="R439" s="31" t="n"/>
      <c r="S439" s="31" t="n"/>
      <c r="T439" s="31" t="n"/>
      <c r="U439" s="31" t="n"/>
      <c r="V439" s="31" t="n"/>
      <c r="W439" s="31" t="n"/>
      <c r="X439" s="31" t="n"/>
      <c r="Y439" s="31" t="n"/>
      <c r="Z439" s="31" t="n"/>
    </row>
    <row r="440" ht="14.25" customHeight="1">
      <c r="A440" s="31" t="n"/>
      <c r="D440" s="161" t="n"/>
      <c r="E440" s="161" t="n"/>
      <c r="Q440" s="31" t="n"/>
      <c r="R440" s="31" t="n"/>
      <c r="S440" s="31" t="n"/>
      <c r="T440" s="31" t="n"/>
      <c r="U440" s="31" t="n"/>
      <c r="V440" s="31" t="n"/>
      <c r="W440" s="31" t="n"/>
      <c r="X440" s="31" t="n"/>
      <c r="Y440" s="31" t="n"/>
      <c r="Z440" s="31" t="n"/>
    </row>
    <row r="441" ht="14.25" customHeight="1">
      <c r="A441" s="31" t="n"/>
      <c r="D441" s="161" t="n"/>
      <c r="E441" s="161" t="n"/>
      <c r="Q441" s="31" t="n"/>
      <c r="R441" s="31" t="n"/>
      <c r="S441" s="31" t="n"/>
      <c r="T441" s="31" t="n"/>
      <c r="U441" s="31" t="n"/>
      <c r="V441" s="31" t="n"/>
      <c r="W441" s="31" t="n"/>
      <c r="X441" s="31" t="n"/>
      <c r="Y441" s="31" t="n"/>
      <c r="Z441" s="31" t="n"/>
    </row>
    <row r="442" ht="14.25" customHeight="1">
      <c r="A442" s="31" t="n"/>
      <c r="D442" s="161" t="n"/>
      <c r="E442" s="161" t="n"/>
      <c r="Q442" s="31" t="n"/>
      <c r="R442" s="31" t="n"/>
      <c r="S442" s="31" t="n"/>
      <c r="T442" s="31" t="n"/>
      <c r="U442" s="31" t="n"/>
      <c r="V442" s="31" t="n"/>
      <c r="W442" s="31" t="n"/>
      <c r="X442" s="31" t="n"/>
      <c r="Y442" s="31" t="n"/>
      <c r="Z442" s="31" t="n"/>
    </row>
    <row r="443" ht="14.25" customHeight="1">
      <c r="A443" s="31" t="n"/>
      <c r="D443" s="161" t="n"/>
      <c r="E443" s="161" t="n"/>
      <c r="Q443" s="31" t="n"/>
      <c r="R443" s="31" t="n"/>
      <c r="S443" s="31" t="n"/>
      <c r="T443" s="31" t="n"/>
      <c r="U443" s="31" t="n"/>
      <c r="V443" s="31" t="n"/>
      <c r="W443" s="31" t="n"/>
      <c r="X443" s="31" t="n"/>
      <c r="Y443" s="31" t="n"/>
      <c r="Z443" s="31" t="n"/>
    </row>
    <row r="444" ht="14.25" customHeight="1">
      <c r="A444" s="31" t="n"/>
      <c r="D444" s="161" t="n"/>
      <c r="E444" s="161" t="n"/>
      <c r="Q444" s="31" t="n"/>
      <c r="R444" s="31" t="n"/>
      <c r="S444" s="31" t="n"/>
      <c r="T444" s="31" t="n"/>
      <c r="U444" s="31" t="n"/>
      <c r="V444" s="31" t="n"/>
      <c r="W444" s="31" t="n"/>
      <c r="X444" s="31" t="n"/>
      <c r="Y444" s="31" t="n"/>
      <c r="Z444" s="31" t="n"/>
    </row>
    <row r="445" ht="14.25" customHeight="1">
      <c r="A445" s="31" t="n"/>
      <c r="D445" s="161" t="n"/>
      <c r="E445" s="161" t="n"/>
      <c r="Q445" s="31" t="n"/>
      <c r="R445" s="31" t="n"/>
      <c r="S445" s="31" t="n"/>
      <c r="T445" s="31" t="n"/>
      <c r="U445" s="31" t="n"/>
      <c r="V445" s="31" t="n"/>
      <c r="W445" s="31" t="n"/>
      <c r="X445" s="31" t="n"/>
      <c r="Y445" s="31" t="n"/>
      <c r="Z445" s="31" t="n"/>
    </row>
    <row r="446" ht="14.25" customHeight="1">
      <c r="A446" s="31" t="n"/>
      <c r="D446" s="161" t="n"/>
      <c r="E446" s="161" t="n"/>
      <c r="Q446" s="31" t="n"/>
      <c r="R446" s="31" t="n"/>
      <c r="S446" s="31" t="n"/>
      <c r="T446" s="31" t="n"/>
      <c r="U446" s="31" t="n"/>
      <c r="V446" s="31" t="n"/>
      <c r="W446" s="31" t="n"/>
      <c r="X446" s="31" t="n"/>
      <c r="Y446" s="31" t="n"/>
      <c r="Z446" s="31" t="n"/>
    </row>
    <row r="447" ht="14.25" customHeight="1">
      <c r="A447" s="31" t="n"/>
      <c r="D447" s="161" t="n"/>
      <c r="E447" s="161" t="n"/>
      <c r="Q447" s="31" t="n"/>
      <c r="R447" s="31" t="n"/>
      <c r="S447" s="31" t="n"/>
      <c r="T447" s="31" t="n"/>
      <c r="U447" s="31" t="n"/>
      <c r="V447" s="31" t="n"/>
      <c r="W447" s="31" t="n"/>
      <c r="X447" s="31" t="n"/>
      <c r="Y447" s="31" t="n"/>
      <c r="Z447" s="31" t="n"/>
    </row>
    <row r="448" ht="14.25" customHeight="1">
      <c r="A448" s="31" t="n"/>
      <c r="D448" s="161" t="n"/>
      <c r="E448" s="161" t="n"/>
      <c r="Q448" s="31" t="n"/>
      <c r="R448" s="31" t="n"/>
      <c r="S448" s="31" t="n"/>
      <c r="T448" s="31" t="n"/>
      <c r="U448" s="31" t="n"/>
      <c r="V448" s="31" t="n"/>
      <c r="W448" s="31" t="n"/>
      <c r="X448" s="31" t="n"/>
      <c r="Y448" s="31" t="n"/>
      <c r="Z448" s="31" t="n"/>
    </row>
    <row r="449" ht="14.25" customHeight="1">
      <c r="A449" s="31" t="n"/>
      <c r="D449" s="161" t="n"/>
      <c r="E449" s="161" t="n"/>
      <c r="Q449" s="31" t="n"/>
      <c r="R449" s="31" t="n"/>
      <c r="S449" s="31" t="n"/>
      <c r="T449" s="31" t="n"/>
      <c r="U449" s="31" t="n"/>
      <c r="V449" s="31" t="n"/>
      <c r="W449" s="31" t="n"/>
      <c r="X449" s="31" t="n"/>
      <c r="Y449" s="31" t="n"/>
      <c r="Z449" s="31" t="n"/>
    </row>
    <row r="450" ht="14.25" customHeight="1">
      <c r="A450" s="31" t="n"/>
      <c r="D450" s="161" t="n"/>
      <c r="E450" s="161" t="n"/>
      <c r="Q450" s="31" t="n"/>
      <c r="R450" s="31" t="n"/>
      <c r="S450" s="31" t="n"/>
      <c r="T450" s="31" t="n"/>
      <c r="U450" s="31" t="n"/>
      <c r="V450" s="31" t="n"/>
      <c r="W450" s="31" t="n"/>
      <c r="X450" s="31" t="n"/>
      <c r="Y450" s="31" t="n"/>
      <c r="Z450" s="31" t="n"/>
    </row>
    <row r="451" ht="14.25" customHeight="1">
      <c r="A451" s="31" t="n"/>
      <c r="D451" s="161" t="n"/>
      <c r="E451" s="161" t="n"/>
      <c r="Q451" s="31" t="n"/>
      <c r="R451" s="31" t="n"/>
      <c r="S451" s="31" t="n"/>
      <c r="T451" s="31" t="n"/>
      <c r="U451" s="31" t="n"/>
      <c r="V451" s="31" t="n"/>
      <c r="W451" s="31" t="n"/>
      <c r="X451" s="31" t="n"/>
      <c r="Y451" s="31" t="n"/>
      <c r="Z451" s="31" t="n"/>
    </row>
    <row r="452" ht="14.25" customHeight="1">
      <c r="A452" s="31" t="n"/>
      <c r="D452" s="161" t="n"/>
      <c r="E452" s="161" t="n"/>
      <c r="Q452" s="31" t="n"/>
      <c r="R452" s="31" t="n"/>
      <c r="S452" s="31" t="n"/>
      <c r="T452" s="31" t="n"/>
      <c r="U452" s="31" t="n"/>
      <c r="V452" s="31" t="n"/>
      <c r="W452" s="31" t="n"/>
      <c r="X452" s="31" t="n"/>
      <c r="Y452" s="31" t="n"/>
      <c r="Z452" s="31" t="n"/>
    </row>
    <row r="453" ht="14.25" customHeight="1">
      <c r="A453" s="31" t="n"/>
      <c r="D453" s="161" t="n"/>
      <c r="E453" s="161" t="n"/>
      <c r="Q453" s="31" t="n"/>
      <c r="R453" s="31" t="n"/>
      <c r="S453" s="31" t="n"/>
      <c r="T453" s="31" t="n"/>
      <c r="U453" s="31" t="n"/>
      <c r="V453" s="31" t="n"/>
      <c r="W453" s="31" t="n"/>
      <c r="X453" s="31" t="n"/>
      <c r="Y453" s="31" t="n"/>
      <c r="Z453" s="31" t="n"/>
    </row>
    <row r="454" ht="14.25" customHeight="1">
      <c r="A454" s="31" t="n"/>
      <c r="D454" s="161" t="n"/>
      <c r="E454" s="161" t="n"/>
      <c r="Q454" s="31" t="n"/>
      <c r="R454" s="31" t="n"/>
      <c r="S454" s="31" t="n"/>
      <c r="T454" s="31" t="n"/>
      <c r="U454" s="31" t="n"/>
      <c r="V454" s="31" t="n"/>
      <c r="W454" s="31" t="n"/>
      <c r="X454" s="31" t="n"/>
      <c r="Y454" s="31" t="n"/>
      <c r="Z454" s="31" t="n"/>
    </row>
    <row r="455" ht="14.25" customHeight="1">
      <c r="A455" s="31" t="n"/>
      <c r="D455" s="161" t="n"/>
      <c r="E455" s="161" t="n"/>
      <c r="Q455" s="31" t="n"/>
      <c r="R455" s="31" t="n"/>
      <c r="S455" s="31" t="n"/>
      <c r="T455" s="31" t="n"/>
      <c r="U455" s="31" t="n"/>
      <c r="V455" s="31" t="n"/>
      <c r="W455" s="31" t="n"/>
      <c r="X455" s="31" t="n"/>
      <c r="Y455" s="31" t="n"/>
      <c r="Z455" s="31" t="n"/>
    </row>
    <row r="456" ht="14.25" customHeight="1">
      <c r="A456" s="31" t="n"/>
      <c r="D456" s="161" t="n"/>
      <c r="E456" s="161" t="n"/>
      <c r="Q456" s="31" t="n"/>
      <c r="R456" s="31" t="n"/>
      <c r="S456" s="31" t="n"/>
      <c r="T456" s="31" t="n"/>
      <c r="U456" s="31" t="n"/>
      <c r="V456" s="31" t="n"/>
      <c r="W456" s="31" t="n"/>
      <c r="X456" s="31" t="n"/>
      <c r="Y456" s="31" t="n"/>
      <c r="Z456" s="31" t="n"/>
    </row>
    <row r="457" ht="14.25" customHeight="1">
      <c r="A457" s="31" t="n"/>
      <c r="D457" s="161" t="n"/>
      <c r="E457" s="161" t="n"/>
      <c r="Q457" s="31" t="n"/>
      <c r="R457" s="31" t="n"/>
      <c r="S457" s="31" t="n"/>
      <c r="T457" s="31" t="n"/>
      <c r="U457" s="31" t="n"/>
      <c r="V457" s="31" t="n"/>
      <c r="W457" s="31" t="n"/>
      <c r="X457" s="31" t="n"/>
      <c r="Y457" s="31" t="n"/>
      <c r="Z457" s="31" t="n"/>
    </row>
    <row r="458" ht="14.25" customHeight="1">
      <c r="A458" s="31" t="n"/>
      <c r="D458" s="161" t="n"/>
      <c r="E458" s="161" t="n"/>
      <c r="Q458" s="31" t="n"/>
      <c r="R458" s="31" t="n"/>
      <c r="S458" s="31" t="n"/>
      <c r="T458" s="31" t="n"/>
      <c r="U458" s="31" t="n"/>
      <c r="V458" s="31" t="n"/>
      <c r="W458" s="31" t="n"/>
      <c r="X458" s="31" t="n"/>
      <c r="Y458" s="31" t="n"/>
      <c r="Z458" s="31" t="n"/>
    </row>
    <row r="459" ht="14.25" customHeight="1">
      <c r="A459" s="31" t="n"/>
      <c r="D459" s="161" t="n"/>
      <c r="E459" s="161" t="n"/>
      <c r="Q459" s="31" t="n"/>
      <c r="R459" s="31" t="n"/>
      <c r="S459" s="31" t="n"/>
      <c r="T459" s="31" t="n"/>
      <c r="U459" s="31" t="n"/>
      <c r="V459" s="31" t="n"/>
      <c r="W459" s="31" t="n"/>
      <c r="X459" s="31" t="n"/>
      <c r="Y459" s="31" t="n"/>
      <c r="Z459" s="31" t="n"/>
    </row>
    <row r="460" ht="14.25" customHeight="1">
      <c r="A460" s="31" t="n"/>
      <c r="D460" s="161" t="n"/>
      <c r="E460" s="161" t="n"/>
      <c r="Q460" s="31" t="n"/>
      <c r="R460" s="31" t="n"/>
      <c r="S460" s="31" t="n"/>
      <c r="T460" s="31" t="n"/>
      <c r="U460" s="31" t="n"/>
      <c r="V460" s="31" t="n"/>
      <c r="W460" s="31" t="n"/>
      <c r="X460" s="31" t="n"/>
      <c r="Y460" s="31" t="n"/>
      <c r="Z460" s="31" t="n"/>
    </row>
    <row r="461" ht="14.25" customHeight="1">
      <c r="A461" s="31" t="n"/>
      <c r="D461" s="161" t="n"/>
      <c r="E461" s="161" t="n"/>
      <c r="Q461" s="31" t="n"/>
      <c r="R461" s="31" t="n"/>
      <c r="S461" s="31" t="n"/>
      <c r="T461" s="31" t="n"/>
      <c r="U461" s="31" t="n"/>
      <c r="V461" s="31" t="n"/>
      <c r="W461" s="31" t="n"/>
      <c r="X461" s="31" t="n"/>
      <c r="Y461" s="31" t="n"/>
      <c r="Z461" s="31" t="n"/>
    </row>
    <row r="462" ht="14.25" customHeight="1">
      <c r="A462" s="31" t="n"/>
      <c r="D462" s="161" t="n"/>
      <c r="E462" s="161" t="n"/>
      <c r="Q462" s="31" t="n"/>
      <c r="R462" s="31" t="n"/>
      <c r="S462" s="31" t="n"/>
      <c r="T462" s="31" t="n"/>
      <c r="U462" s="31" t="n"/>
      <c r="V462" s="31" t="n"/>
      <c r="W462" s="31" t="n"/>
      <c r="X462" s="31" t="n"/>
      <c r="Y462" s="31" t="n"/>
      <c r="Z462" s="31" t="n"/>
    </row>
    <row r="463" ht="14.25" customHeight="1">
      <c r="A463" s="31" t="n"/>
      <c r="D463" s="161" t="n"/>
      <c r="E463" s="161" t="n"/>
      <c r="Q463" s="31" t="n"/>
      <c r="R463" s="31" t="n"/>
      <c r="S463" s="31" t="n"/>
      <c r="T463" s="31" t="n"/>
      <c r="U463" s="31" t="n"/>
      <c r="V463" s="31" t="n"/>
      <c r="W463" s="31" t="n"/>
      <c r="X463" s="31" t="n"/>
      <c r="Y463" s="31" t="n"/>
      <c r="Z463" s="31" t="n"/>
    </row>
    <row r="464" ht="14.25" customHeight="1">
      <c r="A464" s="31" t="n"/>
      <c r="D464" s="161" t="n"/>
      <c r="E464" s="161" t="n"/>
      <c r="Q464" s="31" t="n"/>
      <c r="R464" s="31" t="n"/>
      <c r="S464" s="31" t="n"/>
      <c r="T464" s="31" t="n"/>
      <c r="U464" s="31" t="n"/>
      <c r="V464" s="31" t="n"/>
      <c r="W464" s="31" t="n"/>
      <c r="X464" s="31" t="n"/>
      <c r="Y464" s="31" t="n"/>
      <c r="Z464" s="31" t="n"/>
    </row>
    <row r="465" ht="14.25" customHeight="1">
      <c r="A465" s="31" t="n"/>
      <c r="D465" s="161" t="n"/>
      <c r="E465" s="161" t="n"/>
      <c r="Q465" s="31" t="n"/>
      <c r="R465" s="31" t="n"/>
      <c r="S465" s="31" t="n"/>
      <c r="T465" s="31" t="n"/>
      <c r="U465" s="31" t="n"/>
      <c r="V465" s="31" t="n"/>
      <c r="W465" s="31" t="n"/>
      <c r="X465" s="31" t="n"/>
      <c r="Y465" s="31" t="n"/>
      <c r="Z465" s="31" t="n"/>
    </row>
    <row r="466" ht="14.25" customHeight="1">
      <c r="A466" s="31" t="n"/>
      <c r="D466" s="161" t="n"/>
      <c r="E466" s="161" t="n"/>
      <c r="Q466" s="31" t="n"/>
      <c r="R466" s="31" t="n"/>
      <c r="S466" s="31" t="n"/>
      <c r="T466" s="31" t="n"/>
      <c r="U466" s="31" t="n"/>
      <c r="V466" s="31" t="n"/>
      <c r="W466" s="31" t="n"/>
      <c r="X466" s="31" t="n"/>
      <c r="Y466" s="31" t="n"/>
      <c r="Z466" s="31" t="n"/>
    </row>
    <row r="467" ht="14.25" customHeight="1">
      <c r="A467" s="31" t="n"/>
      <c r="D467" s="161" t="n"/>
      <c r="E467" s="161" t="n"/>
      <c r="Q467" s="31" t="n"/>
      <c r="R467" s="31" t="n"/>
      <c r="S467" s="31" t="n"/>
      <c r="T467" s="31" t="n"/>
      <c r="U467" s="31" t="n"/>
      <c r="V467" s="31" t="n"/>
      <c r="W467" s="31" t="n"/>
      <c r="X467" s="31" t="n"/>
      <c r="Y467" s="31" t="n"/>
      <c r="Z467" s="31" t="n"/>
    </row>
    <row r="468" ht="14.25" customHeight="1">
      <c r="A468" s="31" t="n"/>
      <c r="D468" s="161" t="n"/>
      <c r="E468" s="161" t="n"/>
      <c r="Q468" s="31" t="n"/>
      <c r="R468" s="31" t="n"/>
      <c r="S468" s="31" t="n"/>
      <c r="T468" s="31" t="n"/>
      <c r="U468" s="31" t="n"/>
      <c r="V468" s="31" t="n"/>
      <c r="W468" s="31" t="n"/>
      <c r="X468" s="31" t="n"/>
      <c r="Y468" s="31" t="n"/>
      <c r="Z468" s="31" t="n"/>
    </row>
    <row r="469" ht="14.25" customHeight="1">
      <c r="A469" s="31" t="n"/>
      <c r="D469" s="161" t="n"/>
      <c r="E469" s="161" t="n"/>
      <c r="Q469" s="31" t="n"/>
      <c r="R469" s="31" t="n"/>
      <c r="S469" s="31" t="n"/>
      <c r="T469" s="31" t="n"/>
      <c r="U469" s="31" t="n"/>
      <c r="V469" s="31" t="n"/>
      <c r="W469" s="31" t="n"/>
      <c r="X469" s="31" t="n"/>
      <c r="Y469" s="31" t="n"/>
      <c r="Z469" s="31" t="n"/>
    </row>
    <row r="470" ht="14.25" customHeight="1">
      <c r="A470" s="31" t="n"/>
      <c r="D470" s="161" t="n"/>
      <c r="E470" s="161" t="n"/>
      <c r="Q470" s="31" t="n"/>
      <c r="R470" s="31" t="n"/>
      <c r="S470" s="31" t="n"/>
      <c r="T470" s="31" t="n"/>
      <c r="U470" s="31" t="n"/>
      <c r="V470" s="31" t="n"/>
      <c r="W470" s="31" t="n"/>
      <c r="X470" s="31" t="n"/>
      <c r="Y470" s="31" t="n"/>
      <c r="Z470" s="31" t="n"/>
    </row>
    <row r="471" ht="14.25" customHeight="1">
      <c r="A471" s="31" t="n"/>
      <c r="D471" s="161" t="n"/>
      <c r="E471" s="161" t="n"/>
      <c r="Q471" s="31" t="n"/>
      <c r="R471" s="31" t="n"/>
      <c r="S471" s="31" t="n"/>
      <c r="T471" s="31" t="n"/>
      <c r="U471" s="31" t="n"/>
      <c r="V471" s="31" t="n"/>
      <c r="W471" s="31" t="n"/>
      <c r="X471" s="31" t="n"/>
      <c r="Y471" s="31" t="n"/>
      <c r="Z471" s="31" t="n"/>
    </row>
    <row r="472" ht="14.25" customHeight="1">
      <c r="A472" s="31" t="n"/>
      <c r="D472" s="161" t="n"/>
      <c r="E472" s="161" t="n"/>
      <c r="Q472" s="31" t="n"/>
      <c r="R472" s="31" t="n"/>
      <c r="S472" s="31" t="n"/>
      <c r="T472" s="31" t="n"/>
      <c r="U472" s="31" t="n"/>
      <c r="V472" s="31" t="n"/>
      <c r="W472" s="31" t="n"/>
      <c r="X472" s="31" t="n"/>
      <c r="Y472" s="31" t="n"/>
      <c r="Z472" s="31" t="n"/>
    </row>
    <row r="473" ht="14.25" customHeight="1">
      <c r="A473" s="31" t="n"/>
      <c r="D473" s="161" t="n"/>
      <c r="E473" s="161" t="n"/>
      <c r="Q473" s="31" t="n"/>
      <c r="R473" s="31" t="n"/>
      <c r="S473" s="31" t="n"/>
      <c r="T473" s="31" t="n"/>
      <c r="U473" s="31" t="n"/>
      <c r="V473" s="31" t="n"/>
      <c r="W473" s="31" t="n"/>
      <c r="X473" s="31" t="n"/>
      <c r="Y473" s="31" t="n"/>
      <c r="Z473" s="31" t="n"/>
    </row>
    <row r="474" ht="14.25" customHeight="1">
      <c r="A474" s="31" t="n"/>
      <c r="D474" s="161" t="n"/>
      <c r="E474" s="161" t="n"/>
      <c r="Q474" s="31" t="n"/>
      <c r="R474" s="31" t="n"/>
      <c r="S474" s="31" t="n"/>
      <c r="T474" s="31" t="n"/>
      <c r="U474" s="31" t="n"/>
      <c r="V474" s="31" t="n"/>
      <c r="W474" s="31" t="n"/>
      <c r="X474" s="31" t="n"/>
      <c r="Y474" s="31" t="n"/>
      <c r="Z474" s="31" t="n"/>
    </row>
    <row r="475" ht="14.25" customHeight="1">
      <c r="A475" s="31" t="n"/>
      <c r="D475" s="161" t="n"/>
      <c r="E475" s="161" t="n"/>
      <c r="Q475" s="31" t="n"/>
      <c r="R475" s="31" t="n"/>
      <c r="S475" s="31" t="n"/>
      <c r="T475" s="31" t="n"/>
      <c r="U475" s="31" t="n"/>
      <c r="V475" s="31" t="n"/>
      <c r="W475" s="31" t="n"/>
      <c r="X475" s="31" t="n"/>
      <c r="Y475" s="31" t="n"/>
      <c r="Z475" s="31" t="n"/>
    </row>
    <row r="476" ht="14.25" customHeight="1">
      <c r="A476" s="31" t="n"/>
      <c r="D476" s="161" t="n"/>
      <c r="E476" s="161" t="n"/>
      <c r="Q476" s="31" t="n"/>
      <c r="R476" s="31" t="n"/>
      <c r="S476" s="31" t="n"/>
      <c r="T476" s="31" t="n"/>
      <c r="U476" s="31" t="n"/>
      <c r="V476" s="31" t="n"/>
      <c r="W476" s="31" t="n"/>
      <c r="X476" s="31" t="n"/>
      <c r="Y476" s="31" t="n"/>
      <c r="Z476" s="31" t="n"/>
    </row>
    <row r="477" ht="14.25" customHeight="1">
      <c r="A477" s="31" t="n"/>
      <c r="D477" s="161" t="n"/>
      <c r="E477" s="161" t="n"/>
      <c r="Q477" s="31" t="n"/>
      <c r="R477" s="31" t="n"/>
      <c r="S477" s="31" t="n"/>
      <c r="T477" s="31" t="n"/>
      <c r="U477" s="31" t="n"/>
      <c r="V477" s="31" t="n"/>
      <c r="W477" s="31" t="n"/>
      <c r="X477" s="31" t="n"/>
      <c r="Y477" s="31" t="n"/>
      <c r="Z477" s="31" t="n"/>
    </row>
    <row r="478" ht="14.25" customHeight="1">
      <c r="A478" s="31" t="n"/>
      <c r="D478" s="161" t="n"/>
      <c r="E478" s="161" t="n"/>
      <c r="Q478" s="31" t="n"/>
      <c r="R478" s="31" t="n"/>
      <c r="S478" s="31" t="n"/>
      <c r="T478" s="31" t="n"/>
      <c r="U478" s="31" t="n"/>
      <c r="V478" s="31" t="n"/>
      <c r="W478" s="31" t="n"/>
      <c r="X478" s="31" t="n"/>
      <c r="Y478" s="31" t="n"/>
      <c r="Z478" s="31" t="n"/>
    </row>
    <row r="479" ht="14.25" customHeight="1">
      <c r="A479" s="31" t="n"/>
      <c r="D479" s="161" t="n"/>
      <c r="E479" s="161" t="n"/>
      <c r="Q479" s="31" t="n"/>
      <c r="R479" s="31" t="n"/>
      <c r="S479" s="31" t="n"/>
      <c r="T479" s="31" t="n"/>
      <c r="U479" s="31" t="n"/>
      <c r="V479" s="31" t="n"/>
      <c r="W479" s="31" t="n"/>
      <c r="X479" s="31" t="n"/>
      <c r="Y479" s="31" t="n"/>
      <c r="Z479" s="31" t="n"/>
    </row>
    <row r="480" ht="14.25" customHeight="1">
      <c r="A480" s="31" t="n"/>
      <c r="D480" s="161" t="n"/>
      <c r="E480" s="161" t="n"/>
      <c r="Q480" s="31" t="n"/>
      <c r="R480" s="31" t="n"/>
      <c r="S480" s="31" t="n"/>
      <c r="T480" s="31" t="n"/>
      <c r="U480" s="31" t="n"/>
      <c r="V480" s="31" t="n"/>
      <c r="W480" s="31" t="n"/>
      <c r="X480" s="31" t="n"/>
      <c r="Y480" s="31" t="n"/>
      <c r="Z480" s="31" t="n"/>
    </row>
    <row r="481" ht="14.25" customHeight="1">
      <c r="A481" s="31" t="n"/>
      <c r="D481" s="161" t="n"/>
      <c r="E481" s="161" t="n"/>
      <c r="Q481" s="31" t="n"/>
      <c r="R481" s="31" t="n"/>
      <c r="S481" s="31" t="n"/>
      <c r="T481" s="31" t="n"/>
      <c r="U481" s="31" t="n"/>
      <c r="V481" s="31" t="n"/>
      <c r="W481" s="31" t="n"/>
      <c r="X481" s="31" t="n"/>
      <c r="Y481" s="31" t="n"/>
      <c r="Z481" s="31" t="n"/>
    </row>
    <row r="482" ht="14.25" customHeight="1">
      <c r="A482" s="31" t="n"/>
      <c r="D482" s="161" t="n"/>
      <c r="E482" s="161" t="n"/>
      <c r="Q482" s="31" t="n"/>
      <c r="R482" s="31" t="n"/>
      <c r="S482" s="31" t="n"/>
      <c r="T482" s="31" t="n"/>
      <c r="U482" s="31" t="n"/>
      <c r="V482" s="31" t="n"/>
      <c r="W482" s="31" t="n"/>
      <c r="X482" s="31" t="n"/>
      <c r="Y482" s="31" t="n"/>
      <c r="Z482" s="31" t="n"/>
    </row>
    <row r="483" ht="14.25" customHeight="1">
      <c r="A483" s="31" t="n"/>
      <c r="D483" s="161" t="n"/>
      <c r="E483" s="161" t="n"/>
      <c r="Q483" s="31" t="n"/>
      <c r="R483" s="31" t="n"/>
      <c r="S483" s="31" t="n"/>
      <c r="T483" s="31" t="n"/>
      <c r="U483" s="31" t="n"/>
      <c r="V483" s="31" t="n"/>
      <c r="W483" s="31" t="n"/>
      <c r="X483" s="31" t="n"/>
      <c r="Y483" s="31" t="n"/>
      <c r="Z483" s="31" t="n"/>
    </row>
    <row r="484" ht="14.25" customHeight="1">
      <c r="A484" s="31" t="n"/>
      <c r="D484" s="161" t="n"/>
      <c r="E484" s="161" t="n"/>
      <c r="Q484" s="31" t="n"/>
      <c r="R484" s="31" t="n"/>
      <c r="S484" s="31" t="n"/>
      <c r="T484" s="31" t="n"/>
      <c r="U484" s="31" t="n"/>
      <c r="V484" s="31" t="n"/>
      <c r="W484" s="31" t="n"/>
      <c r="X484" s="31" t="n"/>
      <c r="Y484" s="31" t="n"/>
      <c r="Z484" s="31" t="n"/>
    </row>
    <row r="485" ht="14.25" customHeight="1">
      <c r="A485" s="31" t="n"/>
      <c r="D485" s="161" t="n"/>
      <c r="E485" s="161" t="n"/>
      <c r="Q485" s="31" t="n"/>
      <c r="R485" s="31" t="n"/>
      <c r="S485" s="31" t="n"/>
      <c r="T485" s="31" t="n"/>
      <c r="U485" s="31" t="n"/>
      <c r="V485" s="31" t="n"/>
      <c r="W485" s="31" t="n"/>
      <c r="X485" s="31" t="n"/>
      <c r="Y485" s="31" t="n"/>
      <c r="Z485" s="31" t="n"/>
    </row>
    <row r="486" ht="14.25" customHeight="1">
      <c r="A486" s="31" t="n"/>
      <c r="D486" s="161" t="n"/>
      <c r="E486" s="161" t="n"/>
      <c r="Q486" s="31" t="n"/>
      <c r="R486" s="31" t="n"/>
      <c r="S486" s="31" t="n"/>
      <c r="T486" s="31" t="n"/>
      <c r="U486" s="31" t="n"/>
      <c r="V486" s="31" t="n"/>
      <c r="W486" s="31" t="n"/>
      <c r="X486" s="31" t="n"/>
      <c r="Y486" s="31" t="n"/>
      <c r="Z486" s="31" t="n"/>
    </row>
    <row r="487" ht="14.25" customHeight="1">
      <c r="A487" s="31" t="n"/>
      <c r="D487" s="161" t="n"/>
      <c r="E487" s="161" t="n"/>
      <c r="Q487" s="31" t="n"/>
      <c r="R487" s="31" t="n"/>
      <c r="S487" s="31" t="n"/>
      <c r="T487" s="31" t="n"/>
      <c r="U487" s="31" t="n"/>
      <c r="V487" s="31" t="n"/>
      <c r="W487" s="31" t="n"/>
      <c r="X487" s="31" t="n"/>
      <c r="Y487" s="31" t="n"/>
      <c r="Z487" s="31" t="n"/>
    </row>
    <row r="488" ht="14.25" customHeight="1">
      <c r="A488" s="31" t="n"/>
      <c r="D488" s="161" t="n"/>
      <c r="E488" s="161" t="n"/>
      <c r="Q488" s="31" t="n"/>
      <c r="R488" s="31" t="n"/>
      <c r="S488" s="31" t="n"/>
      <c r="T488" s="31" t="n"/>
      <c r="U488" s="31" t="n"/>
      <c r="V488" s="31" t="n"/>
      <c r="W488" s="31" t="n"/>
      <c r="X488" s="31" t="n"/>
      <c r="Y488" s="31" t="n"/>
      <c r="Z488" s="31" t="n"/>
    </row>
    <row r="489" ht="14.25" customHeight="1">
      <c r="A489" s="31" t="n"/>
      <c r="D489" s="161" t="n"/>
      <c r="E489" s="161" t="n"/>
      <c r="Q489" s="31" t="n"/>
      <c r="R489" s="31" t="n"/>
      <c r="S489" s="31" t="n"/>
      <c r="T489" s="31" t="n"/>
      <c r="U489" s="31" t="n"/>
      <c r="V489" s="31" t="n"/>
      <c r="W489" s="31" t="n"/>
      <c r="X489" s="31" t="n"/>
      <c r="Y489" s="31" t="n"/>
      <c r="Z489" s="31" t="n"/>
    </row>
    <row r="490" ht="14.25" customHeight="1">
      <c r="A490" s="31" t="n"/>
      <c r="D490" s="161" t="n"/>
      <c r="E490" s="161" t="n"/>
      <c r="Q490" s="31" t="n"/>
      <c r="R490" s="31" t="n"/>
      <c r="S490" s="31" t="n"/>
      <c r="T490" s="31" t="n"/>
      <c r="U490" s="31" t="n"/>
      <c r="V490" s="31" t="n"/>
      <c r="W490" s="31" t="n"/>
      <c r="X490" s="31" t="n"/>
      <c r="Y490" s="31" t="n"/>
      <c r="Z490" s="31" t="n"/>
    </row>
    <row r="491" ht="14.25" customHeight="1">
      <c r="A491" s="31" t="n"/>
      <c r="D491" s="161" t="n"/>
      <c r="E491" s="161" t="n"/>
      <c r="Q491" s="31" t="n"/>
      <c r="R491" s="31" t="n"/>
      <c r="S491" s="31" t="n"/>
      <c r="T491" s="31" t="n"/>
      <c r="U491" s="31" t="n"/>
      <c r="V491" s="31" t="n"/>
      <c r="W491" s="31" t="n"/>
      <c r="X491" s="31" t="n"/>
      <c r="Y491" s="31" t="n"/>
      <c r="Z491" s="31" t="n"/>
    </row>
    <row r="492" ht="14.25" customHeight="1">
      <c r="A492" s="31" t="n"/>
      <c r="D492" s="161" t="n"/>
      <c r="E492" s="161" t="n"/>
      <c r="Q492" s="31" t="n"/>
      <c r="R492" s="31" t="n"/>
      <c r="S492" s="31" t="n"/>
      <c r="T492" s="31" t="n"/>
      <c r="U492" s="31" t="n"/>
      <c r="V492" s="31" t="n"/>
      <c r="W492" s="31" t="n"/>
      <c r="X492" s="31" t="n"/>
      <c r="Y492" s="31" t="n"/>
      <c r="Z492" s="31" t="n"/>
    </row>
    <row r="493" ht="14.25" customHeight="1">
      <c r="A493" s="31" t="n"/>
      <c r="D493" s="161" t="n"/>
      <c r="E493" s="161" t="n"/>
      <c r="Q493" s="31" t="n"/>
      <c r="R493" s="31" t="n"/>
      <c r="S493" s="31" t="n"/>
      <c r="T493" s="31" t="n"/>
      <c r="U493" s="31" t="n"/>
      <c r="V493" s="31" t="n"/>
      <c r="W493" s="31" t="n"/>
      <c r="X493" s="31" t="n"/>
      <c r="Y493" s="31" t="n"/>
      <c r="Z493" s="31" t="n"/>
    </row>
    <row r="494" ht="14.25" customHeight="1">
      <c r="A494" s="31" t="n"/>
      <c r="D494" s="161" t="n"/>
      <c r="E494" s="161" t="n"/>
      <c r="Q494" s="31" t="n"/>
      <c r="R494" s="31" t="n"/>
      <c r="S494" s="31" t="n"/>
      <c r="T494" s="31" t="n"/>
      <c r="U494" s="31" t="n"/>
      <c r="V494" s="31" t="n"/>
      <c r="W494" s="31" t="n"/>
      <c r="X494" s="31" t="n"/>
      <c r="Y494" s="31" t="n"/>
      <c r="Z494" s="31" t="n"/>
    </row>
    <row r="495" ht="14.25" customHeight="1">
      <c r="A495" s="31" t="n"/>
      <c r="D495" s="161" t="n"/>
      <c r="E495" s="161" t="n"/>
      <c r="Q495" s="31" t="n"/>
      <c r="R495" s="31" t="n"/>
      <c r="S495" s="31" t="n"/>
      <c r="T495" s="31" t="n"/>
      <c r="U495" s="31" t="n"/>
      <c r="V495" s="31" t="n"/>
      <c r="W495" s="31" t="n"/>
      <c r="X495" s="31" t="n"/>
      <c r="Y495" s="31" t="n"/>
      <c r="Z495" s="31" t="n"/>
    </row>
    <row r="496" ht="14.25" customHeight="1">
      <c r="A496" s="31" t="n"/>
      <c r="D496" s="161" t="n"/>
      <c r="E496" s="161" t="n"/>
      <c r="Q496" s="31" t="n"/>
      <c r="R496" s="31" t="n"/>
      <c r="S496" s="31" t="n"/>
      <c r="T496" s="31" t="n"/>
      <c r="U496" s="31" t="n"/>
      <c r="V496" s="31" t="n"/>
      <c r="W496" s="31" t="n"/>
      <c r="X496" s="31" t="n"/>
      <c r="Y496" s="31" t="n"/>
      <c r="Z496" s="31" t="n"/>
    </row>
    <row r="497" ht="14.25" customHeight="1">
      <c r="A497" s="31" t="n"/>
      <c r="D497" s="161" t="n"/>
      <c r="E497" s="161" t="n"/>
      <c r="Q497" s="31" t="n"/>
      <c r="R497" s="31" t="n"/>
      <c r="S497" s="31" t="n"/>
      <c r="T497" s="31" t="n"/>
      <c r="U497" s="31" t="n"/>
      <c r="V497" s="31" t="n"/>
      <c r="W497" s="31" t="n"/>
      <c r="X497" s="31" t="n"/>
      <c r="Y497" s="31" t="n"/>
      <c r="Z497" s="31" t="n"/>
    </row>
    <row r="498" ht="14.25" customHeight="1">
      <c r="A498" s="31" t="n"/>
      <c r="D498" s="161" t="n"/>
      <c r="E498" s="161" t="n"/>
      <c r="Q498" s="31" t="n"/>
      <c r="R498" s="31" t="n"/>
      <c r="S498" s="31" t="n"/>
      <c r="T498" s="31" t="n"/>
      <c r="U498" s="31" t="n"/>
      <c r="V498" s="31" t="n"/>
      <c r="W498" s="31" t="n"/>
      <c r="X498" s="31" t="n"/>
      <c r="Y498" s="31" t="n"/>
      <c r="Z498" s="31" t="n"/>
    </row>
    <row r="499" ht="14.25" customHeight="1">
      <c r="A499" s="31" t="n"/>
      <c r="D499" s="161" t="n"/>
      <c r="E499" s="161" t="n"/>
      <c r="Q499" s="31" t="n"/>
      <c r="R499" s="31" t="n"/>
      <c r="S499" s="31" t="n"/>
      <c r="T499" s="31" t="n"/>
      <c r="U499" s="31" t="n"/>
      <c r="V499" s="31" t="n"/>
      <c r="W499" s="31" t="n"/>
      <c r="X499" s="31" t="n"/>
      <c r="Y499" s="31" t="n"/>
      <c r="Z499" s="31" t="n"/>
    </row>
    <row r="500" ht="14.25" customHeight="1">
      <c r="A500" s="31" t="n"/>
      <c r="D500" s="161" t="n"/>
      <c r="E500" s="161" t="n"/>
      <c r="Q500" s="31" t="n"/>
      <c r="R500" s="31" t="n"/>
      <c r="S500" s="31" t="n"/>
      <c r="T500" s="31" t="n"/>
      <c r="U500" s="31" t="n"/>
      <c r="V500" s="31" t="n"/>
      <c r="W500" s="31" t="n"/>
      <c r="X500" s="31" t="n"/>
      <c r="Y500" s="31" t="n"/>
      <c r="Z500" s="31" t="n"/>
    </row>
    <row r="501" ht="14.25" customHeight="1">
      <c r="A501" s="31" t="n"/>
      <c r="D501" s="161" t="n"/>
      <c r="E501" s="161" t="n"/>
      <c r="Q501" s="31" t="n"/>
      <c r="R501" s="31" t="n"/>
      <c r="S501" s="31" t="n"/>
      <c r="T501" s="31" t="n"/>
      <c r="U501" s="31" t="n"/>
      <c r="V501" s="31" t="n"/>
      <c r="W501" s="31" t="n"/>
      <c r="X501" s="31" t="n"/>
      <c r="Y501" s="31" t="n"/>
      <c r="Z501" s="31" t="n"/>
    </row>
    <row r="502" ht="14.25" customHeight="1">
      <c r="A502" s="31" t="n"/>
      <c r="D502" s="161" t="n"/>
      <c r="E502" s="161" t="n"/>
      <c r="Q502" s="31" t="n"/>
      <c r="R502" s="31" t="n"/>
      <c r="S502" s="31" t="n"/>
      <c r="T502" s="31" t="n"/>
      <c r="U502" s="31" t="n"/>
      <c r="V502" s="31" t="n"/>
      <c r="W502" s="31" t="n"/>
      <c r="X502" s="31" t="n"/>
      <c r="Y502" s="31" t="n"/>
      <c r="Z502" s="31" t="n"/>
    </row>
    <row r="503" ht="14.25" customHeight="1">
      <c r="A503" s="31" t="n"/>
      <c r="D503" s="161" t="n"/>
      <c r="E503" s="161" t="n"/>
      <c r="Q503" s="31" t="n"/>
      <c r="R503" s="31" t="n"/>
      <c r="S503" s="31" t="n"/>
      <c r="T503" s="31" t="n"/>
      <c r="U503" s="31" t="n"/>
      <c r="V503" s="31" t="n"/>
      <c r="W503" s="31" t="n"/>
      <c r="X503" s="31" t="n"/>
      <c r="Y503" s="31" t="n"/>
      <c r="Z503" s="31" t="n"/>
    </row>
    <row r="504" ht="14.25" customHeight="1">
      <c r="A504" s="31" t="n"/>
      <c r="D504" s="161" t="n"/>
      <c r="E504" s="161" t="n"/>
      <c r="Q504" s="31" t="n"/>
      <c r="R504" s="31" t="n"/>
      <c r="S504" s="31" t="n"/>
      <c r="T504" s="31" t="n"/>
      <c r="U504" s="31" t="n"/>
      <c r="V504" s="31" t="n"/>
      <c r="W504" s="31" t="n"/>
      <c r="X504" s="31" t="n"/>
      <c r="Y504" s="31" t="n"/>
      <c r="Z504" s="31" t="n"/>
    </row>
    <row r="505" ht="14.25" customHeight="1">
      <c r="A505" s="31" t="n"/>
      <c r="D505" s="161" t="n"/>
      <c r="E505" s="161" t="n"/>
      <c r="Q505" s="31" t="n"/>
      <c r="R505" s="31" t="n"/>
      <c r="S505" s="31" t="n"/>
      <c r="T505" s="31" t="n"/>
      <c r="U505" s="31" t="n"/>
      <c r="V505" s="31" t="n"/>
      <c r="W505" s="31" t="n"/>
      <c r="X505" s="31" t="n"/>
      <c r="Y505" s="31" t="n"/>
      <c r="Z505" s="31" t="n"/>
    </row>
    <row r="506" ht="14.25" customHeight="1">
      <c r="A506" s="31" t="n"/>
      <c r="D506" s="161" t="n"/>
      <c r="E506" s="161" t="n"/>
      <c r="Q506" s="31" t="n"/>
      <c r="R506" s="31" t="n"/>
      <c r="S506" s="31" t="n"/>
      <c r="T506" s="31" t="n"/>
      <c r="U506" s="31" t="n"/>
      <c r="V506" s="31" t="n"/>
      <c r="W506" s="31" t="n"/>
      <c r="X506" s="31" t="n"/>
      <c r="Y506" s="31" t="n"/>
      <c r="Z506" s="31" t="n"/>
    </row>
    <row r="507" ht="14.25" customHeight="1">
      <c r="A507" s="31" t="n"/>
      <c r="D507" s="161" t="n"/>
      <c r="E507" s="161" t="n"/>
      <c r="Q507" s="31" t="n"/>
      <c r="R507" s="31" t="n"/>
      <c r="S507" s="31" t="n"/>
      <c r="T507" s="31" t="n"/>
      <c r="U507" s="31" t="n"/>
      <c r="V507" s="31" t="n"/>
      <c r="W507" s="31" t="n"/>
      <c r="X507" s="31" t="n"/>
      <c r="Y507" s="31" t="n"/>
      <c r="Z507" s="31" t="n"/>
    </row>
    <row r="508" ht="14.25" customHeight="1">
      <c r="A508" s="31" t="n"/>
      <c r="D508" s="161" t="n"/>
      <c r="E508" s="161" t="n"/>
      <c r="Q508" s="31" t="n"/>
      <c r="R508" s="31" t="n"/>
      <c r="S508" s="31" t="n"/>
      <c r="T508" s="31" t="n"/>
      <c r="U508" s="31" t="n"/>
      <c r="V508" s="31" t="n"/>
      <c r="W508" s="31" t="n"/>
      <c r="X508" s="31" t="n"/>
      <c r="Y508" s="31" t="n"/>
      <c r="Z508" s="31" t="n"/>
    </row>
    <row r="509" ht="14.25" customHeight="1">
      <c r="A509" s="31" t="n"/>
      <c r="D509" s="161" t="n"/>
      <c r="E509" s="161" t="n"/>
      <c r="Q509" s="31" t="n"/>
      <c r="R509" s="31" t="n"/>
      <c r="S509" s="31" t="n"/>
      <c r="T509" s="31" t="n"/>
      <c r="U509" s="31" t="n"/>
      <c r="V509" s="31" t="n"/>
      <c r="W509" s="31" t="n"/>
      <c r="X509" s="31" t="n"/>
      <c r="Y509" s="31" t="n"/>
      <c r="Z509" s="31" t="n"/>
    </row>
    <row r="510" ht="14.25" customHeight="1">
      <c r="A510" s="31" t="n"/>
      <c r="D510" s="161" t="n"/>
      <c r="E510" s="161" t="n"/>
      <c r="Q510" s="31" t="n"/>
      <c r="R510" s="31" t="n"/>
      <c r="S510" s="31" t="n"/>
      <c r="T510" s="31" t="n"/>
      <c r="U510" s="31" t="n"/>
      <c r="V510" s="31" t="n"/>
      <c r="W510" s="31" t="n"/>
      <c r="X510" s="31" t="n"/>
      <c r="Y510" s="31" t="n"/>
      <c r="Z510" s="31" t="n"/>
    </row>
    <row r="511" ht="14.25" customHeight="1">
      <c r="A511" s="31" t="n"/>
      <c r="D511" s="161" t="n"/>
      <c r="E511" s="161" t="n"/>
      <c r="Q511" s="31" t="n"/>
      <c r="R511" s="31" t="n"/>
      <c r="S511" s="31" t="n"/>
      <c r="T511" s="31" t="n"/>
      <c r="U511" s="31" t="n"/>
      <c r="V511" s="31" t="n"/>
      <c r="W511" s="31" t="n"/>
      <c r="X511" s="31" t="n"/>
      <c r="Y511" s="31" t="n"/>
      <c r="Z511" s="31" t="n"/>
    </row>
    <row r="512" ht="14.25" customHeight="1">
      <c r="A512" s="31" t="n"/>
      <c r="D512" s="161" t="n"/>
      <c r="E512" s="161" t="n"/>
      <c r="Q512" s="31" t="n"/>
      <c r="R512" s="31" t="n"/>
      <c r="S512" s="31" t="n"/>
      <c r="T512" s="31" t="n"/>
      <c r="U512" s="31" t="n"/>
      <c r="V512" s="31" t="n"/>
      <c r="W512" s="31" t="n"/>
      <c r="X512" s="31" t="n"/>
      <c r="Y512" s="31" t="n"/>
      <c r="Z512" s="31" t="n"/>
    </row>
    <row r="513" ht="14.25" customHeight="1">
      <c r="A513" s="31" t="n"/>
      <c r="D513" s="161" t="n"/>
      <c r="E513" s="161" t="n"/>
      <c r="Q513" s="31" t="n"/>
      <c r="R513" s="31" t="n"/>
      <c r="S513" s="31" t="n"/>
      <c r="T513" s="31" t="n"/>
      <c r="U513" s="31" t="n"/>
      <c r="V513" s="31" t="n"/>
      <c r="W513" s="31" t="n"/>
      <c r="X513" s="31" t="n"/>
      <c r="Y513" s="31" t="n"/>
      <c r="Z513" s="31" t="n"/>
    </row>
    <row r="514" ht="14.25" customHeight="1">
      <c r="A514" s="31" t="n"/>
      <c r="D514" s="161" t="n"/>
      <c r="E514" s="161" t="n"/>
      <c r="Q514" s="31" t="n"/>
      <c r="R514" s="31" t="n"/>
      <c r="S514" s="31" t="n"/>
      <c r="T514" s="31" t="n"/>
      <c r="U514" s="31" t="n"/>
      <c r="V514" s="31" t="n"/>
      <c r="W514" s="31" t="n"/>
      <c r="X514" s="31" t="n"/>
      <c r="Y514" s="31" t="n"/>
      <c r="Z514" s="31" t="n"/>
    </row>
    <row r="515" ht="14.25" customHeight="1">
      <c r="A515" s="31" t="n"/>
      <c r="D515" s="161" t="n"/>
      <c r="E515" s="161" t="n"/>
      <c r="Q515" s="31" t="n"/>
      <c r="R515" s="31" t="n"/>
      <c r="S515" s="31" t="n"/>
      <c r="T515" s="31" t="n"/>
      <c r="U515" s="31" t="n"/>
      <c r="V515" s="31" t="n"/>
      <c r="W515" s="31" t="n"/>
      <c r="X515" s="31" t="n"/>
      <c r="Y515" s="31" t="n"/>
      <c r="Z515" s="31" t="n"/>
    </row>
    <row r="516" ht="14.25" customHeight="1">
      <c r="A516" s="31" t="n"/>
      <c r="D516" s="161" t="n"/>
      <c r="E516" s="161" t="n"/>
      <c r="Q516" s="31" t="n"/>
      <c r="R516" s="31" t="n"/>
      <c r="S516" s="31" t="n"/>
      <c r="T516" s="31" t="n"/>
      <c r="U516" s="31" t="n"/>
      <c r="V516" s="31" t="n"/>
      <c r="W516" s="31" t="n"/>
      <c r="X516" s="31" t="n"/>
      <c r="Y516" s="31" t="n"/>
      <c r="Z516" s="31" t="n"/>
    </row>
    <row r="517" ht="14.25" customHeight="1">
      <c r="A517" s="31" t="n"/>
      <c r="D517" s="161" t="n"/>
      <c r="E517" s="161" t="n"/>
      <c r="Q517" s="31" t="n"/>
      <c r="R517" s="31" t="n"/>
      <c r="S517" s="31" t="n"/>
      <c r="T517" s="31" t="n"/>
      <c r="U517" s="31" t="n"/>
      <c r="V517" s="31" t="n"/>
      <c r="W517" s="31" t="n"/>
      <c r="X517" s="31" t="n"/>
      <c r="Y517" s="31" t="n"/>
      <c r="Z517" s="31" t="n"/>
    </row>
    <row r="518" ht="14.25" customHeight="1">
      <c r="A518" s="31" t="n"/>
      <c r="D518" s="161" t="n"/>
      <c r="E518" s="161" t="n"/>
      <c r="Q518" s="31" t="n"/>
      <c r="R518" s="31" t="n"/>
      <c r="S518" s="31" t="n"/>
      <c r="T518" s="31" t="n"/>
      <c r="U518" s="31" t="n"/>
      <c r="V518" s="31" t="n"/>
      <c r="W518" s="31" t="n"/>
      <c r="X518" s="31" t="n"/>
      <c r="Y518" s="31" t="n"/>
      <c r="Z518" s="31" t="n"/>
    </row>
    <row r="519" ht="14.25" customHeight="1">
      <c r="A519" s="31" t="n"/>
      <c r="D519" s="161" t="n"/>
      <c r="E519" s="161" t="n"/>
      <c r="Q519" s="31" t="n"/>
      <c r="R519" s="31" t="n"/>
      <c r="S519" s="31" t="n"/>
      <c r="T519" s="31" t="n"/>
      <c r="U519" s="31" t="n"/>
      <c r="V519" s="31" t="n"/>
      <c r="W519" s="31" t="n"/>
      <c r="X519" s="31" t="n"/>
      <c r="Y519" s="31" t="n"/>
      <c r="Z519" s="31" t="n"/>
    </row>
    <row r="520" ht="14.25" customHeight="1">
      <c r="A520" s="31" t="n"/>
      <c r="D520" s="161" t="n"/>
      <c r="E520" s="161" t="n"/>
      <c r="Q520" s="31" t="n"/>
      <c r="R520" s="31" t="n"/>
      <c r="S520" s="31" t="n"/>
      <c r="T520" s="31" t="n"/>
      <c r="U520" s="31" t="n"/>
      <c r="V520" s="31" t="n"/>
      <c r="W520" s="31" t="n"/>
      <c r="X520" s="31" t="n"/>
      <c r="Y520" s="31" t="n"/>
      <c r="Z520" s="31" t="n"/>
    </row>
    <row r="521" ht="14.25" customHeight="1">
      <c r="A521" s="31" t="n"/>
      <c r="D521" s="161" t="n"/>
      <c r="E521" s="161" t="n"/>
      <c r="Q521" s="31" t="n"/>
      <c r="R521" s="31" t="n"/>
      <c r="S521" s="31" t="n"/>
      <c r="T521" s="31" t="n"/>
      <c r="U521" s="31" t="n"/>
      <c r="V521" s="31" t="n"/>
      <c r="W521" s="31" t="n"/>
      <c r="X521" s="31" t="n"/>
      <c r="Y521" s="31" t="n"/>
      <c r="Z521" s="31" t="n"/>
    </row>
    <row r="522" ht="14.25" customHeight="1">
      <c r="A522" s="31" t="n"/>
      <c r="D522" s="161" t="n"/>
      <c r="E522" s="161" t="n"/>
      <c r="Q522" s="31" t="n"/>
      <c r="R522" s="31" t="n"/>
      <c r="S522" s="31" t="n"/>
      <c r="T522" s="31" t="n"/>
      <c r="U522" s="31" t="n"/>
      <c r="V522" s="31" t="n"/>
      <c r="W522" s="31" t="n"/>
      <c r="X522" s="31" t="n"/>
      <c r="Y522" s="31" t="n"/>
      <c r="Z522" s="31" t="n"/>
    </row>
    <row r="523" ht="14.25" customHeight="1">
      <c r="A523" s="31" t="n"/>
      <c r="D523" s="161" t="n"/>
      <c r="E523" s="161" t="n"/>
      <c r="Q523" s="31" t="n"/>
      <c r="R523" s="31" t="n"/>
      <c r="S523" s="31" t="n"/>
      <c r="T523" s="31" t="n"/>
      <c r="U523" s="31" t="n"/>
      <c r="V523" s="31" t="n"/>
      <c r="W523" s="31" t="n"/>
      <c r="X523" s="31" t="n"/>
      <c r="Y523" s="31" t="n"/>
      <c r="Z523" s="31" t="n"/>
    </row>
    <row r="524" ht="14.25" customHeight="1">
      <c r="A524" s="31" t="n"/>
      <c r="D524" s="161" t="n"/>
      <c r="E524" s="161" t="n"/>
      <c r="Q524" s="31" t="n"/>
      <c r="R524" s="31" t="n"/>
      <c r="S524" s="31" t="n"/>
      <c r="T524" s="31" t="n"/>
      <c r="U524" s="31" t="n"/>
      <c r="V524" s="31" t="n"/>
      <c r="W524" s="31" t="n"/>
      <c r="X524" s="31" t="n"/>
      <c r="Y524" s="31" t="n"/>
      <c r="Z524" s="31" t="n"/>
    </row>
    <row r="525" ht="14.25" customHeight="1">
      <c r="A525" s="31" t="n"/>
      <c r="D525" s="161" t="n"/>
      <c r="E525" s="161" t="n"/>
      <c r="Q525" s="31" t="n"/>
      <c r="R525" s="31" t="n"/>
      <c r="S525" s="31" t="n"/>
      <c r="T525" s="31" t="n"/>
      <c r="U525" s="31" t="n"/>
      <c r="V525" s="31" t="n"/>
      <c r="W525" s="31" t="n"/>
      <c r="X525" s="31" t="n"/>
      <c r="Y525" s="31" t="n"/>
      <c r="Z525" s="31" t="n"/>
    </row>
    <row r="526" ht="14.25" customHeight="1">
      <c r="A526" s="31" t="n"/>
      <c r="D526" s="161" t="n"/>
      <c r="E526" s="161" t="n"/>
      <c r="Q526" s="31" t="n"/>
      <c r="R526" s="31" t="n"/>
      <c r="S526" s="31" t="n"/>
      <c r="T526" s="31" t="n"/>
      <c r="U526" s="31" t="n"/>
      <c r="V526" s="31" t="n"/>
      <c r="W526" s="31" t="n"/>
      <c r="X526" s="31" t="n"/>
      <c r="Y526" s="31" t="n"/>
      <c r="Z526" s="31" t="n"/>
    </row>
    <row r="527" ht="14.25" customHeight="1">
      <c r="A527" s="31" t="n"/>
      <c r="D527" s="161" t="n"/>
      <c r="E527" s="161" t="n"/>
      <c r="Q527" s="31" t="n"/>
      <c r="R527" s="31" t="n"/>
      <c r="S527" s="31" t="n"/>
      <c r="T527" s="31" t="n"/>
      <c r="U527" s="31" t="n"/>
      <c r="V527" s="31" t="n"/>
      <c r="W527" s="31" t="n"/>
      <c r="X527" s="31" t="n"/>
      <c r="Y527" s="31" t="n"/>
      <c r="Z527" s="31" t="n"/>
    </row>
    <row r="528" ht="14.25" customHeight="1">
      <c r="A528" s="31" t="n"/>
      <c r="D528" s="161" t="n"/>
      <c r="E528" s="161" t="n"/>
      <c r="Q528" s="31" t="n"/>
      <c r="R528" s="31" t="n"/>
      <c r="S528" s="31" t="n"/>
      <c r="T528" s="31" t="n"/>
      <c r="U528" s="31" t="n"/>
      <c r="V528" s="31" t="n"/>
      <c r="W528" s="31" t="n"/>
      <c r="X528" s="31" t="n"/>
      <c r="Y528" s="31" t="n"/>
      <c r="Z528" s="31" t="n"/>
    </row>
    <row r="529" ht="14.25" customHeight="1">
      <c r="A529" s="31" t="n"/>
      <c r="D529" s="161" t="n"/>
      <c r="E529" s="161" t="n"/>
      <c r="Q529" s="31" t="n"/>
      <c r="R529" s="31" t="n"/>
      <c r="S529" s="31" t="n"/>
      <c r="T529" s="31" t="n"/>
      <c r="U529" s="31" t="n"/>
      <c r="V529" s="31" t="n"/>
      <c r="W529" s="31" t="n"/>
      <c r="X529" s="31" t="n"/>
      <c r="Y529" s="31" t="n"/>
      <c r="Z529" s="31" t="n"/>
    </row>
    <row r="530" ht="14.25" customHeight="1">
      <c r="A530" s="31" t="n"/>
      <c r="D530" s="161" t="n"/>
      <c r="E530" s="161" t="n"/>
      <c r="Q530" s="31" t="n"/>
      <c r="R530" s="31" t="n"/>
      <c r="S530" s="31" t="n"/>
      <c r="T530" s="31" t="n"/>
      <c r="U530" s="31" t="n"/>
      <c r="V530" s="31" t="n"/>
      <c r="W530" s="31" t="n"/>
      <c r="X530" s="31" t="n"/>
      <c r="Y530" s="31" t="n"/>
      <c r="Z530" s="31" t="n"/>
    </row>
    <row r="531" ht="14.25" customHeight="1">
      <c r="A531" s="31" t="n"/>
      <c r="D531" s="161" t="n"/>
      <c r="E531" s="161" t="n"/>
      <c r="Q531" s="31" t="n"/>
      <c r="R531" s="31" t="n"/>
      <c r="S531" s="31" t="n"/>
      <c r="T531" s="31" t="n"/>
      <c r="U531" s="31" t="n"/>
      <c r="V531" s="31" t="n"/>
      <c r="W531" s="31" t="n"/>
      <c r="X531" s="31" t="n"/>
      <c r="Y531" s="31" t="n"/>
      <c r="Z531" s="31" t="n"/>
    </row>
    <row r="532" ht="14.25" customHeight="1">
      <c r="A532" s="31" t="n"/>
      <c r="D532" s="161" t="n"/>
      <c r="E532" s="161" t="n"/>
      <c r="Q532" s="31" t="n"/>
      <c r="R532" s="31" t="n"/>
      <c r="S532" s="31" t="n"/>
      <c r="T532" s="31" t="n"/>
      <c r="U532" s="31" t="n"/>
      <c r="V532" s="31" t="n"/>
      <c r="W532" s="31" t="n"/>
      <c r="X532" s="31" t="n"/>
      <c r="Y532" s="31" t="n"/>
      <c r="Z532" s="31" t="n"/>
    </row>
    <row r="533" ht="14.25" customHeight="1">
      <c r="A533" s="31" t="n"/>
      <c r="D533" s="161" t="n"/>
      <c r="E533" s="161" t="n"/>
      <c r="Q533" s="31" t="n"/>
      <c r="R533" s="31" t="n"/>
      <c r="S533" s="31" t="n"/>
      <c r="T533" s="31" t="n"/>
      <c r="U533" s="31" t="n"/>
      <c r="V533" s="31" t="n"/>
      <c r="W533" s="31" t="n"/>
      <c r="X533" s="31" t="n"/>
      <c r="Y533" s="31" t="n"/>
      <c r="Z533" s="31" t="n"/>
    </row>
    <row r="534" ht="14.25" customHeight="1">
      <c r="A534" s="31" t="n"/>
      <c r="D534" s="161" t="n"/>
      <c r="E534" s="161" t="n"/>
      <c r="Q534" s="31" t="n"/>
      <c r="R534" s="31" t="n"/>
      <c r="S534" s="31" t="n"/>
      <c r="T534" s="31" t="n"/>
      <c r="U534" s="31" t="n"/>
      <c r="V534" s="31" t="n"/>
      <c r="W534" s="31" t="n"/>
      <c r="X534" s="31" t="n"/>
      <c r="Y534" s="31" t="n"/>
      <c r="Z534" s="31" t="n"/>
    </row>
    <row r="535" ht="14.25" customHeight="1">
      <c r="A535" s="31" t="n"/>
      <c r="D535" s="161" t="n"/>
      <c r="E535" s="161" t="n"/>
      <c r="Q535" s="31" t="n"/>
      <c r="R535" s="31" t="n"/>
      <c r="S535" s="31" t="n"/>
      <c r="T535" s="31" t="n"/>
      <c r="U535" s="31" t="n"/>
      <c r="V535" s="31" t="n"/>
      <c r="W535" s="31" t="n"/>
      <c r="X535" s="31" t="n"/>
      <c r="Y535" s="31" t="n"/>
      <c r="Z535" s="31" t="n"/>
    </row>
    <row r="536" ht="14.25" customHeight="1">
      <c r="A536" s="31" t="n"/>
      <c r="D536" s="161" t="n"/>
      <c r="E536" s="161" t="n"/>
      <c r="Q536" s="31" t="n"/>
      <c r="R536" s="31" t="n"/>
      <c r="S536" s="31" t="n"/>
      <c r="T536" s="31" t="n"/>
      <c r="U536" s="31" t="n"/>
      <c r="V536" s="31" t="n"/>
      <c r="W536" s="31" t="n"/>
      <c r="X536" s="31" t="n"/>
      <c r="Y536" s="31" t="n"/>
      <c r="Z536" s="31" t="n"/>
    </row>
    <row r="537" ht="14.25" customHeight="1">
      <c r="A537" s="31" t="n"/>
      <c r="D537" s="161" t="n"/>
      <c r="E537" s="161" t="n"/>
      <c r="Q537" s="31" t="n"/>
      <c r="R537" s="31" t="n"/>
      <c r="S537" s="31" t="n"/>
      <c r="T537" s="31" t="n"/>
      <c r="U537" s="31" t="n"/>
      <c r="V537" s="31" t="n"/>
      <c r="W537" s="31" t="n"/>
      <c r="X537" s="31" t="n"/>
      <c r="Y537" s="31" t="n"/>
      <c r="Z537" s="31" t="n"/>
    </row>
    <row r="538" ht="14.25" customHeight="1">
      <c r="A538" s="31" t="n"/>
      <c r="D538" s="161" t="n"/>
      <c r="E538" s="161" t="n"/>
      <c r="Q538" s="31" t="n"/>
      <c r="R538" s="31" t="n"/>
      <c r="S538" s="31" t="n"/>
      <c r="T538" s="31" t="n"/>
      <c r="U538" s="31" t="n"/>
      <c r="V538" s="31" t="n"/>
      <c r="W538" s="31" t="n"/>
      <c r="X538" s="31" t="n"/>
      <c r="Y538" s="31" t="n"/>
      <c r="Z538" s="31" t="n"/>
    </row>
    <row r="539" ht="14.25" customHeight="1">
      <c r="A539" s="31" t="n"/>
      <c r="D539" s="161" t="n"/>
      <c r="E539" s="161" t="n"/>
      <c r="Q539" s="31" t="n"/>
      <c r="R539" s="31" t="n"/>
      <c r="S539" s="31" t="n"/>
      <c r="T539" s="31" t="n"/>
      <c r="U539" s="31" t="n"/>
      <c r="V539" s="31" t="n"/>
      <c r="W539" s="31" t="n"/>
      <c r="X539" s="31" t="n"/>
      <c r="Y539" s="31" t="n"/>
      <c r="Z539" s="31" t="n"/>
    </row>
    <row r="540" ht="14.25" customHeight="1">
      <c r="A540" s="31" t="n"/>
      <c r="D540" s="161" t="n"/>
      <c r="E540" s="161" t="n"/>
      <c r="Q540" s="31" t="n"/>
      <c r="R540" s="31" t="n"/>
      <c r="S540" s="31" t="n"/>
      <c r="T540" s="31" t="n"/>
      <c r="U540" s="31" t="n"/>
      <c r="V540" s="31" t="n"/>
      <c r="W540" s="31" t="n"/>
      <c r="X540" s="31" t="n"/>
      <c r="Y540" s="31" t="n"/>
      <c r="Z540" s="31" t="n"/>
    </row>
    <row r="541" ht="14.25" customHeight="1">
      <c r="A541" s="31" t="n"/>
      <c r="D541" s="161" t="n"/>
      <c r="E541" s="161" t="n"/>
      <c r="Q541" s="31" t="n"/>
      <c r="R541" s="31" t="n"/>
      <c r="S541" s="31" t="n"/>
      <c r="T541" s="31" t="n"/>
      <c r="U541" s="31" t="n"/>
      <c r="V541" s="31" t="n"/>
      <c r="W541" s="31" t="n"/>
      <c r="X541" s="31" t="n"/>
      <c r="Y541" s="31" t="n"/>
      <c r="Z541" s="31" t="n"/>
    </row>
    <row r="542" ht="14.25" customHeight="1">
      <c r="A542" s="31" t="n"/>
      <c r="D542" s="161" t="n"/>
      <c r="E542" s="161" t="n"/>
      <c r="Q542" s="31" t="n"/>
      <c r="R542" s="31" t="n"/>
      <c r="S542" s="31" t="n"/>
      <c r="T542" s="31" t="n"/>
      <c r="U542" s="31" t="n"/>
      <c r="V542" s="31" t="n"/>
      <c r="W542" s="31" t="n"/>
      <c r="X542" s="31" t="n"/>
      <c r="Y542" s="31" t="n"/>
      <c r="Z542" s="31" t="n"/>
    </row>
    <row r="543" ht="14.25" customHeight="1">
      <c r="A543" s="31" t="n"/>
      <c r="D543" s="161" t="n"/>
      <c r="E543" s="161" t="n"/>
      <c r="Q543" s="31" t="n"/>
      <c r="R543" s="31" t="n"/>
      <c r="S543" s="31" t="n"/>
      <c r="T543" s="31" t="n"/>
      <c r="U543" s="31" t="n"/>
      <c r="V543" s="31" t="n"/>
      <c r="W543" s="31" t="n"/>
      <c r="X543" s="31" t="n"/>
      <c r="Y543" s="31" t="n"/>
      <c r="Z543" s="31" t="n"/>
    </row>
    <row r="544" ht="14.25" customHeight="1">
      <c r="A544" s="31" t="n"/>
      <c r="D544" s="161" t="n"/>
      <c r="E544" s="161" t="n"/>
      <c r="Q544" s="31" t="n"/>
      <c r="R544" s="31" t="n"/>
      <c r="S544" s="31" t="n"/>
      <c r="T544" s="31" t="n"/>
      <c r="U544" s="31" t="n"/>
      <c r="V544" s="31" t="n"/>
      <c r="W544" s="31" t="n"/>
      <c r="X544" s="31" t="n"/>
      <c r="Y544" s="31" t="n"/>
      <c r="Z544" s="31" t="n"/>
    </row>
    <row r="545" ht="14.25" customHeight="1">
      <c r="A545" s="31" t="n"/>
      <c r="D545" s="161" t="n"/>
      <c r="E545" s="161" t="n"/>
      <c r="Q545" s="31" t="n"/>
      <c r="R545" s="31" t="n"/>
      <c r="S545" s="31" t="n"/>
      <c r="T545" s="31" t="n"/>
      <c r="U545" s="31" t="n"/>
      <c r="V545" s="31" t="n"/>
      <c r="W545" s="31" t="n"/>
      <c r="X545" s="31" t="n"/>
      <c r="Y545" s="31" t="n"/>
      <c r="Z545" s="31" t="n"/>
    </row>
    <row r="546" ht="14.25" customHeight="1">
      <c r="A546" s="31" t="n"/>
      <c r="D546" s="161" t="n"/>
      <c r="E546" s="161" t="n"/>
      <c r="Q546" s="31" t="n"/>
      <c r="R546" s="31" t="n"/>
      <c r="S546" s="31" t="n"/>
      <c r="T546" s="31" t="n"/>
      <c r="U546" s="31" t="n"/>
      <c r="V546" s="31" t="n"/>
      <c r="W546" s="31" t="n"/>
      <c r="X546" s="31" t="n"/>
      <c r="Y546" s="31" t="n"/>
      <c r="Z546" s="31" t="n"/>
    </row>
    <row r="547" ht="14.25" customHeight="1">
      <c r="A547" s="31" t="n"/>
      <c r="D547" s="161" t="n"/>
      <c r="E547" s="161" t="n"/>
      <c r="Q547" s="31" t="n"/>
      <c r="R547" s="31" t="n"/>
      <c r="S547" s="31" t="n"/>
      <c r="T547" s="31" t="n"/>
      <c r="U547" s="31" t="n"/>
      <c r="V547" s="31" t="n"/>
      <c r="W547" s="31" t="n"/>
      <c r="X547" s="31" t="n"/>
      <c r="Y547" s="31" t="n"/>
      <c r="Z547" s="31" t="n"/>
    </row>
    <row r="548" ht="14.25" customHeight="1">
      <c r="A548" s="31" t="n"/>
      <c r="D548" s="161" t="n"/>
      <c r="E548" s="161" t="n"/>
      <c r="Q548" s="31" t="n"/>
      <c r="R548" s="31" t="n"/>
      <c r="S548" s="31" t="n"/>
      <c r="T548" s="31" t="n"/>
      <c r="U548" s="31" t="n"/>
      <c r="V548" s="31" t="n"/>
      <c r="W548" s="31" t="n"/>
      <c r="X548" s="31" t="n"/>
      <c r="Y548" s="31" t="n"/>
      <c r="Z548" s="31" t="n"/>
    </row>
    <row r="549" ht="14.25" customHeight="1">
      <c r="A549" s="31" t="n"/>
      <c r="D549" s="161" t="n"/>
      <c r="E549" s="161" t="n"/>
      <c r="Q549" s="31" t="n"/>
      <c r="R549" s="31" t="n"/>
      <c r="S549" s="31" t="n"/>
      <c r="T549" s="31" t="n"/>
      <c r="U549" s="31" t="n"/>
      <c r="V549" s="31" t="n"/>
      <c r="W549" s="31" t="n"/>
      <c r="X549" s="31" t="n"/>
      <c r="Y549" s="31" t="n"/>
      <c r="Z549" s="31" t="n"/>
    </row>
    <row r="550" ht="14.25" customHeight="1">
      <c r="A550" s="31" t="n"/>
      <c r="D550" s="161" t="n"/>
      <c r="E550" s="161" t="n"/>
      <c r="Q550" s="31" t="n"/>
      <c r="R550" s="31" t="n"/>
      <c r="S550" s="31" t="n"/>
      <c r="T550" s="31" t="n"/>
      <c r="U550" s="31" t="n"/>
      <c r="V550" s="31" t="n"/>
      <c r="W550" s="31" t="n"/>
      <c r="X550" s="31" t="n"/>
      <c r="Y550" s="31" t="n"/>
      <c r="Z550" s="31" t="n"/>
    </row>
    <row r="551" ht="14.25" customHeight="1">
      <c r="A551" s="31" t="n"/>
      <c r="D551" s="161" t="n"/>
      <c r="E551" s="161" t="n"/>
      <c r="Q551" s="31" t="n"/>
      <c r="R551" s="31" t="n"/>
      <c r="S551" s="31" t="n"/>
      <c r="T551" s="31" t="n"/>
      <c r="U551" s="31" t="n"/>
      <c r="V551" s="31" t="n"/>
      <c r="W551" s="31" t="n"/>
      <c r="X551" s="31" t="n"/>
      <c r="Y551" s="31" t="n"/>
      <c r="Z551" s="31" t="n"/>
    </row>
    <row r="552" ht="14.25" customHeight="1">
      <c r="A552" s="31" t="n"/>
      <c r="D552" s="161" t="n"/>
      <c r="E552" s="161" t="n"/>
      <c r="Q552" s="31" t="n"/>
      <c r="R552" s="31" t="n"/>
      <c r="S552" s="31" t="n"/>
      <c r="T552" s="31" t="n"/>
      <c r="U552" s="31" t="n"/>
      <c r="V552" s="31" t="n"/>
      <c r="W552" s="31" t="n"/>
      <c r="X552" s="31" t="n"/>
      <c r="Y552" s="31" t="n"/>
      <c r="Z552" s="31" t="n"/>
    </row>
    <row r="553" ht="14.25" customHeight="1">
      <c r="A553" s="31" t="n"/>
      <c r="D553" s="161" t="n"/>
      <c r="E553" s="161" t="n"/>
      <c r="Q553" s="31" t="n"/>
      <c r="R553" s="31" t="n"/>
      <c r="S553" s="31" t="n"/>
      <c r="T553" s="31" t="n"/>
      <c r="U553" s="31" t="n"/>
      <c r="V553" s="31" t="n"/>
      <c r="W553" s="31" t="n"/>
      <c r="X553" s="31" t="n"/>
      <c r="Y553" s="31" t="n"/>
      <c r="Z553" s="31" t="n"/>
    </row>
    <row r="554" ht="14.25" customHeight="1">
      <c r="A554" s="31" t="n"/>
      <c r="D554" s="161" t="n"/>
      <c r="E554" s="161" t="n"/>
      <c r="Q554" s="31" t="n"/>
      <c r="R554" s="31" t="n"/>
      <c r="S554" s="31" t="n"/>
      <c r="T554" s="31" t="n"/>
      <c r="U554" s="31" t="n"/>
      <c r="V554" s="31" t="n"/>
      <c r="W554" s="31" t="n"/>
      <c r="X554" s="31" t="n"/>
      <c r="Y554" s="31" t="n"/>
      <c r="Z554" s="31" t="n"/>
    </row>
    <row r="555" ht="14.25" customHeight="1">
      <c r="A555" s="31" t="n"/>
      <c r="D555" s="161" t="n"/>
      <c r="E555" s="161" t="n"/>
      <c r="Q555" s="31" t="n"/>
      <c r="R555" s="31" t="n"/>
      <c r="S555" s="31" t="n"/>
      <c r="T555" s="31" t="n"/>
      <c r="U555" s="31" t="n"/>
      <c r="V555" s="31" t="n"/>
      <c r="W555" s="31" t="n"/>
      <c r="X555" s="31" t="n"/>
      <c r="Y555" s="31" t="n"/>
      <c r="Z555" s="31" t="n"/>
    </row>
    <row r="556" ht="14.25" customHeight="1">
      <c r="A556" s="31" t="n"/>
      <c r="D556" s="161" t="n"/>
      <c r="E556" s="161" t="n"/>
      <c r="Q556" s="31" t="n"/>
      <c r="R556" s="31" t="n"/>
      <c r="S556" s="31" t="n"/>
      <c r="T556" s="31" t="n"/>
      <c r="U556" s="31" t="n"/>
      <c r="V556" s="31" t="n"/>
      <c r="W556" s="31" t="n"/>
      <c r="X556" s="31" t="n"/>
      <c r="Y556" s="31" t="n"/>
      <c r="Z556" s="31" t="n"/>
    </row>
    <row r="557" ht="14.25" customHeight="1">
      <c r="A557" s="31" t="n"/>
      <c r="D557" s="161" t="n"/>
      <c r="E557" s="161" t="n"/>
      <c r="Q557" s="31" t="n"/>
      <c r="R557" s="31" t="n"/>
      <c r="S557" s="31" t="n"/>
      <c r="T557" s="31" t="n"/>
      <c r="U557" s="31" t="n"/>
      <c r="V557" s="31" t="n"/>
      <c r="W557" s="31" t="n"/>
      <c r="X557" s="31" t="n"/>
      <c r="Y557" s="31" t="n"/>
      <c r="Z557" s="31" t="n"/>
    </row>
    <row r="558" ht="14.25" customHeight="1">
      <c r="A558" s="31" t="n"/>
      <c r="D558" s="161" t="n"/>
      <c r="E558" s="161" t="n"/>
      <c r="Q558" s="31" t="n"/>
      <c r="R558" s="31" t="n"/>
      <c r="S558" s="31" t="n"/>
      <c r="T558" s="31" t="n"/>
      <c r="U558" s="31" t="n"/>
      <c r="V558" s="31" t="n"/>
      <c r="W558" s="31" t="n"/>
      <c r="X558" s="31" t="n"/>
      <c r="Y558" s="31" t="n"/>
      <c r="Z558" s="31" t="n"/>
    </row>
    <row r="559" ht="14.25" customHeight="1">
      <c r="A559" s="31" t="n"/>
      <c r="D559" s="161" t="n"/>
      <c r="E559" s="161" t="n"/>
      <c r="Q559" s="31" t="n"/>
      <c r="R559" s="31" t="n"/>
      <c r="S559" s="31" t="n"/>
      <c r="T559" s="31" t="n"/>
      <c r="U559" s="31" t="n"/>
      <c r="V559" s="31" t="n"/>
      <c r="W559" s="31" t="n"/>
      <c r="X559" s="31" t="n"/>
      <c r="Y559" s="31" t="n"/>
      <c r="Z559" s="31" t="n"/>
    </row>
    <row r="560" ht="14.25" customHeight="1">
      <c r="A560" s="31" t="n"/>
      <c r="D560" s="161" t="n"/>
      <c r="E560" s="161" t="n"/>
      <c r="Q560" s="31" t="n"/>
      <c r="R560" s="31" t="n"/>
      <c r="S560" s="31" t="n"/>
      <c r="T560" s="31" t="n"/>
      <c r="U560" s="31" t="n"/>
      <c r="V560" s="31" t="n"/>
      <c r="W560" s="31" t="n"/>
      <c r="X560" s="31" t="n"/>
      <c r="Y560" s="31" t="n"/>
      <c r="Z560" s="31" t="n"/>
    </row>
    <row r="561" ht="14.25" customHeight="1">
      <c r="A561" s="31" t="n"/>
      <c r="D561" s="161" t="n"/>
      <c r="E561" s="161" t="n"/>
      <c r="Q561" s="31" t="n"/>
      <c r="R561" s="31" t="n"/>
      <c r="S561" s="31" t="n"/>
      <c r="T561" s="31" t="n"/>
      <c r="U561" s="31" t="n"/>
      <c r="V561" s="31" t="n"/>
      <c r="W561" s="31" t="n"/>
      <c r="X561" s="31" t="n"/>
      <c r="Y561" s="31" t="n"/>
      <c r="Z561" s="31" t="n"/>
    </row>
    <row r="562" ht="14.25" customHeight="1">
      <c r="A562" s="31" t="n"/>
      <c r="D562" s="161" t="n"/>
      <c r="E562" s="161" t="n"/>
      <c r="Q562" s="31" t="n"/>
      <c r="R562" s="31" t="n"/>
      <c r="S562" s="31" t="n"/>
      <c r="T562" s="31" t="n"/>
      <c r="U562" s="31" t="n"/>
      <c r="V562" s="31" t="n"/>
      <c r="W562" s="31" t="n"/>
      <c r="X562" s="31" t="n"/>
      <c r="Y562" s="31" t="n"/>
      <c r="Z562" s="31" t="n"/>
    </row>
    <row r="563" ht="14.25" customHeight="1">
      <c r="A563" s="31" t="n"/>
      <c r="D563" s="161" t="n"/>
      <c r="E563" s="161" t="n"/>
      <c r="Q563" s="31" t="n"/>
      <c r="R563" s="31" t="n"/>
      <c r="S563" s="31" t="n"/>
      <c r="T563" s="31" t="n"/>
      <c r="U563" s="31" t="n"/>
      <c r="V563" s="31" t="n"/>
      <c r="W563" s="31" t="n"/>
      <c r="X563" s="31" t="n"/>
      <c r="Y563" s="31" t="n"/>
      <c r="Z563" s="31" t="n"/>
    </row>
    <row r="564" ht="14.25" customHeight="1">
      <c r="A564" s="31" t="n"/>
      <c r="D564" s="161" t="n"/>
      <c r="E564" s="161" t="n"/>
      <c r="Q564" s="31" t="n"/>
      <c r="R564" s="31" t="n"/>
      <c r="S564" s="31" t="n"/>
      <c r="T564" s="31" t="n"/>
      <c r="U564" s="31" t="n"/>
      <c r="V564" s="31" t="n"/>
      <c r="W564" s="31" t="n"/>
      <c r="X564" s="31" t="n"/>
      <c r="Y564" s="31" t="n"/>
      <c r="Z564" s="31" t="n"/>
    </row>
    <row r="565" ht="14.25" customHeight="1">
      <c r="A565" s="31" t="n"/>
      <c r="D565" s="161" t="n"/>
      <c r="E565" s="161" t="n"/>
      <c r="Q565" s="31" t="n"/>
      <c r="R565" s="31" t="n"/>
      <c r="S565" s="31" t="n"/>
      <c r="T565" s="31" t="n"/>
      <c r="U565" s="31" t="n"/>
      <c r="V565" s="31" t="n"/>
      <c r="W565" s="31" t="n"/>
      <c r="X565" s="31" t="n"/>
      <c r="Y565" s="31" t="n"/>
      <c r="Z565" s="31" t="n"/>
    </row>
    <row r="566" ht="14.25" customHeight="1">
      <c r="A566" s="31" t="n"/>
      <c r="D566" s="161" t="n"/>
      <c r="E566" s="161" t="n"/>
      <c r="Q566" s="31" t="n"/>
      <c r="R566" s="31" t="n"/>
      <c r="S566" s="31" t="n"/>
      <c r="T566" s="31" t="n"/>
      <c r="U566" s="31" t="n"/>
      <c r="V566" s="31" t="n"/>
      <c r="W566" s="31" t="n"/>
      <c r="X566" s="31" t="n"/>
      <c r="Y566" s="31" t="n"/>
      <c r="Z566" s="31" t="n"/>
    </row>
    <row r="567" ht="14.25" customHeight="1">
      <c r="A567" s="31" t="n"/>
      <c r="D567" s="161" t="n"/>
      <c r="E567" s="161" t="n"/>
      <c r="Q567" s="31" t="n"/>
      <c r="R567" s="31" t="n"/>
      <c r="S567" s="31" t="n"/>
      <c r="T567" s="31" t="n"/>
      <c r="U567" s="31" t="n"/>
      <c r="V567" s="31" t="n"/>
      <c r="W567" s="31" t="n"/>
      <c r="X567" s="31" t="n"/>
      <c r="Y567" s="31" t="n"/>
      <c r="Z567" s="31" t="n"/>
    </row>
    <row r="568" ht="14.25" customHeight="1">
      <c r="A568" s="31" t="n"/>
      <c r="D568" s="161" t="n"/>
      <c r="E568" s="161" t="n"/>
      <c r="Q568" s="31" t="n"/>
      <c r="R568" s="31" t="n"/>
      <c r="S568" s="31" t="n"/>
      <c r="T568" s="31" t="n"/>
      <c r="U568" s="31" t="n"/>
      <c r="V568" s="31" t="n"/>
      <c r="W568" s="31" t="n"/>
      <c r="X568" s="31" t="n"/>
      <c r="Y568" s="31" t="n"/>
      <c r="Z568" s="31" t="n"/>
    </row>
    <row r="569" ht="14.25" customHeight="1">
      <c r="A569" s="31" t="n"/>
      <c r="D569" s="161" t="n"/>
      <c r="E569" s="161" t="n"/>
      <c r="Q569" s="31" t="n"/>
      <c r="R569" s="31" t="n"/>
      <c r="S569" s="31" t="n"/>
      <c r="T569" s="31" t="n"/>
      <c r="U569" s="31" t="n"/>
      <c r="V569" s="31" t="n"/>
      <c r="W569" s="31" t="n"/>
      <c r="X569" s="31" t="n"/>
      <c r="Y569" s="31" t="n"/>
      <c r="Z569" s="31" t="n"/>
    </row>
    <row r="570" ht="14.25" customHeight="1">
      <c r="A570" s="31" t="n"/>
      <c r="D570" s="161" t="n"/>
      <c r="E570" s="161" t="n"/>
      <c r="Q570" s="31" t="n"/>
      <c r="R570" s="31" t="n"/>
      <c r="S570" s="31" t="n"/>
      <c r="T570" s="31" t="n"/>
      <c r="U570" s="31" t="n"/>
      <c r="V570" s="31" t="n"/>
      <c r="W570" s="31" t="n"/>
      <c r="X570" s="31" t="n"/>
      <c r="Y570" s="31" t="n"/>
      <c r="Z570" s="31" t="n"/>
    </row>
    <row r="571" ht="14.25" customHeight="1">
      <c r="A571" s="31" t="n"/>
      <c r="D571" s="161" t="n"/>
      <c r="E571" s="161" t="n"/>
      <c r="Q571" s="31" t="n"/>
      <c r="R571" s="31" t="n"/>
      <c r="S571" s="31" t="n"/>
      <c r="T571" s="31" t="n"/>
      <c r="U571" s="31" t="n"/>
      <c r="V571" s="31" t="n"/>
      <c r="W571" s="31" t="n"/>
      <c r="X571" s="31" t="n"/>
      <c r="Y571" s="31" t="n"/>
      <c r="Z571" s="31" t="n"/>
    </row>
    <row r="572" ht="14.25" customHeight="1">
      <c r="A572" s="31" t="n"/>
      <c r="D572" s="161" t="n"/>
      <c r="E572" s="161" t="n"/>
      <c r="Q572" s="31" t="n"/>
      <c r="R572" s="31" t="n"/>
      <c r="S572" s="31" t="n"/>
      <c r="T572" s="31" t="n"/>
      <c r="U572" s="31" t="n"/>
      <c r="V572" s="31" t="n"/>
      <c r="W572" s="31" t="n"/>
      <c r="X572" s="31" t="n"/>
      <c r="Y572" s="31" t="n"/>
      <c r="Z572" s="31" t="n"/>
    </row>
    <row r="573" ht="14.25" customHeight="1">
      <c r="A573" s="31" t="n"/>
      <c r="D573" s="161" t="n"/>
      <c r="E573" s="161" t="n"/>
      <c r="Q573" s="31" t="n"/>
      <c r="R573" s="31" t="n"/>
      <c r="S573" s="31" t="n"/>
      <c r="T573" s="31" t="n"/>
      <c r="U573" s="31" t="n"/>
      <c r="V573" s="31" t="n"/>
      <c r="W573" s="31" t="n"/>
      <c r="X573" s="31" t="n"/>
      <c r="Y573" s="31" t="n"/>
      <c r="Z573" s="31" t="n"/>
    </row>
    <row r="574" ht="14.25" customHeight="1">
      <c r="A574" s="31" t="n"/>
      <c r="D574" s="161" t="n"/>
      <c r="E574" s="161" t="n"/>
      <c r="Q574" s="31" t="n"/>
      <c r="R574" s="31" t="n"/>
      <c r="S574" s="31" t="n"/>
      <c r="T574" s="31" t="n"/>
      <c r="U574" s="31" t="n"/>
      <c r="V574" s="31" t="n"/>
      <c r="W574" s="31" t="n"/>
      <c r="X574" s="31" t="n"/>
      <c r="Y574" s="31" t="n"/>
      <c r="Z574" s="31" t="n"/>
    </row>
    <row r="575" ht="14.25" customHeight="1">
      <c r="A575" s="31" t="n"/>
      <c r="D575" s="161" t="n"/>
      <c r="E575" s="161" t="n"/>
      <c r="Q575" s="31" t="n"/>
      <c r="R575" s="31" t="n"/>
      <c r="S575" s="31" t="n"/>
      <c r="T575" s="31" t="n"/>
      <c r="U575" s="31" t="n"/>
      <c r="V575" s="31" t="n"/>
      <c r="W575" s="31" t="n"/>
      <c r="X575" s="31" t="n"/>
      <c r="Y575" s="31" t="n"/>
      <c r="Z575" s="31" t="n"/>
    </row>
    <row r="576" ht="14.25" customHeight="1">
      <c r="A576" s="31" t="n"/>
      <c r="D576" s="161" t="n"/>
      <c r="E576" s="161" t="n"/>
      <c r="Q576" s="31" t="n"/>
      <c r="R576" s="31" t="n"/>
      <c r="S576" s="31" t="n"/>
      <c r="T576" s="31" t="n"/>
      <c r="U576" s="31" t="n"/>
      <c r="V576" s="31" t="n"/>
      <c r="W576" s="31" t="n"/>
      <c r="X576" s="31" t="n"/>
      <c r="Y576" s="31" t="n"/>
      <c r="Z576" s="31" t="n"/>
    </row>
    <row r="577" ht="14.25" customHeight="1">
      <c r="A577" s="31" t="n"/>
      <c r="D577" s="161" t="n"/>
      <c r="E577" s="161" t="n"/>
      <c r="Q577" s="31" t="n"/>
      <c r="R577" s="31" t="n"/>
      <c r="S577" s="31" t="n"/>
      <c r="T577" s="31" t="n"/>
      <c r="U577" s="31" t="n"/>
      <c r="V577" s="31" t="n"/>
      <c r="W577" s="31" t="n"/>
      <c r="X577" s="31" t="n"/>
      <c r="Y577" s="31" t="n"/>
      <c r="Z577" s="31" t="n"/>
    </row>
    <row r="578" ht="14.25" customHeight="1">
      <c r="A578" s="31" t="n"/>
      <c r="D578" s="161" t="n"/>
      <c r="E578" s="161" t="n"/>
      <c r="Q578" s="31" t="n"/>
      <c r="R578" s="31" t="n"/>
      <c r="S578" s="31" t="n"/>
      <c r="T578" s="31" t="n"/>
      <c r="U578" s="31" t="n"/>
      <c r="V578" s="31" t="n"/>
      <c r="W578" s="31" t="n"/>
      <c r="X578" s="31" t="n"/>
      <c r="Y578" s="31" t="n"/>
      <c r="Z578" s="31" t="n"/>
    </row>
    <row r="579" ht="14.25" customHeight="1">
      <c r="A579" s="31" t="n"/>
      <c r="D579" s="161" t="n"/>
      <c r="E579" s="161" t="n"/>
      <c r="Q579" s="31" t="n"/>
      <c r="R579" s="31" t="n"/>
      <c r="S579" s="31" t="n"/>
      <c r="T579" s="31" t="n"/>
      <c r="U579" s="31" t="n"/>
      <c r="V579" s="31" t="n"/>
      <c r="W579" s="31" t="n"/>
      <c r="X579" s="31" t="n"/>
      <c r="Y579" s="31" t="n"/>
      <c r="Z579" s="31" t="n"/>
    </row>
    <row r="580" ht="14.25" customHeight="1">
      <c r="A580" s="31" t="n"/>
      <c r="D580" s="161" t="n"/>
      <c r="E580" s="161" t="n"/>
      <c r="Q580" s="31" t="n"/>
      <c r="R580" s="31" t="n"/>
      <c r="S580" s="31" t="n"/>
      <c r="T580" s="31" t="n"/>
      <c r="U580" s="31" t="n"/>
      <c r="V580" s="31" t="n"/>
      <c r="W580" s="31" t="n"/>
      <c r="X580" s="31" t="n"/>
      <c r="Y580" s="31" t="n"/>
      <c r="Z580" s="31" t="n"/>
    </row>
    <row r="581" ht="14.25" customHeight="1">
      <c r="A581" s="31" t="n"/>
      <c r="D581" s="161" t="n"/>
      <c r="E581" s="161" t="n"/>
      <c r="Q581" s="31" t="n"/>
      <c r="R581" s="31" t="n"/>
      <c r="S581" s="31" t="n"/>
      <c r="T581" s="31" t="n"/>
      <c r="U581" s="31" t="n"/>
      <c r="V581" s="31" t="n"/>
      <c r="W581" s="31" t="n"/>
      <c r="X581" s="31" t="n"/>
      <c r="Y581" s="31" t="n"/>
      <c r="Z581" s="31" t="n"/>
    </row>
    <row r="582" ht="14.25" customHeight="1">
      <c r="A582" s="31" t="n"/>
      <c r="D582" s="161" t="n"/>
      <c r="E582" s="161" t="n"/>
      <c r="Q582" s="31" t="n"/>
      <c r="R582" s="31" t="n"/>
      <c r="S582" s="31" t="n"/>
      <c r="T582" s="31" t="n"/>
      <c r="U582" s="31" t="n"/>
      <c r="V582" s="31" t="n"/>
      <c r="W582" s="31" t="n"/>
      <c r="X582" s="31" t="n"/>
      <c r="Y582" s="31" t="n"/>
      <c r="Z582" s="31" t="n"/>
    </row>
    <row r="583" ht="14.25" customHeight="1">
      <c r="A583" s="31" t="n"/>
      <c r="D583" s="161" t="n"/>
      <c r="E583" s="161" t="n"/>
      <c r="Q583" s="31" t="n"/>
      <c r="R583" s="31" t="n"/>
      <c r="S583" s="31" t="n"/>
      <c r="T583" s="31" t="n"/>
      <c r="U583" s="31" t="n"/>
      <c r="V583" s="31" t="n"/>
      <c r="W583" s="31" t="n"/>
      <c r="X583" s="31" t="n"/>
      <c r="Y583" s="31" t="n"/>
      <c r="Z583" s="31" t="n"/>
    </row>
    <row r="584" ht="14.25" customHeight="1">
      <c r="A584" s="31" t="n"/>
      <c r="D584" s="161" t="n"/>
      <c r="E584" s="161" t="n"/>
      <c r="Q584" s="31" t="n"/>
      <c r="R584" s="31" t="n"/>
      <c r="S584" s="31" t="n"/>
      <c r="T584" s="31" t="n"/>
      <c r="U584" s="31" t="n"/>
      <c r="V584" s="31" t="n"/>
      <c r="W584" s="31" t="n"/>
      <c r="X584" s="31" t="n"/>
      <c r="Y584" s="31" t="n"/>
      <c r="Z584" s="31" t="n"/>
    </row>
    <row r="585" ht="14.25" customHeight="1">
      <c r="A585" s="31" t="n"/>
      <c r="D585" s="161" t="n"/>
      <c r="E585" s="161" t="n"/>
      <c r="Q585" s="31" t="n"/>
      <c r="R585" s="31" t="n"/>
      <c r="S585" s="31" t="n"/>
      <c r="T585" s="31" t="n"/>
      <c r="U585" s="31" t="n"/>
      <c r="V585" s="31" t="n"/>
      <c r="W585" s="31" t="n"/>
      <c r="X585" s="31" t="n"/>
      <c r="Y585" s="31" t="n"/>
      <c r="Z585" s="31" t="n"/>
    </row>
    <row r="586" ht="14.25" customHeight="1">
      <c r="A586" s="31" t="n"/>
      <c r="D586" s="161" t="n"/>
      <c r="E586" s="161" t="n"/>
      <c r="Q586" s="31" t="n"/>
      <c r="R586" s="31" t="n"/>
      <c r="S586" s="31" t="n"/>
      <c r="T586" s="31" t="n"/>
      <c r="U586" s="31" t="n"/>
      <c r="V586" s="31" t="n"/>
      <c r="W586" s="31" t="n"/>
      <c r="X586" s="31" t="n"/>
      <c r="Y586" s="31" t="n"/>
      <c r="Z586" s="31" t="n"/>
    </row>
    <row r="587" ht="14.25" customHeight="1">
      <c r="A587" s="31" t="n"/>
      <c r="D587" s="161" t="n"/>
      <c r="E587" s="161" t="n"/>
      <c r="Q587" s="31" t="n"/>
      <c r="R587" s="31" t="n"/>
      <c r="S587" s="31" t="n"/>
      <c r="T587" s="31" t="n"/>
      <c r="U587" s="31" t="n"/>
      <c r="V587" s="31" t="n"/>
      <c r="W587" s="31" t="n"/>
      <c r="X587" s="31" t="n"/>
      <c r="Y587" s="31" t="n"/>
      <c r="Z587" s="31" t="n"/>
    </row>
    <row r="588" ht="14.25" customHeight="1">
      <c r="A588" s="31" t="n"/>
      <c r="D588" s="161" t="n"/>
      <c r="E588" s="161" t="n"/>
      <c r="Q588" s="31" t="n"/>
      <c r="R588" s="31" t="n"/>
      <c r="S588" s="31" t="n"/>
      <c r="T588" s="31" t="n"/>
      <c r="U588" s="31" t="n"/>
      <c r="V588" s="31" t="n"/>
      <c r="W588" s="31" t="n"/>
      <c r="X588" s="31" t="n"/>
      <c r="Y588" s="31" t="n"/>
      <c r="Z588" s="31" t="n"/>
    </row>
    <row r="589" ht="14.25" customHeight="1">
      <c r="A589" s="31" t="n"/>
      <c r="D589" s="161" t="n"/>
      <c r="E589" s="161" t="n"/>
      <c r="Q589" s="31" t="n"/>
      <c r="R589" s="31" t="n"/>
      <c r="S589" s="31" t="n"/>
      <c r="T589" s="31" t="n"/>
      <c r="U589" s="31" t="n"/>
      <c r="V589" s="31" t="n"/>
      <c r="W589" s="31" t="n"/>
      <c r="X589" s="31" t="n"/>
      <c r="Y589" s="31" t="n"/>
      <c r="Z589" s="31" t="n"/>
    </row>
    <row r="590" ht="14.25" customHeight="1">
      <c r="A590" s="31" t="n"/>
      <c r="D590" s="161" t="n"/>
      <c r="E590" s="161" t="n"/>
      <c r="Q590" s="31" t="n"/>
      <c r="R590" s="31" t="n"/>
      <c r="S590" s="31" t="n"/>
      <c r="T590" s="31" t="n"/>
      <c r="U590" s="31" t="n"/>
      <c r="V590" s="31" t="n"/>
      <c r="W590" s="31" t="n"/>
      <c r="X590" s="31" t="n"/>
      <c r="Y590" s="31" t="n"/>
      <c r="Z590" s="31" t="n"/>
    </row>
    <row r="591" ht="14.25" customHeight="1">
      <c r="A591" s="31" t="n"/>
      <c r="D591" s="161" t="n"/>
      <c r="E591" s="161" t="n"/>
      <c r="Q591" s="31" t="n"/>
      <c r="R591" s="31" t="n"/>
      <c r="S591" s="31" t="n"/>
      <c r="T591" s="31" t="n"/>
      <c r="U591" s="31" t="n"/>
      <c r="V591" s="31" t="n"/>
      <c r="W591" s="31" t="n"/>
      <c r="X591" s="31" t="n"/>
      <c r="Y591" s="31" t="n"/>
      <c r="Z591" s="31" t="n"/>
    </row>
    <row r="592" ht="14.25" customHeight="1">
      <c r="A592" s="31" t="n"/>
      <c r="D592" s="161" t="n"/>
      <c r="E592" s="161" t="n"/>
      <c r="Q592" s="31" t="n"/>
      <c r="R592" s="31" t="n"/>
      <c r="S592" s="31" t="n"/>
      <c r="T592" s="31" t="n"/>
      <c r="U592" s="31" t="n"/>
      <c r="V592" s="31" t="n"/>
      <c r="W592" s="31" t="n"/>
      <c r="X592" s="31" t="n"/>
      <c r="Y592" s="31" t="n"/>
      <c r="Z592" s="31" t="n"/>
    </row>
    <row r="593" ht="14.25" customHeight="1">
      <c r="A593" s="31" t="n"/>
      <c r="D593" s="161" t="n"/>
      <c r="E593" s="161" t="n"/>
      <c r="Q593" s="31" t="n"/>
      <c r="R593" s="31" t="n"/>
      <c r="S593" s="31" t="n"/>
      <c r="T593" s="31" t="n"/>
      <c r="U593" s="31" t="n"/>
      <c r="V593" s="31" t="n"/>
      <c r="W593" s="31" t="n"/>
      <c r="X593" s="31" t="n"/>
      <c r="Y593" s="31" t="n"/>
      <c r="Z593" s="31" t="n"/>
    </row>
    <row r="594" ht="14.25" customHeight="1">
      <c r="A594" s="31" t="n"/>
      <c r="D594" s="161" t="n"/>
      <c r="E594" s="161" t="n"/>
      <c r="Q594" s="31" t="n"/>
      <c r="R594" s="31" t="n"/>
      <c r="S594" s="31" t="n"/>
      <c r="T594" s="31" t="n"/>
      <c r="U594" s="31" t="n"/>
      <c r="V594" s="31" t="n"/>
      <c r="W594" s="31" t="n"/>
      <c r="X594" s="31" t="n"/>
      <c r="Y594" s="31" t="n"/>
      <c r="Z594" s="31" t="n"/>
    </row>
    <row r="595" ht="14.25" customHeight="1">
      <c r="A595" s="31" t="n"/>
      <c r="D595" s="161" t="n"/>
      <c r="E595" s="161" t="n"/>
      <c r="Q595" s="31" t="n"/>
      <c r="R595" s="31" t="n"/>
      <c r="S595" s="31" t="n"/>
      <c r="T595" s="31" t="n"/>
      <c r="U595" s="31" t="n"/>
      <c r="V595" s="31" t="n"/>
      <c r="W595" s="31" t="n"/>
      <c r="X595" s="31" t="n"/>
      <c r="Y595" s="31" t="n"/>
      <c r="Z595" s="31" t="n"/>
    </row>
    <row r="596" ht="14.25" customHeight="1">
      <c r="A596" s="31" t="n"/>
      <c r="D596" s="161" t="n"/>
      <c r="E596" s="161" t="n"/>
      <c r="Q596" s="31" t="n"/>
      <c r="R596" s="31" t="n"/>
      <c r="S596" s="31" t="n"/>
      <c r="T596" s="31" t="n"/>
      <c r="U596" s="31" t="n"/>
      <c r="V596" s="31" t="n"/>
      <c r="W596" s="31" t="n"/>
      <c r="X596" s="31" t="n"/>
      <c r="Y596" s="31" t="n"/>
      <c r="Z596" s="31" t="n"/>
    </row>
    <row r="597" ht="14.25" customHeight="1">
      <c r="A597" s="31" t="n"/>
      <c r="D597" s="161" t="n"/>
      <c r="E597" s="161" t="n"/>
      <c r="Q597" s="31" t="n"/>
      <c r="R597" s="31" t="n"/>
      <c r="S597" s="31" t="n"/>
      <c r="T597" s="31" t="n"/>
      <c r="U597" s="31" t="n"/>
      <c r="V597" s="31" t="n"/>
      <c r="W597" s="31" t="n"/>
      <c r="X597" s="31" t="n"/>
      <c r="Y597" s="31" t="n"/>
      <c r="Z597" s="31" t="n"/>
    </row>
    <row r="598" ht="14.25" customHeight="1">
      <c r="A598" s="31" t="n"/>
      <c r="D598" s="161" t="n"/>
      <c r="E598" s="161" t="n"/>
      <c r="Q598" s="31" t="n"/>
      <c r="R598" s="31" t="n"/>
      <c r="S598" s="31" t="n"/>
      <c r="T598" s="31" t="n"/>
      <c r="U598" s="31" t="n"/>
      <c r="V598" s="31" t="n"/>
      <c r="W598" s="31" t="n"/>
      <c r="X598" s="31" t="n"/>
      <c r="Y598" s="31" t="n"/>
      <c r="Z598" s="31" t="n"/>
    </row>
    <row r="599" ht="14.25" customHeight="1">
      <c r="A599" s="31" t="n"/>
      <c r="D599" s="161" t="n"/>
      <c r="E599" s="161" t="n"/>
      <c r="Q599" s="31" t="n"/>
      <c r="R599" s="31" t="n"/>
      <c r="S599" s="31" t="n"/>
      <c r="T599" s="31" t="n"/>
      <c r="U599" s="31" t="n"/>
      <c r="V599" s="31" t="n"/>
      <c r="W599" s="31" t="n"/>
      <c r="X599" s="31" t="n"/>
      <c r="Y599" s="31" t="n"/>
      <c r="Z599" s="31" t="n"/>
    </row>
    <row r="600" ht="14.25" customHeight="1">
      <c r="A600" s="31" t="n"/>
      <c r="D600" s="161" t="n"/>
      <c r="E600" s="161" t="n"/>
      <c r="Q600" s="31" t="n"/>
      <c r="R600" s="31" t="n"/>
      <c r="S600" s="31" t="n"/>
      <c r="T600" s="31" t="n"/>
      <c r="U600" s="31" t="n"/>
      <c r="V600" s="31" t="n"/>
      <c r="W600" s="31" t="n"/>
      <c r="X600" s="31" t="n"/>
      <c r="Y600" s="31" t="n"/>
      <c r="Z600" s="31" t="n"/>
    </row>
    <row r="601" ht="14.25" customHeight="1">
      <c r="A601" s="31" t="n"/>
      <c r="D601" s="161" t="n"/>
      <c r="E601" s="161" t="n"/>
      <c r="Q601" s="31" t="n"/>
      <c r="R601" s="31" t="n"/>
      <c r="S601" s="31" t="n"/>
      <c r="T601" s="31" t="n"/>
      <c r="U601" s="31" t="n"/>
      <c r="V601" s="31" t="n"/>
      <c r="W601" s="31" t="n"/>
      <c r="X601" s="31" t="n"/>
      <c r="Y601" s="31" t="n"/>
      <c r="Z601" s="31" t="n"/>
    </row>
    <row r="602" ht="14.25" customHeight="1">
      <c r="A602" s="31" t="n"/>
      <c r="D602" s="161" t="n"/>
      <c r="E602" s="161" t="n"/>
      <c r="Q602" s="31" t="n"/>
      <c r="R602" s="31" t="n"/>
      <c r="S602" s="31" t="n"/>
      <c r="T602" s="31" t="n"/>
      <c r="U602" s="31" t="n"/>
      <c r="V602" s="31" t="n"/>
      <c r="W602" s="31" t="n"/>
      <c r="X602" s="31" t="n"/>
      <c r="Y602" s="31" t="n"/>
      <c r="Z602" s="31" t="n"/>
    </row>
    <row r="603" ht="14.25" customHeight="1">
      <c r="A603" s="31" t="n"/>
      <c r="D603" s="161" t="n"/>
      <c r="E603" s="161" t="n"/>
      <c r="Q603" s="31" t="n"/>
      <c r="R603" s="31" t="n"/>
      <c r="S603" s="31" t="n"/>
      <c r="T603" s="31" t="n"/>
      <c r="U603" s="31" t="n"/>
      <c r="V603" s="31" t="n"/>
      <c r="W603" s="31" t="n"/>
      <c r="X603" s="31" t="n"/>
      <c r="Y603" s="31" t="n"/>
      <c r="Z603" s="31" t="n"/>
    </row>
    <row r="604" ht="14.25" customHeight="1">
      <c r="A604" s="31" t="n"/>
      <c r="D604" s="161" t="n"/>
      <c r="E604" s="161" t="n"/>
      <c r="Q604" s="31" t="n"/>
      <c r="R604" s="31" t="n"/>
      <c r="S604" s="31" t="n"/>
      <c r="T604" s="31" t="n"/>
      <c r="U604" s="31" t="n"/>
      <c r="V604" s="31" t="n"/>
      <c r="W604" s="31" t="n"/>
      <c r="X604" s="31" t="n"/>
      <c r="Y604" s="31" t="n"/>
      <c r="Z604" s="31" t="n"/>
    </row>
    <row r="605" ht="14.25" customHeight="1">
      <c r="A605" s="31" t="n"/>
      <c r="D605" s="161" t="n"/>
      <c r="E605" s="161" t="n"/>
      <c r="Q605" s="31" t="n"/>
      <c r="R605" s="31" t="n"/>
      <c r="S605" s="31" t="n"/>
      <c r="T605" s="31" t="n"/>
      <c r="U605" s="31" t="n"/>
      <c r="V605" s="31" t="n"/>
      <c r="W605" s="31" t="n"/>
      <c r="X605" s="31" t="n"/>
      <c r="Y605" s="31" t="n"/>
      <c r="Z605" s="31" t="n"/>
    </row>
    <row r="606" ht="14.25" customHeight="1">
      <c r="A606" s="31" t="n"/>
      <c r="D606" s="161" t="n"/>
      <c r="E606" s="161" t="n"/>
      <c r="Q606" s="31" t="n"/>
      <c r="R606" s="31" t="n"/>
      <c r="S606" s="31" t="n"/>
      <c r="T606" s="31" t="n"/>
      <c r="U606" s="31" t="n"/>
      <c r="V606" s="31" t="n"/>
      <c r="W606" s="31" t="n"/>
      <c r="X606" s="31" t="n"/>
      <c r="Y606" s="31" t="n"/>
      <c r="Z606" s="31" t="n"/>
    </row>
    <row r="607" ht="14.25" customHeight="1">
      <c r="A607" s="31" t="n"/>
      <c r="D607" s="161" t="n"/>
      <c r="E607" s="161" t="n"/>
      <c r="Q607" s="31" t="n"/>
      <c r="R607" s="31" t="n"/>
      <c r="S607" s="31" t="n"/>
      <c r="T607" s="31" t="n"/>
      <c r="U607" s="31" t="n"/>
      <c r="V607" s="31" t="n"/>
      <c r="W607" s="31" t="n"/>
      <c r="X607" s="31" t="n"/>
      <c r="Y607" s="31" t="n"/>
      <c r="Z607" s="31" t="n"/>
    </row>
    <row r="608" ht="14.25" customHeight="1">
      <c r="A608" s="31" t="n"/>
      <c r="D608" s="161" t="n"/>
      <c r="E608" s="161" t="n"/>
      <c r="Q608" s="31" t="n"/>
      <c r="R608" s="31" t="n"/>
      <c r="S608" s="31" t="n"/>
      <c r="T608" s="31" t="n"/>
      <c r="U608" s="31" t="n"/>
      <c r="V608" s="31" t="n"/>
      <c r="W608" s="31" t="n"/>
      <c r="X608" s="31" t="n"/>
      <c r="Y608" s="31" t="n"/>
      <c r="Z608" s="31" t="n"/>
    </row>
    <row r="609" ht="14.25" customHeight="1">
      <c r="A609" s="31" t="n"/>
      <c r="D609" s="161" t="n"/>
      <c r="E609" s="161" t="n"/>
      <c r="Q609" s="31" t="n"/>
      <c r="R609" s="31" t="n"/>
      <c r="S609" s="31" t="n"/>
      <c r="T609" s="31" t="n"/>
      <c r="U609" s="31" t="n"/>
      <c r="V609" s="31" t="n"/>
      <c r="W609" s="31" t="n"/>
      <c r="X609" s="31" t="n"/>
      <c r="Y609" s="31" t="n"/>
      <c r="Z609" s="31" t="n"/>
    </row>
    <row r="610" ht="14.25" customHeight="1">
      <c r="A610" s="31" t="n"/>
      <c r="D610" s="161" t="n"/>
      <c r="E610" s="161" t="n"/>
      <c r="Q610" s="31" t="n"/>
      <c r="R610" s="31" t="n"/>
      <c r="S610" s="31" t="n"/>
      <c r="T610" s="31" t="n"/>
      <c r="U610" s="31" t="n"/>
      <c r="V610" s="31" t="n"/>
      <c r="W610" s="31" t="n"/>
      <c r="X610" s="31" t="n"/>
      <c r="Y610" s="31" t="n"/>
      <c r="Z610" s="31" t="n"/>
    </row>
    <row r="611" ht="14.25" customHeight="1">
      <c r="A611" s="31" t="n"/>
      <c r="D611" s="161" t="n"/>
      <c r="E611" s="161" t="n"/>
      <c r="Q611" s="31" t="n"/>
      <c r="R611" s="31" t="n"/>
      <c r="S611" s="31" t="n"/>
      <c r="T611" s="31" t="n"/>
      <c r="U611" s="31" t="n"/>
      <c r="V611" s="31" t="n"/>
      <c r="W611" s="31" t="n"/>
      <c r="X611" s="31" t="n"/>
      <c r="Y611" s="31" t="n"/>
      <c r="Z611" s="31" t="n"/>
    </row>
    <row r="612" ht="14.25" customHeight="1">
      <c r="A612" s="31" t="n"/>
      <c r="D612" s="161" t="n"/>
      <c r="E612" s="161" t="n"/>
      <c r="Q612" s="31" t="n"/>
      <c r="R612" s="31" t="n"/>
      <c r="S612" s="31" t="n"/>
      <c r="T612" s="31" t="n"/>
      <c r="U612" s="31" t="n"/>
      <c r="V612" s="31" t="n"/>
      <c r="W612" s="31" t="n"/>
      <c r="X612" s="31" t="n"/>
      <c r="Y612" s="31" t="n"/>
      <c r="Z612" s="31" t="n"/>
    </row>
    <row r="613" ht="14.25" customHeight="1">
      <c r="A613" s="31" t="n"/>
      <c r="D613" s="161" t="n"/>
      <c r="E613" s="161" t="n"/>
      <c r="Q613" s="31" t="n"/>
      <c r="R613" s="31" t="n"/>
      <c r="S613" s="31" t="n"/>
      <c r="T613" s="31" t="n"/>
      <c r="U613" s="31" t="n"/>
      <c r="V613" s="31" t="n"/>
      <c r="W613" s="31" t="n"/>
      <c r="X613" s="31" t="n"/>
      <c r="Y613" s="31" t="n"/>
      <c r="Z613" s="31" t="n"/>
    </row>
    <row r="614" ht="14.25" customHeight="1">
      <c r="A614" s="31" t="n"/>
      <c r="D614" s="161" t="n"/>
      <c r="E614" s="161" t="n"/>
      <c r="Q614" s="31" t="n"/>
      <c r="R614" s="31" t="n"/>
      <c r="S614" s="31" t="n"/>
      <c r="T614" s="31" t="n"/>
      <c r="U614" s="31" t="n"/>
      <c r="V614" s="31" t="n"/>
      <c r="W614" s="31" t="n"/>
      <c r="X614" s="31" t="n"/>
      <c r="Y614" s="31" t="n"/>
      <c r="Z614" s="31" t="n"/>
    </row>
    <row r="615" ht="14.25" customHeight="1">
      <c r="A615" s="31" t="n"/>
      <c r="D615" s="161" t="n"/>
      <c r="E615" s="161" t="n"/>
      <c r="Q615" s="31" t="n"/>
      <c r="R615" s="31" t="n"/>
      <c r="S615" s="31" t="n"/>
      <c r="T615" s="31" t="n"/>
      <c r="U615" s="31" t="n"/>
      <c r="V615" s="31" t="n"/>
      <c r="W615" s="31" t="n"/>
      <c r="X615" s="31" t="n"/>
      <c r="Y615" s="31" t="n"/>
      <c r="Z615" s="31" t="n"/>
    </row>
    <row r="616" ht="14.25" customHeight="1">
      <c r="A616" s="31" t="n"/>
      <c r="D616" s="161" t="n"/>
      <c r="E616" s="161" t="n"/>
      <c r="Q616" s="31" t="n"/>
      <c r="R616" s="31" t="n"/>
      <c r="S616" s="31" t="n"/>
      <c r="T616" s="31" t="n"/>
      <c r="U616" s="31" t="n"/>
      <c r="V616" s="31" t="n"/>
      <c r="W616" s="31" t="n"/>
      <c r="X616" s="31" t="n"/>
      <c r="Y616" s="31" t="n"/>
      <c r="Z616" s="31" t="n"/>
    </row>
    <row r="617" ht="14.25" customHeight="1">
      <c r="A617" s="31" t="n"/>
      <c r="D617" s="161" t="n"/>
      <c r="E617" s="161" t="n"/>
      <c r="Q617" s="31" t="n"/>
      <c r="R617" s="31" t="n"/>
      <c r="S617" s="31" t="n"/>
      <c r="T617" s="31" t="n"/>
      <c r="U617" s="31" t="n"/>
      <c r="V617" s="31" t="n"/>
      <c r="W617" s="31" t="n"/>
      <c r="X617" s="31" t="n"/>
      <c r="Y617" s="31" t="n"/>
      <c r="Z617" s="31" t="n"/>
    </row>
    <row r="618" ht="14.25" customHeight="1">
      <c r="A618" s="31" t="n"/>
      <c r="D618" s="161" t="n"/>
      <c r="E618" s="161" t="n"/>
      <c r="Q618" s="31" t="n"/>
      <c r="R618" s="31" t="n"/>
      <c r="S618" s="31" t="n"/>
      <c r="T618" s="31" t="n"/>
      <c r="U618" s="31" t="n"/>
      <c r="V618" s="31" t="n"/>
      <c r="W618" s="31" t="n"/>
      <c r="X618" s="31" t="n"/>
      <c r="Y618" s="31" t="n"/>
      <c r="Z618" s="31" t="n"/>
    </row>
    <row r="619" ht="14.25" customHeight="1">
      <c r="A619" s="31" t="n"/>
      <c r="D619" s="161" t="n"/>
      <c r="E619" s="161" t="n"/>
      <c r="Q619" s="31" t="n"/>
      <c r="R619" s="31" t="n"/>
      <c r="S619" s="31" t="n"/>
      <c r="T619" s="31" t="n"/>
      <c r="U619" s="31" t="n"/>
      <c r="V619" s="31" t="n"/>
      <c r="W619" s="31" t="n"/>
      <c r="X619" s="31" t="n"/>
      <c r="Y619" s="31" t="n"/>
      <c r="Z619" s="31" t="n"/>
    </row>
    <row r="620" ht="14.25" customHeight="1">
      <c r="A620" s="31" t="n"/>
      <c r="D620" s="161" t="n"/>
      <c r="E620" s="161" t="n"/>
      <c r="Q620" s="31" t="n"/>
      <c r="R620" s="31" t="n"/>
      <c r="S620" s="31" t="n"/>
      <c r="T620" s="31" t="n"/>
      <c r="U620" s="31" t="n"/>
      <c r="V620" s="31" t="n"/>
      <c r="W620" s="31" t="n"/>
      <c r="X620" s="31" t="n"/>
      <c r="Y620" s="31" t="n"/>
      <c r="Z620" s="31" t="n"/>
    </row>
    <row r="621" ht="14.25" customHeight="1">
      <c r="A621" s="31" t="n"/>
      <c r="D621" s="161" t="n"/>
      <c r="E621" s="161" t="n"/>
      <c r="Q621" s="31" t="n"/>
      <c r="R621" s="31" t="n"/>
      <c r="S621" s="31" t="n"/>
      <c r="T621" s="31" t="n"/>
      <c r="U621" s="31" t="n"/>
      <c r="V621" s="31" t="n"/>
      <c r="W621" s="31" t="n"/>
      <c r="X621" s="31" t="n"/>
      <c r="Y621" s="31" t="n"/>
      <c r="Z621" s="31" t="n"/>
    </row>
    <row r="622" ht="14.25" customHeight="1">
      <c r="A622" s="31" t="n"/>
      <c r="D622" s="161" t="n"/>
      <c r="E622" s="161" t="n"/>
      <c r="Q622" s="31" t="n"/>
      <c r="R622" s="31" t="n"/>
      <c r="S622" s="31" t="n"/>
      <c r="T622" s="31" t="n"/>
      <c r="U622" s="31" t="n"/>
      <c r="V622" s="31" t="n"/>
      <c r="W622" s="31" t="n"/>
      <c r="X622" s="31" t="n"/>
      <c r="Y622" s="31" t="n"/>
      <c r="Z622" s="31" t="n"/>
    </row>
    <row r="623" ht="14.25" customHeight="1">
      <c r="A623" s="31" t="n"/>
      <c r="D623" s="161" t="n"/>
      <c r="E623" s="161" t="n"/>
      <c r="Q623" s="31" t="n"/>
      <c r="R623" s="31" t="n"/>
      <c r="S623" s="31" t="n"/>
      <c r="T623" s="31" t="n"/>
      <c r="U623" s="31" t="n"/>
      <c r="V623" s="31" t="n"/>
      <c r="W623" s="31" t="n"/>
      <c r="X623" s="31" t="n"/>
      <c r="Y623" s="31" t="n"/>
      <c r="Z623" s="31" t="n"/>
    </row>
    <row r="624" ht="14.25" customHeight="1">
      <c r="A624" s="31" t="n"/>
      <c r="D624" s="161" t="n"/>
      <c r="E624" s="161" t="n"/>
      <c r="Q624" s="31" t="n"/>
      <c r="R624" s="31" t="n"/>
      <c r="S624" s="31" t="n"/>
      <c r="T624" s="31" t="n"/>
      <c r="U624" s="31" t="n"/>
      <c r="V624" s="31" t="n"/>
      <c r="W624" s="31" t="n"/>
      <c r="X624" s="31" t="n"/>
      <c r="Y624" s="31" t="n"/>
      <c r="Z624" s="31" t="n"/>
    </row>
    <row r="625" ht="14.25" customHeight="1">
      <c r="A625" s="31" t="n"/>
      <c r="D625" s="161" t="n"/>
      <c r="E625" s="161" t="n"/>
      <c r="Q625" s="31" t="n"/>
      <c r="R625" s="31" t="n"/>
      <c r="S625" s="31" t="n"/>
      <c r="T625" s="31" t="n"/>
      <c r="U625" s="31" t="n"/>
      <c r="V625" s="31" t="n"/>
      <c r="W625" s="31" t="n"/>
      <c r="X625" s="31" t="n"/>
      <c r="Y625" s="31" t="n"/>
      <c r="Z625" s="31" t="n"/>
    </row>
    <row r="626" ht="14.25" customHeight="1">
      <c r="A626" s="31" t="n"/>
      <c r="D626" s="161" t="n"/>
      <c r="E626" s="161" t="n"/>
      <c r="Q626" s="31" t="n"/>
      <c r="R626" s="31" t="n"/>
      <c r="S626" s="31" t="n"/>
      <c r="T626" s="31" t="n"/>
      <c r="U626" s="31" t="n"/>
      <c r="V626" s="31" t="n"/>
      <c r="W626" s="31" t="n"/>
      <c r="X626" s="31" t="n"/>
      <c r="Y626" s="31" t="n"/>
      <c r="Z626" s="31" t="n"/>
    </row>
    <row r="627" ht="14.25" customHeight="1">
      <c r="A627" s="31" t="n"/>
      <c r="D627" s="161" t="n"/>
      <c r="E627" s="161" t="n"/>
      <c r="Q627" s="31" t="n"/>
      <c r="R627" s="31" t="n"/>
      <c r="S627" s="31" t="n"/>
      <c r="T627" s="31" t="n"/>
      <c r="U627" s="31" t="n"/>
      <c r="V627" s="31" t="n"/>
      <c r="W627" s="31" t="n"/>
      <c r="X627" s="31" t="n"/>
      <c r="Y627" s="31" t="n"/>
      <c r="Z627" s="31" t="n"/>
    </row>
    <row r="628" ht="14.25" customHeight="1">
      <c r="A628" s="31" t="n"/>
      <c r="D628" s="161" t="n"/>
      <c r="E628" s="161" t="n"/>
      <c r="Q628" s="31" t="n"/>
      <c r="R628" s="31" t="n"/>
      <c r="S628" s="31" t="n"/>
      <c r="T628" s="31" t="n"/>
      <c r="U628" s="31" t="n"/>
      <c r="V628" s="31" t="n"/>
      <c r="W628" s="31" t="n"/>
      <c r="X628" s="31" t="n"/>
      <c r="Y628" s="31" t="n"/>
      <c r="Z628" s="31" t="n"/>
    </row>
    <row r="629" ht="14.25" customHeight="1">
      <c r="A629" s="31" t="n"/>
      <c r="D629" s="161" t="n"/>
      <c r="E629" s="161" t="n"/>
      <c r="Q629" s="31" t="n"/>
      <c r="R629" s="31" t="n"/>
      <c r="S629" s="31" t="n"/>
      <c r="T629" s="31" t="n"/>
      <c r="U629" s="31" t="n"/>
      <c r="V629" s="31" t="n"/>
      <c r="W629" s="31" t="n"/>
      <c r="X629" s="31" t="n"/>
      <c r="Y629" s="31" t="n"/>
      <c r="Z629" s="31" t="n"/>
    </row>
    <row r="630" ht="14.25" customHeight="1">
      <c r="A630" s="31" t="n"/>
      <c r="D630" s="161" t="n"/>
      <c r="E630" s="161" t="n"/>
      <c r="Q630" s="31" t="n"/>
      <c r="R630" s="31" t="n"/>
      <c r="S630" s="31" t="n"/>
      <c r="T630" s="31" t="n"/>
      <c r="U630" s="31" t="n"/>
      <c r="V630" s="31" t="n"/>
      <c r="W630" s="31" t="n"/>
      <c r="X630" s="31" t="n"/>
      <c r="Y630" s="31" t="n"/>
      <c r="Z630" s="31" t="n"/>
    </row>
    <row r="631" ht="14.25" customHeight="1">
      <c r="A631" s="31" t="n"/>
      <c r="D631" s="161" t="n"/>
      <c r="E631" s="161" t="n"/>
      <c r="Q631" s="31" t="n"/>
      <c r="R631" s="31" t="n"/>
      <c r="S631" s="31" t="n"/>
      <c r="T631" s="31" t="n"/>
      <c r="U631" s="31" t="n"/>
      <c r="V631" s="31" t="n"/>
      <c r="W631" s="31" t="n"/>
      <c r="X631" s="31" t="n"/>
      <c r="Y631" s="31" t="n"/>
      <c r="Z631" s="31" t="n"/>
    </row>
    <row r="632" ht="14.25" customHeight="1">
      <c r="A632" s="31" t="n"/>
      <c r="D632" s="161" t="n"/>
      <c r="E632" s="161" t="n"/>
      <c r="Q632" s="31" t="n"/>
      <c r="R632" s="31" t="n"/>
      <c r="S632" s="31" t="n"/>
      <c r="T632" s="31" t="n"/>
      <c r="U632" s="31" t="n"/>
      <c r="V632" s="31" t="n"/>
      <c r="W632" s="31" t="n"/>
      <c r="X632" s="31" t="n"/>
      <c r="Y632" s="31" t="n"/>
      <c r="Z632" s="31" t="n"/>
    </row>
    <row r="633" ht="14.25" customHeight="1">
      <c r="A633" s="31" t="n"/>
      <c r="D633" s="161" t="n"/>
      <c r="E633" s="161" t="n"/>
      <c r="Q633" s="31" t="n"/>
      <c r="R633" s="31" t="n"/>
      <c r="S633" s="31" t="n"/>
      <c r="T633" s="31" t="n"/>
      <c r="U633" s="31" t="n"/>
      <c r="V633" s="31" t="n"/>
      <c r="W633" s="31" t="n"/>
      <c r="X633" s="31" t="n"/>
      <c r="Y633" s="31" t="n"/>
      <c r="Z633" s="31" t="n"/>
    </row>
    <row r="634" ht="14.25" customHeight="1">
      <c r="A634" s="31" t="n"/>
      <c r="D634" s="161" t="n"/>
      <c r="E634" s="161" t="n"/>
      <c r="Q634" s="31" t="n"/>
      <c r="R634" s="31" t="n"/>
      <c r="S634" s="31" t="n"/>
      <c r="T634" s="31" t="n"/>
      <c r="U634" s="31" t="n"/>
      <c r="V634" s="31" t="n"/>
      <c r="W634" s="31" t="n"/>
      <c r="X634" s="31" t="n"/>
      <c r="Y634" s="31" t="n"/>
      <c r="Z634" s="31" t="n"/>
    </row>
    <row r="635" ht="14.25" customHeight="1">
      <c r="A635" s="31" t="n"/>
      <c r="D635" s="161" t="n"/>
      <c r="E635" s="161" t="n"/>
      <c r="Q635" s="31" t="n"/>
      <c r="R635" s="31" t="n"/>
      <c r="S635" s="31" t="n"/>
      <c r="T635" s="31" t="n"/>
      <c r="U635" s="31" t="n"/>
      <c r="V635" s="31" t="n"/>
      <c r="W635" s="31" t="n"/>
      <c r="X635" s="31" t="n"/>
      <c r="Y635" s="31" t="n"/>
      <c r="Z635" s="31" t="n"/>
    </row>
    <row r="636" ht="14.25" customHeight="1">
      <c r="A636" s="31" t="n"/>
      <c r="D636" s="161" t="n"/>
      <c r="E636" s="161" t="n"/>
      <c r="Q636" s="31" t="n"/>
      <c r="R636" s="31" t="n"/>
      <c r="S636" s="31" t="n"/>
      <c r="T636" s="31" t="n"/>
      <c r="U636" s="31" t="n"/>
      <c r="V636" s="31" t="n"/>
      <c r="W636" s="31" t="n"/>
      <c r="X636" s="31" t="n"/>
      <c r="Y636" s="31" t="n"/>
      <c r="Z636" s="31" t="n"/>
    </row>
    <row r="637" ht="14.25" customHeight="1">
      <c r="A637" s="31" t="n"/>
      <c r="D637" s="161" t="n"/>
      <c r="E637" s="161" t="n"/>
      <c r="Q637" s="31" t="n"/>
      <c r="R637" s="31" t="n"/>
      <c r="S637" s="31" t="n"/>
      <c r="T637" s="31" t="n"/>
      <c r="U637" s="31" t="n"/>
      <c r="V637" s="31" t="n"/>
      <c r="W637" s="31" t="n"/>
      <c r="X637" s="31" t="n"/>
      <c r="Y637" s="31" t="n"/>
      <c r="Z637" s="31" t="n"/>
    </row>
    <row r="638" ht="14.25" customHeight="1">
      <c r="A638" s="31" t="n"/>
      <c r="D638" s="161" t="n"/>
      <c r="E638" s="161" t="n"/>
      <c r="Q638" s="31" t="n"/>
      <c r="R638" s="31" t="n"/>
      <c r="S638" s="31" t="n"/>
      <c r="T638" s="31" t="n"/>
      <c r="U638" s="31" t="n"/>
      <c r="V638" s="31" t="n"/>
      <c r="W638" s="31" t="n"/>
      <c r="X638" s="31" t="n"/>
      <c r="Y638" s="31" t="n"/>
      <c r="Z638" s="31" t="n"/>
    </row>
    <row r="639" ht="14.25" customHeight="1">
      <c r="A639" s="31" t="n"/>
      <c r="D639" s="161" t="n"/>
      <c r="E639" s="161" t="n"/>
      <c r="Q639" s="31" t="n"/>
      <c r="R639" s="31" t="n"/>
      <c r="S639" s="31" t="n"/>
      <c r="T639" s="31" t="n"/>
      <c r="U639" s="31" t="n"/>
      <c r="V639" s="31" t="n"/>
      <c r="W639" s="31" t="n"/>
      <c r="X639" s="31" t="n"/>
      <c r="Y639" s="31" t="n"/>
      <c r="Z639" s="31" t="n"/>
    </row>
    <row r="640" ht="14.25" customHeight="1">
      <c r="A640" s="31" t="n"/>
      <c r="D640" s="161" t="n"/>
      <c r="E640" s="161" t="n"/>
      <c r="Q640" s="31" t="n"/>
      <c r="R640" s="31" t="n"/>
      <c r="S640" s="31" t="n"/>
      <c r="T640" s="31" t="n"/>
      <c r="U640" s="31" t="n"/>
      <c r="V640" s="31" t="n"/>
      <c r="W640" s="31" t="n"/>
      <c r="X640" s="31" t="n"/>
      <c r="Y640" s="31" t="n"/>
      <c r="Z640" s="31" t="n"/>
    </row>
    <row r="641" ht="14.25" customHeight="1">
      <c r="A641" s="31" t="n"/>
      <c r="D641" s="161" t="n"/>
      <c r="E641" s="161" t="n"/>
      <c r="Q641" s="31" t="n"/>
      <c r="R641" s="31" t="n"/>
      <c r="S641" s="31" t="n"/>
      <c r="T641" s="31" t="n"/>
      <c r="U641" s="31" t="n"/>
      <c r="V641" s="31" t="n"/>
      <c r="W641" s="31" t="n"/>
      <c r="X641" s="31" t="n"/>
      <c r="Y641" s="31" t="n"/>
      <c r="Z641" s="31" t="n"/>
    </row>
    <row r="642" ht="14.25" customHeight="1">
      <c r="A642" s="31" t="n"/>
      <c r="D642" s="161" t="n"/>
      <c r="E642" s="161" t="n"/>
      <c r="Q642" s="31" t="n"/>
      <c r="R642" s="31" t="n"/>
      <c r="S642" s="31" t="n"/>
      <c r="T642" s="31" t="n"/>
      <c r="U642" s="31" t="n"/>
      <c r="V642" s="31" t="n"/>
      <c r="W642" s="31" t="n"/>
      <c r="X642" s="31" t="n"/>
      <c r="Y642" s="31" t="n"/>
      <c r="Z642" s="31" t="n"/>
    </row>
    <row r="643" ht="14.25" customHeight="1">
      <c r="A643" s="31" t="n"/>
      <c r="D643" s="161" t="n"/>
      <c r="E643" s="161" t="n"/>
      <c r="Q643" s="31" t="n"/>
      <c r="R643" s="31" t="n"/>
      <c r="S643" s="31" t="n"/>
      <c r="T643" s="31" t="n"/>
      <c r="U643" s="31" t="n"/>
      <c r="V643" s="31" t="n"/>
      <c r="W643" s="31" t="n"/>
      <c r="X643" s="31" t="n"/>
      <c r="Y643" s="31" t="n"/>
      <c r="Z643" s="31" t="n"/>
    </row>
    <row r="644" ht="14.25" customHeight="1">
      <c r="A644" s="31" t="n"/>
      <c r="D644" s="161" t="n"/>
      <c r="E644" s="161" t="n"/>
      <c r="Q644" s="31" t="n"/>
      <c r="R644" s="31" t="n"/>
      <c r="S644" s="31" t="n"/>
      <c r="T644" s="31" t="n"/>
      <c r="U644" s="31" t="n"/>
      <c r="V644" s="31" t="n"/>
      <c r="W644" s="31" t="n"/>
      <c r="X644" s="31" t="n"/>
      <c r="Y644" s="31" t="n"/>
      <c r="Z644" s="31" t="n"/>
    </row>
    <row r="645" ht="14.25" customHeight="1">
      <c r="A645" s="31" t="n"/>
      <c r="D645" s="161" t="n"/>
      <c r="E645" s="161" t="n"/>
      <c r="Q645" s="31" t="n"/>
      <c r="R645" s="31" t="n"/>
      <c r="S645" s="31" t="n"/>
      <c r="T645" s="31" t="n"/>
      <c r="U645" s="31" t="n"/>
      <c r="V645" s="31" t="n"/>
      <c r="W645" s="31" t="n"/>
      <c r="X645" s="31" t="n"/>
      <c r="Y645" s="31" t="n"/>
      <c r="Z645" s="31" t="n"/>
    </row>
    <row r="646" ht="14.25" customHeight="1">
      <c r="A646" s="31" t="n"/>
      <c r="D646" s="161" t="n"/>
      <c r="E646" s="161" t="n"/>
      <c r="Q646" s="31" t="n"/>
      <c r="R646" s="31" t="n"/>
      <c r="S646" s="31" t="n"/>
      <c r="T646" s="31" t="n"/>
      <c r="U646" s="31" t="n"/>
      <c r="V646" s="31" t="n"/>
      <c r="W646" s="31" t="n"/>
      <c r="X646" s="31" t="n"/>
      <c r="Y646" s="31" t="n"/>
      <c r="Z646" s="31" t="n"/>
    </row>
    <row r="647" ht="14.25" customHeight="1">
      <c r="A647" s="31" t="n"/>
      <c r="D647" s="161" t="n"/>
      <c r="E647" s="161" t="n"/>
      <c r="Q647" s="31" t="n"/>
      <c r="R647" s="31" t="n"/>
      <c r="S647" s="31" t="n"/>
      <c r="T647" s="31" t="n"/>
      <c r="U647" s="31" t="n"/>
      <c r="V647" s="31" t="n"/>
      <c r="W647" s="31" t="n"/>
      <c r="X647" s="31" t="n"/>
      <c r="Y647" s="31" t="n"/>
      <c r="Z647" s="31" t="n"/>
    </row>
    <row r="648" ht="14.25" customHeight="1">
      <c r="A648" s="31" t="n"/>
      <c r="D648" s="161" t="n"/>
      <c r="E648" s="161" t="n"/>
      <c r="Q648" s="31" t="n"/>
      <c r="R648" s="31" t="n"/>
      <c r="S648" s="31" t="n"/>
      <c r="T648" s="31" t="n"/>
      <c r="U648" s="31" t="n"/>
      <c r="V648" s="31" t="n"/>
      <c r="W648" s="31" t="n"/>
      <c r="X648" s="31" t="n"/>
      <c r="Y648" s="31" t="n"/>
      <c r="Z648" s="31" t="n"/>
    </row>
    <row r="649" ht="14.25" customHeight="1">
      <c r="A649" s="31" t="n"/>
      <c r="D649" s="161" t="n"/>
      <c r="E649" s="161" t="n"/>
      <c r="Q649" s="31" t="n"/>
      <c r="R649" s="31" t="n"/>
      <c r="S649" s="31" t="n"/>
      <c r="T649" s="31" t="n"/>
      <c r="U649" s="31" t="n"/>
      <c r="V649" s="31" t="n"/>
      <c r="W649" s="31" t="n"/>
      <c r="X649" s="31" t="n"/>
      <c r="Y649" s="31" t="n"/>
      <c r="Z649" s="31" t="n"/>
    </row>
    <row r="650" ht="14.25" customHeight="1">
      <c r="A650" s="31" t="n"/>
      <c r="D650" s="161" t="n"/>
      <c r="E650" s="161" t="n"/>
      <c r="Q650" s="31" t="n"/>
      <c r="R650" s="31" t="n"/>
      <c r="S650" s="31" t="n"/>
      <c r="T650" s="31" t="n"/>
      <c r="U650" s="31" t="n"/>
      <c r="V650" s="31" t="n"/>
      <c r="W650" s="31" t="n"/>
      <c r="X650" s="31" t="n"/>
      <c r="Y650" s="31" t="n"/>
      <c r="Z650" s="31" t="n"/>
    </row>
    <row r="651" ht="14.25" customHeight="1">
      <c r="A651" s="31" t="n"/>
      <c r="D651" s="161" t="n"/>
      <c r="E651" s="161" t="n"/>
      <c r="Q651" s="31" t="n"/>
      <c r="R651" s="31" t="n"/>
      <c r="S651" s="31" t="n"/>
      <c r="T651" s="31" t="n"/>
      <c r="U651" s="31" t="n"/>
      <c r="V651" s="31" t="n"/>
      <c r="W651" s="31" t="n"/>
      <c r="X651" s="31" t="n"/>
      <c r="Y651" s="31" t="n"/>
      <c r="Z651" s="31" t="n"/>
    </row>
    <row r="652" ht="14.25" customHeight="1">
      <c r="A652" s="31" t="n"/>
      <c r="D652" s="161" t="n"/>
      <c r="E652" s="161" t="n"/>
      <c r="Q652" s="31" t="n"/>
      <c r="R652" s="31" t="n"/>
      <c r="S652" s="31" t="n"/>
      <c r="T652" s="31" t="n"/>
      <c r="U652" s="31" t="n"/>
      <c r="V652" s="31" t="n"/>
      <c r="W652" s="31" t="n"/>
      <c r="X652" s="31" t="n"/>
      <c r="Y652" s="31" t="n"/>
      <c r="Z652" s="31" t="n"/>
    </row>
    <row r="653" ht="14.25" customHeight="1">
      <c r="A653" s="31" t="n"/>
      <c r="D653" s="161" t="n"/>
      <c r="E653" s="161" t="n"/>
      <c r="Q653" s="31" t="n"/>
      <c r="R653" s="31" t="n"/>
      <c r="S653" s="31" t="n"/>
      <c r="T653" s="31" t="n"/>
      <c r="U653" s="31" t="n"/>
      <c r="V653" s="31" t="n"/>
      <c r="W653" s="31" t="n"/>
      <c r="X653" s="31" t="n"/>
      <c r="Y653" s="31" t="n"/>
      <c r="Z653" s="31" t="n"/>
    </row>
    <row r="654" ht="14.25" customHeight="1">
      <c r="A654" s="31" t="n"/>
      <c r="D654" s="161" t="n"/>
      <c r="E654" s="161" t="n"/>
      <c r="Q654" s="31" t="n"/>
      <c r="R654" s="31" t="n"/>
      <c r="S654" s="31" t="n"/>
      <c r="T654" s="31" t="n"/>
      <c r="U654" s="31" t="n"/>
      <c r="V654" s="31" t="n"/>
      <c r="W654" s="31" t="n"/>
      <c r="X654" s="31" t="n"/>
      <c r="Y654" s="31" t="n"/>
      <c r="Z654" s="31" t="n"/>
    </row>
    <row r="655" ht="14.25" customHeight="1">
      <c r="A655" s="31" t="n"/>
      <c r="D655" s="161" t="n"/>
      <c r="E655" s="161" t="n"/>
      <c r="Q655" s="31" t="n"/>
      <c r="R655" s="31" t="n"/>
      <c r="S655" s="31" t="n"/>
      <c r="T655" s="31" t="n"/>
      <c r="U655" s="31" t="n"/>
      <c r="V655" s="31" t="n"/>
      <c r="W655" s="31" t="n"/>
      <c r="X655" s="31" t="n"/>
      <c r="Y655" s="31" t="n"/>
      <c r="Z655" s="31" t="n"/>
    </row>
    <row r="656" ht="14.25" customHeight="1">
      <c r="A656" s="31" t="n"/>
      <c r="D656" s="161" t="n"/>
      <c r="E656" s="161" t="n"/>
      <c r="Q656" s="31" t="n"/>
      <c r="R656" s="31" t="n"/>
      <c r="S656" s="31" t="n"/>
      <c r="T656" s="31" t="n"/>
      <c r="U656" s="31" t="n"/>
      <c r="V656" s="31" t="n"/>
      <c r="W656" s="31" t="n"/>
      <c r="X656" s="31" t="n"/>
      <c r="Y656" s="31" t="n"/>
      <c r="Z656" s="31" t="n"/>
    </row>
    <row r="657" ht="14.25" customHeight="1">
      <c r="A657" s="31" t="n"/>
      <c r="D657" s="161" t="n"/>
      <c r="E657" s="161" t="n"/>
      <c r="Q657" s="31" t="n"/>
      <c r="R657" s="31" t="n"/>
      <c r="S657" s="31" t="n"/>
      <c r="T657" s="31" t="n"/>
      <c r="U657" s="31" t="n"/>
      <c r="V657" s="31" t="n"/>
      <c r="W657" s="31" t="n"/>
      <c r="X657" s="31" t="n"/>
      <c r="Y657" s="31" t="n"/>
      <c r="Z657" s="31" t="n"/>
    </row>
    <row r="658" ht="14.25" customHeight="1">
      <c r="A658" s="31" t="n"/>
      <c r="D658" s="161" t="n"/>
      <c r="E658" s="161" t="n"/>
      <c r="Q658" s="31" t="n"/>
      <c r="R658" s="31" t="n"/>
      <c r="S658" s="31" t="n"/>
      <c r="T658" s="31" t="n"/>
      <c r="U658" s="31" t="n"/>
      <c r="V658" s="31" t="n"/>
      <c r="W658" s="31" t="n"/>
      <c r="X658" s="31" t="n"/>
      <c r="Y658" s="31" t="n"/>
      <c r="Z658" s="31" t="n"/>
    </row>
    <row r="659" ht="14.25" customHeight="1">
      <c r="A659" s="31" t="n"/>
      <c r="D659" s="161" t="n"/>
      <c r="E659" s="161" t="n"/>
      <c r="Q659" s="31" t="n"/>
      <c r="R659" s="31" t="n"/>
      <c r="S659" s="31" t="n"/>
      <c r="T659" s="31" t="n"/>
      <c r="U659" s="31" t="n"/>
      <c r="V659" s="31" t="n"/>
      <c r="W659" s="31" t="n"/>
      <c r="X659" s="31" t="n"/>
      <c r="Y659" s="31" t="n"/>
      <c r="Z659" s="31" t="n"/>
    </row>
    <row r="660" ht="14.25" customHeight="1">
      <c r="A660" s="31" t="n"/>
      <c r="D660" s="161" t="n"/>
      <c r="E660" s="161" t="n"/>
      <c r="Q660" s="31" t="n"/>
      <c r="R660" s="31" t="n"/>
      <c r="S660" s="31" t="n"/>
      <c r="T660" s="31" t="n"/>
      <c r="U660" s="31" t="n"/>
      <c r="V660" s="31" t="n"/>
      <c r="W660" s="31" t="n"/>
      <c r="X660" s="31" t="n"/>
      <c r="Y660" s="31" t="n"/>
      <c r="Z660" s="31" t="n"/>
    </row>
    <row r="661" ht="14.25" customHeight="1">
      <c r="A661" s="31" t="n"/>
      <c r="D661" s="161" t="n"/>
      <c r="E661" s="161" t="n"/>
      <c r="Q661" s="31" t="n"/>
      <c r="R661" s="31" t="n"/>
      <c r="S661" s="31" t="n"/>
      <c r="T661" s="31" t="n"/>
      <c r="U661" s="31" t="n"/>
      <c r="V661" s="31" t="n"/>
      <c r="W661" s="31" t="n"/>
      <c r="X661" s="31" t="n"/>
      <c r="Y661" s="31" t="n"/>
      <c r="Z661" s="31" t="n"/>
    </row>
    <row r="662" ht="14.25" customHeight="1">
      <c r="A662" s="31" t="n"/>
      <c r="D662" s="161" t="n"/>
      <c r="E662" s="161" t="n"/>
      <c r="Q662" s="31" t="n"/>
      <c r="R662" s="31" t="n"/>
      <c r="S662" s="31" t="n"/>
      <c r="T662" s="31" t="n"/>
      <c r="U662" s="31" t="n"/>
      <c r="V662" s="31" t="n"/>
      <c r="W662" s="31" t="n"/>
      <c r="X662" s="31" t="n"/>
      <c r="Y662" s="31" t="n"/>
      <c r="Z662" s="31" t="n"/>
    </row>
    <row r="663" ht="14.25" customHeight="1">
      <c r="A663" s="31" t="n"/>
      <c r="D663" s="161" t="n"/>
      <c r="E663" s="161" t="n"/>
      <c r="Q663" s="31" t="n"/>
      <c r="R663" s="31" t="n"/>
      <c r="S663" s="31" t="n"/>
      <c r="T663" s="31" t="n"/>
      <c r="U663" s="31" t="n"/>
      <c r="V663" s="31" t="n"/>
      <c r="W663" s="31" t="n"/>
      <c r="X663" s="31" t="n"/>
      <c r="Y663" s="31" t="n"/>
      <c r="Z663" s="31" t="n"/>
    </row>
    <row r="664" ht="14.25" customHeight="1">
      <c r="A664" s="31" t="n"/>
      <c r="D664" s="161" t="n"/>
      <c r="E664" s="161" t="n"/>
      <c r="Q664" s="31" t="n"/>
      <c r="R664" s="31" t="n"/>
      <c r="S664" s="31" t="n"/>
      <c r="T664" s="31" t="n"/>
      <c r="U664" s="31" t="n"/>
      <c r="V664" s="31" t="n"/>
      <c r="W664" s="31" t="n"/>
      <c r="X664" s="31" t="n"/>
      <c r="Y664" s="31" t="n"/>
      <c r="Z664" s="31" t="n"/>
    </row>
    <row r="665" ht="14.25" customHeight="1">
      <c r="A665" s="31" t="n"/>
      <c r="D665" s="161" t="n"/>
      <c r="E665" s="161" t="n"/>
      <c r="Q665" s="31" t="n"/>
      <c r="R665" s="31" t="n"/>
      <c r="S665" s="31" t="n"/>
      <c r="T665" s="31" t="n"/>
      <c r="U665" s="31" t="n"/>
      <c r="V665" s="31" t="n"/>
      <c r="W665" s="31" t="n"/>
      <c r="X665" s="31" t="n"/>
      <c r="Y665" s="31" t="n"/>
      <c r="Z665" s="31" t="n"/>
    </row>
    <row r="666" ht="14.25" customHeight="1">
      <c r="A666" s="31" t="n"/>
      <c r="D666" s="161" t="n"/>
      <c r="E666" s="161" t="n"/>
      <c r="Q666" s="31" t="n"/>
      <c r="R666" s="31" t="n"/>
      <c r="S666" s="31" t="n"/>
      <c r="T666" s="31" t="n"/>
      <c r="U666" s="31" t="n"/>
      <c r="V666" s="31" t="n"/>
      <c r="W666" s="31" t="n"/>
      <c r="X666" s="31" t="n"/>
      <c r="Y666" s="31" t="n"/>
      <c r="Z666" s="31" t="n"/>
    </row>
    <row r="667" ht="14.25" customHeight="1">
      <c r="A667" s="31" t="n"/>
      <c r="D667" s="161" t="n"/>
      <c r="E667" s="161" t="n"/>
      <c r="Q667" s="31" t="n"/>
      <c r="R667" s="31" t="n"/>
      <c r="S667" s="31" t="n"/>
      <c r="T667" s="31" t="n"/>
      <c r="U667" s="31" t="n"/>
      <c r="V667" s="31" t="n"/>
      <c r="W667" s="31" t="n"/>
      <c r="X667" s="31" t="n"/>
      <c r="Y667" s="31" t="n"/>
      <c r="Z667" s="31" t="n"/>
    </row>
    <row r="668" ht="14.25" customHeight="1">
      <c r="A668" s="31" t="n"/>
      <c r="D668" s="161" t="n"/>
      <c r="E668" s="161" t="n"/>
      <c r="Q668" s="31" t="n"/>
      <c r="R668" s="31" t="n"/>
      <c r="S668" s="31" t="n"/>
      <c r="T668" s="31" t="n"/>
      <c r="U668" s="31" t="n"/>
      <c r="V668" s="31" t="n"/>
      <c r="W668" s="31" t="n"/>
      <c r="X668" s="31" t="n"/>
      <c r="Y668" s="31" t="n"/>
      <c r="Z668" s="31" t="n"/>
    </row>
    <row r="669" ht="14.25" customHeight="1">
      <c r="A669" s="31" t="n"/>
      <c r="D669" s="161" t="n"/>
      <c r="E669" s="161" t="n"/>
      <c r="Q669" s="31" t="n"/>
      <c r="R669" s="31" t="n"/>
      <c r="S669" s="31" t="n"/>
      <c r="T669" s="31" t="n"/>
      <c r="U669" s="31" t="n"/>
      <c r="V669" s="31" t="n"/>
      <c r="W669" s="31" t="n"/>
      <c r="X669" s="31" t="n"/>
      <c r="Y669" s="31" t="n"/>
      <c r="Z669" s="31" t="n"/>
    </row>
    <row r="670" ht="14.25" customHeight="1">
      <c r="A670" s="31" t="n"/>
      <c r="D670" s="161" t="n"/>
      <c r="E670" s="161" t="n"/>
      <c r="Q670" s="31" t="n"/>
      <c r="R670" s="31" t="n"/>
      <c r="S670" s="31" t="n"/>
      <c r="T670" s="31" t="n"/>
      <c r="U670" s="31" t="n"/>
      <c r="V670" s="31" t="n"/>
      <c r="W670" s="31" t="n"/>
      <c r="X670" s="31" t="n"/>
      <c r="Y670" s="31" t="n"/>
      <c r="Z670" s="31" t="n"/>
    </row>
    <row r="671" ht="14.25" customHeight="1">
      <c r="A671" s="31" t="n"/>
      <c r="D671" s="161" t="n"/>
      <c r="E671" s="161" t="n"/>
      <c r="Q671" s="31" t="n"/>
      <c r="R671" s="31" t="n"/>
      <c r="S671" s="31" t="n"/>
      <c r="T671" s="31" t="n"/>
      <c r="U671" s="31" t="n"/>
      <c r="V671" s="31" t="n"/>
      <c r="W671" s="31" t="n"/>
      <c r="X671" s="31" t="n"/>
      <c r="Y671" s="31" t="n"/>
      <c r="Z671" s="31" t="n"/>
    </row>
    <row r="672" ht="14.25" customHeight="1">
      <c r="A672" s="31" t="n"/>
      <c r="D672" s="161" t="n"/>
      <c r="E672" s="161" t="n"/>
      <c r="Q672" s="31" t="n"/>
      <c r="R672" s="31" t="n"/>
      <c r="S672" s="31" t="n"/>
      <c r="T672" s="31" t="n"/>
      <c r="U672" s="31" t="n"/>
      <c r="V672" s="31" t="n"/>
      <c r="W672" s="31" t="n"/>
      <c r="X672" s="31" t="n"/>
      <c r="Y672" s="31" t="n"/>
      <c r="Z672" s="31" t="n"/>
    </row>
    <row r="673" ht="14.25" customHeight="1">
      <c r="A673" s="31" t="n"/>
      <c r="D673" s="161" t="n"/>
      <c r="E673" s="161" t="n"/>
      <c r="Q673" s="31" t="n"/>
      <c r="R673" s="31" t="n"/>
      <c r="S673" s="31" t="n"/>
      <c r="T673" s="31" t="n"/>
      <c r="U673" s="31" t="n"/>
      <c r="V673" s="31" t="n"/>
      <c r="W673" s="31" t="n"/>
      <c r="X673" s="31" t="n"/>
      <c r="Y673" s="31" t="n"/>
      <c r="Z673" s="31" t="n"/>
    </row>
    <row r="674" ht="14.25" customHeight="1">
      <c r="A674" s="31" t="n"/>
      <c r="D674" s="161" t="n"/>
      <c r="E674" s="161" t="n"/>
      <c r="Q674" s="31" t="n"/>
      <c r="R674" s="31" t="n"/>
      <c r="S674" s="31" t="n"/>
      <c r="T674" s="31" t="n"/>
      <c r="U674" s="31" t="n"/>
      <c r="V674" s="31" t="n"/>
      <c r="W674" s="31" t="n"/>
      <c r="X674" s="31" t="n"/>
      <c r="Y674" s="31" t="n"/>
      <c r="Z674" s="31" t="n"/>
    </row>
    <row r="675" ht="14.25" customHeight="1">
      <c r="A675" s="31" t="n"/>
      <c r="D675" s="161" t="n"/>
      <c r="E675" s="161" t="n"/>
      <c r="Q675" s="31" t="n"/>
      <c r="R675" s="31" t="n"/>
      <c r="S675" s="31" t="n"/>
      <c r="T675" s="31" t="n"/>
      <c r="U675" s="31" t="n"/>
      <c r="V675" s="31" t="n"/>
      <c r="W675" s="31" t="n"/>
      <c r="X675" s="31" t="n"/>
      <c r="Y675" s="31" t="n"/>
      <c r="Z675" s="31" t="n"/>
    </row>
    <row r="676" ht="14.25" customHeight="1">
      <c r="A676" s="31" t="n"/>
      <c r="D676" s="161" t="n"/>
      <c r="E676" s="161" t="n"/>
      <c r="Q676" s="31" t="n"/>
      <c r="R676" s="31" t="n"/>
      <c r="S676" s="31" t="n"/>
      <c r="T676" s="31" t="n"/>
      <c r="U676" s="31" t="n"/>
      <c r="V676" s="31" t="n"/>
      <c r="W676" s="31" t="n"/>
      <c r="X676" s="31" t="n"/>
      <c r="Y676" s="31" t="n"/>
      <c r="Z676" s="31" t="n"/>
    </row>
    <row r="677" ht="14.25" customHeight="1">
      <c r="A677" s="31" t="n"/>
      <c r="D677" s="161" t="n"/>
      <c r="E677" s="161" t="n"/>
      <c r="Q677" s="31" t="n"/>
      <c r="R677" s="31" t="n"/>
      <c r="S677" s="31" t="n"/>
      <c r="T677" s="31" t="n"/>
      <c r="U677" s="31" t="n"/>
      <c r="V677" s="31" t="n"/>
      <c r="W677" s="31" t="n"/>
      <c r="X677" s="31" t="n"/>
      <c r="Y677" s="31" t="n"/>
      <c r="Z677" s="31" t="n"/>
    </row>
    <row r="678" ht="14.25" customHeight="1">
      <c r="A678" s="31" t="n"/>
      <c r="D678" s="161" t="n"/>
      <c r="E678" s="161" t="n"/>
      <c r="Q678" s="31" t="n"/>
      <c r="R678" s="31" t="n"/>
      <c r="S678" s="31" t="n"/>
      <c r="T678" s="31" t="n"/>
      <c r="U678" s="31" t="n"/>
      <c r="V678" s="31" t="n"/>
      <c r="W678" s="31" t="n"/>
      <c r="X678" s="31" t="n"/>
      <c r="Y678" s="31" t="n"/>
      <c r="Z678" s="31" t="n"/>
    </row>
    <row r="679" ht="14.25" customHeight="1">
      <c r="A679" s="31" t="n"/>
      <c r="D679" s="161" t="n"/>
      <c r="E679" s="161" t="n"/>
      <c r="Q679" s="31" t="n"/>
      <c r="R679" s="31" t="n"/>
      <c r="S679" s="31" t="n"/>
      <c r="T679" s="31" t="n"/>
      <c r="U679" s="31" t="n"/>
      <c r="V679" s="31" t="n"/>
      <c r="W679" s="31" t="n"/>
      <c r="X679" s="31" t="n"/>
      <c r="Y679" s="31" t="n"/>
      <c r="Z679" s="31" t="n"/>
    </row>
    <row r="680" ht="14.25" customHeight="1">
      <c r="A680" s="31" t="n"/>
      <c r="D680" s="161" t="n"/>
      <c r="E680" s="161" t="n"/>
      <c r="Q680" s="31" t="n"/>
      <c r="R680" s="31" t="n"/>
      <c r="S680" s="31" t="n"/>
      <c r="T680" s="31" t="n"/>
      <c r="U680" s="31" t="n"/>
      <c r="V680" s="31" t="n"/>
      <c r="W680" s="31" t="n"/>
      <c r="X680" s="31" t="n"/>
      <c r="Y680" s="31" t="n"/>
      <c r="Z680" s="31" t="n"/>
    </row>
    <row r="681" ht="14.25" customHeight="1">
      <c r="A681" s="31" t="n"/>
      <c r="D681" s="161" t="n"/>
      <c r="E681" s="161" t="n"/>
      <c r="Q681" s="31" t="n"/>
      <c r="R681" s="31" t="n"/>
      <c r="S681" s="31" t="n"/>
      <c r="T681" s="31" t="n"/>
      <c r="U681" s="31" t="n"/>
      <c r="V681" s="31" t="n"/>
      <c r="W681" s="31" t="n"/>
      <c r="X681" s="31" t="n"/>
      <c r="Y681" s="31" t="n"/>
      <c r="Z681" s="31" t="n"/>
    </row>
    <row r="682" ht="14.25" customHeight="1">
      <c r="A682" s="31" t="n"/>
      <c r="D682" s="161" t="n"/>
      <c r="E682" s="161" t="n"/>
      <c r="Q682" s="31" t="n"/>
      <c r="R682" s="31" t="n"/>
      <c r="S682" s="31" t="n"/>
      <c r="T682" s="31" t="n"/>
      <c r="U682" s="31" t="n"/>
      <c r="V682" s="31" t="n"/>
      <c r="W682" s="31" t="n"/>
      <c r="X682" s="31" t="n"/>
      <c r="Y682" s="31" t="n"/>
      <c r="Z682" s="31" t="n"/>
    </row>
    <row r="683" ht="14.25" customHeight="1">
      <c r="A683" s="31" t="n"/>
      <c r="D683" s="161" t="n"/>
      <c r="E683" s="161" t="n"/>
      <c r="Q683" s="31" t="n"/>
      <c r="R683" s="31" t="n"/>
      <c r="S683" s="31" t="n"/>
      <c r="T683" s="31" t="n"/>
      <c r="U683" s="31" t="n"/>
      <c r="V683" s="31" t="n"/>
      <c r="W683" s="31" t="n"/>
      <c r="X683" s="31" t="n"/>
      <c r="Y683" s="31" t="n"/>
      <c r="Z683" s="31" t="n"/>
    </row>
    <row r="684" ht="14.25" customHeight="1">
      <c r="A684" s="31" t="n"/>
      <c r="D684" s="161" t="n"/>
      <c r="E684" s="161" t="n"/>
      <c r="Q684" s="31" t="n"/>
      <c r="R684" s="31" t="n"/>
      <c r="S684" s="31" t="n"/>
      <c r="T684" s="31" t="n"/>
      <c r="U684" s="31" t="n"/>
      <c r="V684" s="31" t="n"/>
      <c r="W684" s="31" t="n"/>
      <c r="X684" s="31" t="n"/>
      <c r="Y684" s="31" t="n"/>
      <c r="Z684" s="31" t="n"/>
    </row>
    <row r="685" ht="14.25" customHeight="1">
      <c r="A685" s="31" t="n"/>
      <c r="D685" s="161" t="n"/>
      <c r="E685" s="161" t="n"/>
      <c r="Q685" s="31" t="n"/>
      <c r="R685" s="31" t="n"/>
      <c r="S685" s="31" t="n"/>
      <c r="T685" s="31" t="n"/>
      <c r="U685" s="31" t="n"/>
      <c r="V685" s="31" t="n"/>
      <c r="W685" s="31" t="n"/>
      <c r="X685" s="31" t="n"/>
      <c r="Y685" s="31" t="n"/>
      <c r="Z685" s="31" t="n"/>
    </row>
    <row r="686" ht="14.25" customHeight="1">
      <c r="A686" s="31" t="n"/>
      <c r="D686" s="161" t="n"/>
      <c r="E686" s="161" t="n"/>
      <c r="Q686" s="31" t="n"/>
      <c r="R686" s="31" t="n"/>
      <c r="S686" s="31" t="n"/>
      <c r="T686" s="31" t="n"/>
      <c r="U686" s="31" t="n"/>
      <c r="V686" s="31" t="n"/>
      <c r="W686" s="31" t="n"/>
      <c r="X686" s="31" t="n"/>
      <c r="Y686" s="31" t="n"/>
      <c r="Z686" s="31" t="n"/>
    </row>
    <row r="687" ht="14.25" customHeight="1">
      <c r="A687" s="31" t="n"/>
      <c r="D687" s="161" t="n"/>
      <c r="E687" s="161" t="n"/>
      <c r="Q687" s="31" t="n"/>
      <c r="R687" s="31" t="n"/>
      <c r="S687" s="31" t="n"/>
      <c r="T687" s="31" t="n"/>
      <c r="U687" s="31" t="n"/>
      <c r="V687" s="31" t="n"/>
      <c r="W687" s="31" t="n"/>
      <c r="X687" s="31" t="n"/>
      <c r="Y687" s="31" t="n"/>
      <c r="Z687" s="31" t="n"/>
    </row>
    <row r="688" ht="14.25" customHeight="1">
      <c r="A688" s="31" t="n"/>
      <c r="D688" s="161" t="n"/>
      <c r="E688" s="161" t="n"/>
      <c r="Q688" s="31" t="n"/>
      <c r="R688" s="31" t="n"/>
      <c r="S688" s="31" t="n"/>
      <c r="T688" s="31" t="n"/>
      <c r="U688" s="31" t="n"/>
      <c r="V688" s="31" t="n"/>
      <c r="W688" s="31" t="n"/>
      <c r="X688" s="31" t="n"/>
      <c r="Y688" s="31" t="n"/>
      <c r="Z688" s="31" t="n"/>
    </row>
    <row r="689" ht="14.25" customHeight="1">
      <c r="A689" s="31" t="n"/>
      <c r="D689" s="161" t="n"/>
      <c r="E689" s="161" t="n"/>
      <c r="Q689" s="31" t="n"/>
      <c r="R689" s="31" t="n"/>
      <c r="S689" s="31" t="n"/>
      <c r="T689" s="31" t="n"/>
      <c r="U689" s="31" t="n"/>
      <c r="V689" s="31" t="n"/>
      <c r="W689" s="31" t="n"/>
      <c r="X689" s="31" t="n"/>
      <c r="Y689" s="31" t="n"/>
      <c r="Z689" s="31" t="n"/>
    </row>
    <row r="690" ht="14.25" customHeight="1">
      <c r="A690" s="31" t="n"/>
      <c r="D690" s="161" t="n"/>
      <c r="E690" s="161" t="n"/>
      <c r="Q690" s="31" t="n"/>
      <c r="R690" s="31" t="n"/>
      <c r="S690" s="31" t="n"/>
      <c r="T690" s="31" t="n"/>
      <c r="U690" s="31" t="n"/>
      <c r="V690" s="31" t="n"/>
      <c r="W690" s="31" t="n"/>
      <c r="X690" s="31" t="n"/>
      <c r="Y690" s="31" t="n"/>
      <c r="Z690" s="31" t="n"/>
    </row>
    <row r="691" ht="14.25" customHeight="1">
      <c r="A691" s="31" t="n"/>
      <c r="D691" s="161" t="n"/>
      <c r="E691" s="161" t="n"/>
      <c r="Q691" s="31" t="n"/>
      <c r="R691" s="31" t="n"/>
      <c r="S691" s="31" t="n"/>
      <c r="T691" s="31" t="n"/>
      <c r="U691" s="31" t="n"/>
      <c r="V691" s="31" t="n"/>
      <c r="W691" s="31" t="n"/>
      <c r="X691" s="31" t="n"/>
      <c r="Y691" s="31" t="n"/>
      <c r="Z691" s="31" t="n"/>
    </row>
    <row r="692" ht="14.25" customHeight="1">
      <c r="A692" s="31" t="n"/>
      <c r="D692" s="161" t="n"/>
      <c r="E692" s="161" t="n"/>
      <c r="Q692" s="31" t="n"/>
      <c r="R692" s="31" t="n"/>
      <c r="S692" s="31" t="n"/>
      <c r="T692" s="31" t="n"/>
      <c r="U692" s="31" t="n"/>
      <c r="V692" s="31" t="n"/>
      <c r="W692" s="31" t="n"/>
      <c r="X692" s="31" t="n"/>
      <c r="Y692" s="31" t="n"/>
      <c r="Z692" s="31" t="n"/>
    </row>
    <row r="693" ht="14.25" customHeight="1">
      <c r="A693" s="31" t="n"/>
      <c r="D693" s="161" t="n"/>
      <c r="E693" s="161" t="n"/>
      <c r="Q693" s="31" t="n"/>
      <c r="R693" s="31" t="n"/>
      <c r="S693" s="31" t="n"/>
      <c r="T693" s="31" t="n"/>
      <c r="U693" s="31" t="n"/>
      <c r="V693" s="31" t="n"/>
      <c r="W693" s="31" t="n"/>
      <c r="X693" s="31" t="n"/>
      <c r="Y693" s="31" t="n"/>
      <c r="Z693" s="31" t="n"/>
    </row>
    <row r="694" ht="14.25" customHeight="1">
      <c r="A694" s="31" t="n"/>
      <c r="D694" s="161" t="n"/>
      <c r="E694" s="161" t="n"/>
      <c r="Q694" s="31" t="n"/>
      <c r="R694" s="31" t="n"/>
      <c r="S694" s="31" t="n"/>
      <c r="T694" s="31" t="n"/>
      <c r="U694" s="31" t="n"/>
      <c r="V694" s="31" t="n"/>
      <c r="W694" s="31" t="n"/>
      <c r="X694" s="31" t="n"/>
      <c r="Y694" s="31" t="n"/>
      <c r="Z694" s="31" t="n"/>
    </row>
    <row r="695" ht="14.25" customHeight="1">
      <c r="A695" s="31" t="n"/>
      <c r="D695" s="161" t="n"/>
      <c r="E695" s="161" t="n"/>
      <c r="Q695" s="31" t="n"/>
      <c r="R695" s="31" t="n"/>
      <c r="S695" s="31" t="n"/>
      <c r="T695" s="31" t="n"/>
      <c r="U695" s="31" t="n"/>
      <c r="V695" s="31" t="n"/>
      <c r="W695" s="31" t="n"/>
      <c r="X695" s="31" t="n"/>
      <c r="Y695" s="31" t="n"/>
      <c r="Z695" s="31" t="n"/>
    </row>
    <row r="696" ht="14.25" customHeight="1">
      <c r="A696" s="31" t="n"/>
      <c r="D696" s="161" t="n"/>
      <c r="E696" s="161" t="n"/>
      <c r="Q696" s="31" t="n"/>
      <c r="R696" s="31" t="n"/>
      <c r="S696" s="31" t="n"/>
      <c r="T696" s="31" t="n"/>
      <c r="U696" s="31" t="n"/>
      <c r="V696" s="31" t="n"/>
      <c r="W696" s="31" t="n"/>
      <c r="X696" s="31" t="n"/>
      <c r="Y696" s="31" t="n"/>
      <c r="Z696" s="31" t="n"/>
    </row>
    <row r="697" ht="14.25" customHeight="1">
      <c r="A697" s="31" t="n"/>
      <c r="D697" s="161" t="n"/>
      <c r="E697" s="161" t="n"/>
      <c r="Q697" s="31" t="n"/>
      <c r="R697" s="31" t="n"/>
      <c r="S697" s="31" t="n"/>
      <c r="T697" s="31" t="n"/>
      <c r="U697" s="31" t="n"/>
      <c r="V697" s="31" t="n"/>
      <c r="W697" s="31" t="n"/>
      <c r="X697" s="31" t="n"/>
      <c r="Y697" s="31" t="n"/>
      <c r="Z697" s="31" t="n"/>
    </row>
    <row r="698" ht="14.25" customHeight="1">
      <c r="A698" s="31" t="n"/>
      <c r="D698" s="161" t="n"/>
      <c r="E698" s="161" t="n"/>
      <c r="Q698" s="31" t="n"/>
      <c r="R698" s="31" t="n"/>
      <c r="S698" s="31" t="n"/>
      <c r="T698" s="31" t="n"/>
      <c r="U698" s="31" t="n"/>
      <c r="V698" s="31" t="n"/>
      <c r="W698" s="31" t="n"/>
      <c r="X698" s="31" t="n"/>
      <c r="Y698" s="31" t="n"/>
      <c r="Z698" s="31" t="n"/>
    </row>
    <row r="699" ht="14.25" customHeight="1">
      <c r="A699" s="31" t="n"/>
      <c r="D699" s="161" t="n"/>
      <c r="E699" s="161" t="n"/>
      <c r="Q699" s="31" t="n"/>
      <c r="R699" s="31" t="n"/>
      <c r="S699" s="31" t="n"/>
      <c r="T699" s="31" t="n"/>
      <c r="U699" s="31" t="n"/>
      <c r="V699" s="31" t="n"/>
      <c r="W699" s="31" t="n"/>
      <c r="X699" s="31" t="n"/>
      <c r="Y699" s="31" t="n"/>
      <c r="Z699" s="31" t="n"/>
    </row>
    <row r="700" ht="14.25" customHeight="1">
      <c r="A700" s="31" t="n"/>
      <c r="D700" s="161" t="n"/>
      <c r="E700" s="161" t="n"/>
      <c r="Q700" s="31" t="n"/>
      <c r="R700" s="31" t="n"/>
      <c r="S700" s="31" t="n"/>
      <c r="T700" s="31" t="n"/>
      <c r="U700" s="31" t="n"/>
      <c r="V700" s="31" t="n"/>
      <c r="W700" s="31" t="n"/>
      <c r="X700" s="31" t="n"/>
      <c r="Y700" s="31" t="n"/>
      <c r="Z700" s="31" t="n"/>
    </row>
    <row r="701" ht="14.25" customHeight="1">
      <c r="A701" s="31" t="n"/>
      <c r="D701" s="161" t="n"/>
      <c r="E701" s="161" t="n"/>
      <c r="Q701" s="31" t="n"/>
      <c r="R701" s="31" t="n"/>
      <c r="S701" s="31" t="n"/>
      <c r="T701" s="31" t="n"/>
      <c r="U701" s="31" t="n"/>
      <c r="V701" s="31" t="n"/>
      <c r="W701" s="31" t="n"/>
      <c r="X701" s="31" t="n"/>
      <c r="Y701" s="31" t="n"/>
      <c r="Z701" s="31" t="n"/>
    </row>
    <row r="702" ht="14.25" customHeight="1">
      <c r="A702" s="31" t="n"/>
      <c r="D702" s="161" t="n"/>
      <c r="E702" s="161" t="n"/>
      <c r="Q702" s="31" t="n"/>
      <c r="R702" s="31" t="n"/>
      <c r="S702" s="31" t="n"/>
      <c r="T702" s="31" t="n"/>
      <c r="U702" s="31" t="n"/>
      <c r="V702" s="31" t="n"/>
      <c r="W702" s="31" t="n"/>
      <c r="X702" s="31" t="n"/>
      <c r="Y702" s="31" t="n"/>
      <c r="Z702" s="31" t="n"/>
    </row>
    <row r="703" ht="14.25" customHeight="1">
      <c r="A703" s="31" t="n"/>
      <c r="D703" s="161" t="n"/>
      <c r="E703" s="161" t="n"/>
      <c r="Q703" s="31" t="n"/>
      <c r="R703" s="31" t="n"/>
      <c r="S703" s="31" t="n"/>
      <c r="T703" s="31" t="n"/>
      <c r="U703" s="31" t="n"/>
      <c r="V703" s="31" t="n"/>
      <c r="W703" s="31" t="n"/>
      <c r="X703" s="31" t="n"/>
      <c r="Y703" s="31" t="n"/>
      <c r="Z703" s="31" t="n"/>
    </row>
    <row r="704" ht="14.25" customHeight="1">
      <c r="A704" s="31" t="n"/>
      <c r="D704" s="161" t="n"/>
      <c r="E704" s="161" t="n"/>
      <c r="Q704" s="31" t="n"/>
      <c r="R704" s="31" t="n"/>
      <c r="S704" s="31" t="n"/>
      <c r="T704" s="31" t="n"/>
      <c r="U704" s="31" t="n"/>
      <c r="V704" s="31" t="n"/>
      <c r="W704" s="31" t="n"/>
      <c r="X704" s="31" t="n"/>
      <c r="Y704" s="31" t="n"/>
      <c r="Z704" s="31" t="n"/>
    </row>
    <row r="705" ht="14.25" customHeight="1">
      <c r="A705" s="31" t="n"/>
      <c r="D705" s="161" t="n"/>
      <c r="E705" s="161" t="n"/>
      <c r="Q705" s="31" t="n"/>
      <c r="R705" s="31" t="n"/>
      <c r="S705" s="31" t="n"/>
      <c r="T705" s="31" t="n"/>
      <c r="U705" s="31" t="n"/>
      <c r="V705" s="31" t="n"/>
      <c r="W705" s="31" t="n"/>
      <c r="X705" s="31" t="n"/>
      <c r="Y705" s="31" t="n"/>
      <c r="Z705" s="31" t="n"/>
    </row>
    <row r="706" ht="14.25" customHeight="1">
      <c r="A706" s="31" t="n"/>
      <c r="D706" s="161" t="n"/>
      <c r="E706" s="161" t="n"/>
      <c r="Q706" s="31" t="n"/>
      <c r="R706" s="31" t="n"/>
      <c r="S706" s="31" t="n"/>
      <c r="T706" s="31" t="n"/>
      <c r="U706" s="31" t="n"/>
      <c r="V706" s="31" t="n"/>
      <c r="W706" s="31" t="n"/>
      <c r="X706" s="31" t="n"/>
      <c r="Y706" s="31" t="n"/>
      <c r="Z706" s="31" t="n"/>
    </row>
    <row r="707" ht="14.25" customHeight="1">
      <c r="A707" s="31" t="n"/>
      <c r="D707" s="161" t="n"/>
      <c r="E707" s="161" t="n"/>
      <c r="Q707" s="31" t="n"/>
      <c r="R707" s="31" t="n"/>
      <c r="S707" s="31" t="n"/>
      <c r="T707" s="31" t="n"/>
      <c r="U707" s="31" t="n"/>
      <c r="V707" s="31" t="n"/>
      <c r="W707" s="31" t="n"/>
      <c r="X707" s="31" t="n"/>
      <c r="Y707" s="31" t="n"/>
      <c r="Z707" s="31" t="n"/>
    </row>
    <row r="708" ht="14.25" customHeight="1">
      <c r="A708" s="31" t="n"/>
      <c r="D708" s="161" t="n"/>
      <c r="E708" s="161" t="n"/>
      <c r="Q708" s="31" t="n"/>
      <c r="R708" s="31" t="n"/>
      <c r="S708" s="31" t="n"/>
      <c r="T708" s="31" t="n"/>
      <c r="U708" s="31" t="n"/>
      <c r="V708" s="31" t="n"/>
      <c r="W708" s="31" t="n"/>
      <c r="X708" s="31" t="n"/>
      <c r="Y708" s="31" t="n"/>
      <c r="Z708" s="31" t="n"/>
    </row>
    <row r="709" ht="14.25" customHeight="1">
      <c r="A709" s="31" t="n"/>
      <c r="D709" s="161" t="n"/>
      <c r="E709" s="161" t="n"/>
      <c r="Q709" s="31" t="n"/>
      <c r="R709" s="31" t="n"/>
      <c r="S709" s="31" t="n"/>
      <c r="T709" s="31" t="n"/>
      <c r="U709" s="31" t="n"/>
      <c r="V709" s="31" t="n"/>
      <c r="W709" s="31" t="n"/>
      <c r="X709" s="31" t="n"/>
      <c r="Y709" s="31" t="n"/>
      <c r="Z709" s="31" t="n"/>
    </row>
    <row r="710" ht="14.25" customHeight="1">
      <c r="A710" s="31" t="n"/>
      <c r="D710" s="161" t="n"/>
      <c r="E710" s="161" t="n"/>
      <c r="Q710" s="31" t="n"/>
      <c r="R710" s="31" t="n"/>
      <c r="S710" s="31" t="n"/>
      <c r="T710" s="31" t="n"/>
      <c r="U710" s="31" t="n"/>
      <c r="V710" s="31" t="n"/>
      <c r="W710" s="31" t="n"/>
      <c r="X710" s="31" t="n"/>
      <c r="Y710" s="31" t="n"/>
      <c r="Z710" s="31" t="n"/>
    </row>
    <row r="711" ht="14.25" customHeight="1">
      <c r="A711" s="31" t="n"/>
      <c r="D711" s="161" t="n"/>
      <c r="E711" s="161" t="n"/>
      <c r="Q711" s="31" t="n"/>
      <c r="R711" s="31" t="n"/>
      <c r="S711" s="31" t="n"/>
      <c r="T711" s="31" t="n"/>
      <c r="U711" s="31" t="n"/>
      <c r="V711" s="31" t="n"/>
      <c r="W711" s="31" t="n"/>
      <c r="X711" s="31" t="n"/>
      <c r="Y711" s="31" t="n"/>
      <c r="Z711" s="31" t="n"/>
    </row>
    <row r="712" ht="14.25" customHeight="1">
      <c r="A712" s="31" t="n"/>
      <c r="D712" s="161" t="n"/>
      <c r="E712" s="161" t="n"/>
      <c r="Q712" s="31" t="n"/>
      <c r="R712" s="31" t="n"/>
      <c r="S712" s="31" t="n"/>
      <c r="T712" s="31" t="n"/>
      <c r="U712" s="31" t="n"/>
      <c r="V712" s="31" t="n"/>
      <c r="W712" s="31" t="n"/>
      <c r="X712" s="31" t="n"/>
      <c r="Y712" s="31" t="n"/>
      <c r="Z712" s="31" t="n"/>
    </row>
    <row r="713" ht="14.25" customHeight="1">
      <c r="A713" s="31" t="n"/>
      <c r="D713" s="161" t="n"/>
      <c r="E713" s="161" t="n"/>
      <c r="Q713" s="31" t="n"/>
      <c r="R713" s="31" t="n"/>
      <c r="S713" s="31" t="n"/>
      <c r="T713" s="31" t="n"/>
      <c r="U713" s="31" t="n"/>
      <c r="V713" s="31" t="n"/>
      <c r="W713" s="31" t="n"/>
      <c r="X713" s="31" t="n"/>
      <c r="Y713" s="31" t="n"/>
      <c r="Z713" s="31" t="n"/>
    </row>
    <row r="714" ht="14.25" customHeight="1">
      <c r="A714" s="31" t="n"/>
      <c r="D714" s="161" t="n"/>
      <c r="E714" s="161" t="n"/>
      <c r="Q714" s="31" t="n"/>
      <c r="R714" s="31" t="n"/>
      <c r="S714" s="31" t="n"/>
      <c r="T714" s="31" t="n"/>
      <c r="U714" s="31" t="n"/>
      <c r="V714" s="31" t="n"/>
      <c r="W714" s="31" t="n"/>
      <c r="X714" s="31" t="n"/>
      <c r="Y714" s="31" t="n"/>
      <c r="Z714" s="31" t="n"/>
    </row>
    <row r="715" ht="14.25" customHeight="1">
      <c r="A715" s="31" t="n"/>
      <c r="D715" s="161" t="n"/>
      <c r="E715" s="161" t="n"/>
      <c r="Q715" s="31" t="n"/>
      <c r="R715" s="31" t="n"/>
      <c r="S715" s="31" t="n"/>
      <c r="T715" s="31" t="n"/>
      <c r="U715" s="31" t="n"/>
      <c r="V715" s="31" t="n"/>
      <c r="W715" s="31" t="n"/>
      <c r="X715" s="31" t="n"/>
      <c r="Y715" s="31" t="n"/>
      <c r="Z715" s="31" t="n"/>
    </row>
    <row r="716" ht="14.25" customHeight="1">
      <c r="A716" s="31" t="n"/>
      <c r="D716" s="161" t="n"/>
      <c r="E716" s="161" t="n"/>
      <c r="Q716" s="31" t="n"/>
      <c r="R716" s="31" t="n"/>
      <c r="S716" s="31" t="n"/>
      <c r="T716" s="31" t="n"/>
      <c r="U716" s="31" t="n"/>
      <c r="V716" s="31" t="n"/>
      <c r="W716" s="31" t="n"/>
      <c r="X716" s="31" t="n"/>
      <c r="Y716" s="31" t="n"/>
      <c r="Z716" s="31" t="n"/>
    </row>
    <row r="717" ht="14.25" customHeight="1">
      <c r="A717" s="31" t="n"/>
      <c r="D717" s="161" t="n"/>
      <c r="E717" s="161" t="n"/>
      <c r="Q717" s="31" t="n"/>
      <c r="R717" s="31" t="n"/>
      <c r="S717" s="31" t="n"/>
      <c r="T717" s="31" t="n"/>
      <c r="U717" s="31" t="n"/>
      <c r="V717" s="31" t="n"/>
      <c r="W717" s="31" t="n"/>
      <c r="X717" s="31" t="n"/>
      <c r="Y717" s="31" t="n"/>
      <c r="Z717" s="31" t="n"/>
    </row>
    <row r="718" ht="14.25" customHeight="1">
      <c r="A718" s="31" t="n"/>
      <c r="D718" s="161" t="n"/>
      <c r="E718" s="161" t="n"/>
      <c r="Q718" s="31" t="n"/>
      <c r="R718" s="31" t="n"/>
      <c r="S718" s="31" t="n"/>
      <c r="T718" s="31" t="n"/>
      <c r="U718" s="31" t="n"/>
      <c r="V718" s="31" t="n"/>
      <c r="W718" s="31" t="n"/>
      <c r="X718" s="31" t="n"/>
      <c r="Y718" s="31" t="n"/>
      <c r="Z718" s="31" t="n"/>
    </row>
    <row r="719" ht="14.25" customHeight="1">
      <c r="A719" s="31" t="n"/>
      <c r="D719" s="161" t="n"/>
      <c r="E719" s="161" t="n"/>
      <c r="Q719" s="31" t="n"/>
      <c r="R719" s="31" t="n"/>
      <c r="S719" s="31" t="n"/>
      <c r="T719" s="31" t="n"/>
      <c r="U719" s="31" t="n"/>
      <c r="V719" s="31" t="n"/>
      <c r="W719" s="31" t="n"/>
      <c r="X719" s="31" t="n"/>
      <c r="Y719" s="31" t="n"/>
      <c r="Z719" s="31" t="n"/>
    </row>
    <row r="720" ht="14.25" customHeight="1">
      <c r="A720" s="31" t="n"/>
      <c r="D720" s="161" t="n"/>
      <c r="E720" s="161" t="n"/>
      <c r="Q720" s="31" t="n"/>
      <c r="R720" s="31" t="n"/>
      <c r="S720" s="31" t="n"/>
      <c r="T720" s="31" t="n"/>
      <c r="U720" s="31" t="n"/>
      <c r="V720" s="31" t="n"/>
      <c r="W720" s="31" t="n"/>
      <c r="X720" s="31" t="n"/>
      <c r="Y720" s="31" t="n"/>
      <c r="Z720" s="31" t="n"/>
    </row>
    <row r="721" ht="14.25" customHeight="1">
      <c r="A721" s="31" t="n"/>
      <c r="D721" s="161" t="n"/>
      <c r="E721" s="161" t="n"/>
      <c r="Q721" s="31" t="n"/>
      <c r="R721" s="31" t="n"/>
      <c r="S721" s="31" t="n"/>
      <c r="T721" s="31" t="n"/>
      <c r="U721" s="31" t="n"/>
      <c r="V721" s="31" t="n"/>
      <c r="W721" s="31" t="n"/>
      <c r="X721" s="31" t="n"/>
      <c r="Y721" s="31" t="n"/>
      <c r="Z721" s="31" t="n"/>
    </row>
    <row r="722" ht="14.25" customHeight="1">
      <c r="A722" s="31" t="n"/>
      <c r="D722" s="161" t="n"/>
      <c r="E722" s="161" t="n"/>
      <c r="Q722" s="31" t="n"/>
      <c r="R722" s="31" t="n"/>
      <c r="S722" s="31" t="n"/>
      <c r="T722" s="31" t="n"/>
      <c r="U722" s="31" t="n"/>
      <c r="V722" s="31" t="n"/>
      <c r="W722" s="31" t="n"/>
      <c r="X722" s="31" t="n"/>
      <c r="Y722" s="31" t="n"/>
      <c r="Z722" s="31" t="n"/>
    </row>
    <row r="723" ht="14.25" customHeight="1">
      <c r="A723" s="31" t="n"/>
      <c r="D723" s="161" t="n"/>
      <c r="E723" s="161" t="n"/>
      <c r="Q723" s="31" t="n"/>
      <c r="R723" s="31" t="n"/>
      <c r="S723" s="31" t="n"/>
      <c r="T723" s="31" t="n"/>
      <c r="U723" s="31" t="n"/>
      <c r="V723" s="31" t="n"/>
      <c r="W723" s="31" t="n"/>
      <c r="X723" s="31" t="n"/>
      <c r="Y723" s="31" t="n"/>
      <c r="Z723" s="31" t="n"/>
    </row>
    <row r="724" ht="14.25" customHeight="1">
      <c r="A724" s="31" t="n"/>
      <c r="D724" s="161" t="n"/>
      <c r="E724" s="161" t="n"/>
      <c r="Q724" s="31" t="n"/>
      <c r="R724" s="31" t="n"/>
      <c r="S724" s="31" t="n"/>
      <c r="T724" s="31" t="n"/>
      <c r="U724" s="31" t="n"/>
      <c r="V724" s="31" t="n"/>
      <c r="W724" s="31" t="n"/>
      <c r="X724" s="31" t="n"/>
      <c r="Y724" s="31" t="n"/>
      <c r="Z724" s="31" t="n"/>
    </row>
    <row r="725" ht="14.25" customHeight="1">
      <c r="A725" s="31" t="n"/>
      <c r="D725" s="161" t="n"/>
      <c r="E725" s="161" t="n"/>
      <c r="Q725" s="31" t="n"/>
      <c r="R725" s="31" t="n"/>
      <c r="S725" s="31" t="n"/>
      <c r="T725" s="31" t="n"/>
      <c r="U725" s="31" t="n"/>
      <c r="V725" s="31" t="n"/>
      <c r="W725" s="31" t="n"/>
      <c r="X725" s="31" t="n"/>
      <c r="Y725" s="31" t="n"/>
      <c r="Z725" s="31" t="n"/>
    </row>
    <row r="726" ht="14.25" customHeight="1">
      <c r="A726" s="31" t="n"/>
      <c r="D726" s="161" t="n"/>
      <c r="E726" s="161" t="n"/>
      <c r="Q726" s="31" t="n"/>
      <c r="R726" s="31" t="n"/>
      <c r="S726" s="31" t="n"/>
      <c r="T726" s="31" t="n"/>
      <c r="U726" s="31" t="n"/>
      <c r="V726" s="31" t="n"/>
      <c r="W726" s="31" t="n"/>
      <c r="X726" s="31" t="n"/>
      <c r="Y726" s="31" t="n"/>
      <c r="Z726" s="31" t="n"/>
    </row>
    <row r="727" ht="14.25" customHeight="1">
      <c r="A727" s="31" t="n"/>
      <c r="D727" s="161" t="n"/>
      <c r="E727" s="161" t="n"/>
      <c r="Q727" s="31" t="n"/>
      <c r="R727" s="31" t="n"/>
      <c r="S727" s="31" t="n"/>
      <c r="T727" s="31" t="n"/>
      <c r="U727" s="31" t="n"/>
      <c r="V727" s="31" t="n"/>
      <c r="W727" s="31" t="n"/>
      <c r="X727" s="31" t="n"/>
      <c r="Y727" s="31" t="n"/>
      <c r="Z727" s="31" t="n"/>
    </row>
    <row r="728" ht="14.25" customHeight="1">
      <c r="A728" s="31" t="n"/>
      <c r="D728" s="161" t="n"/>
      <c r="E728" s="161" t="n"/>
      <c r="Q728" s="31" t="n"/>
      <c r="R728" s="31" t="n"/>
      <c r="S728" s="31" t="n"/>
      <c r="T728" s="31" t="n"/>
      <c r="U728" s="31" t="n"/>
      <c r="V728" s="31" t="n"/>
      <c r="W728" s="31" t="n"/>
      <c r="X728" s="31" t="n"/>
      <c r="Y728" s="31" t="n"/>
      <c r="Z728" s="31" t="n"/>
    </row>
    <row r="729" ht="14.25" customHeight="1">
      <c r="A729" s="31" t="n"/>
      <c r="D729" s="161" t="n"/>
      <c r="E729" s="161" t="n"/>
      <c r="Q729" s="31" t="n"/>
      <c r="R729" s="31" t="n"/>
      <c r="S729" s="31" t="n"/>
      <c r="T729" s="31" t="n"/>
      <c r="U729" s="31" t="n"/>
      <c r="V729" s="31" t="n"/>
      <c r="W729" s="31" t="n"/>
      <c r="X729" s="31" t="n"/>
      <c r="Y729" s="31" t="n"/>
      <c r="Z729" s="31" t="n"/>
    </row>
    <row r="730" ht="14.25" customHeight="1">
      <c r="A730" s="31" t="n"/>
      <c r="D730" s="161" t="n"/>
      <c r="E730" s="161" t="n"/>
      <c r="Q730" s="31" t="n"/>
      <c r="R730" s="31" t="n"/>
      <c r="S730" s="31" t="n"/>
      <c r="T730" s="31" t="n"/>
      <c r="U730" s="31" t="n"/>
      <c r="V730" s="31" t="n"/>
      <c r="W730" s="31" t="n"/>
      <c r="X730" s="31" t="n"/>
      <c r="Y730" s="31" t="n"/>
      <c r="Z730" s="31" t="n"/>
    </row>
    <row r="731" ht="14.25" customHeight="1">
      <c r="A731" s="31" t="n"/>
      <c r="D731" s="161" t="n"/>
      <c r="E731" s="161" t="n"/>
      <c r="Q731" s="31" t="n"/>
      <c r="R731" s="31" t="n"/>
      <c r="S731" s="31" t="n"/>
      <c r="T731" s="31" t="n"/>
      <c r="U731" s="31" t="n"/>
      <c r="V731" s="31" t="n"/>
      <c r="W731" s="31" t="n"/>
      <c r="X731" s="31" t="n"/>
      <c r="Y731" s="31" t="n"/>
      <c r="Z731" s="31" t="n"/>
    </row>
    <row r="732" ht="14.25" customHeight="1">
      <c r="A732" s="31" t="n"/>
      <c r="D732" s="161" t="n"/>
      <c r="E732" s="161" t="n"/>
      <c r="Q732" s="31" t="n"/>
      <c r="R732" s="31" t="n"/>
      <c r="S732" s="31" t="n"/>
      <c r="T732" s="31" t="n"/>
      <c r="U732" s="31" t="n"/>
      <c r="V732" s="31" t="n"/>
      <c r="W732" s="31" t="n"/>
      <c r="X732" s="31" t="n"/>
      <c r="Y732" s="31" t="n"/>
      <c r="Z732" s="31" t="n"/>
    </row>
    <row r="733" ht="14.25" customHeight="1">
      <c r="A733" s="31" t="n"/>
      <c r="D733" s="161" t="n"/>
      <c r="E733" s="161" t="n"/>
      <c r="Q733" s="31" t="n"/>
      <c r="R733" s="31" t="n"/>
      <c r="S733" s="31" t="n"/>
      <c r="T733" s="31" t="n"/>
      <c r="U733" s="31" t="n"/>
      <c r="V733" s="31" t="n"/>
      <c r="W733" s="31" t="n"/>
      <c r="X733" s="31" t="n"/>
      <c r="Y733" s="31" t="n"/>
      <c r="Z733" s="31" t="n"/>
    </row>
    <row r="734" ht="14.25" customHeight="1">
      <c r="A734" s="31" t="n"/>
      <c r="D734" s="161" t="n"/>
      <c r="E734" s="161" t="n"/>
      <c r="Q734" s="31" t="n"/>
      <c r="R734" s="31" t="n"/>
      <c r="S734" s="31" t="n"/>
      <c r="T734" s="31" t="n"/>
      <c r="U734" s="31" t="n"/>
      <c r="V734" s="31" t="n"/>
      <c r="W734" s="31" t="n"/>
      <c r="X734" s="31" t="n"/>
      <c r="Y734" s="31" t="n"/>
      <c r="Z734" s="31" t="n"/>
    </row>
    <row r="735" ht="14.25" customHeight="1">
      <c r="A735" s="31" t="n"/>
      <c r="D735" s="161" t="n"/>
      <c r="E735" s="161" t="n"/>
      <c r="Q735" s="31" t="n"/>
      <c r="R735" s="31" t="n"/>
      <c r="S735" s="31" t="n"/>
      <c r="T735" s="31" t="n"/>
      <c r="U735" s="31" t="n"/>
      <c r="V735" s="31" t="n"/>
      <c r="W735" s="31" t="n"/>
      <c r="X735" s="31" t="n"/>
      <c r="Y735" s="31" t="n"/>
      <c r="Z735" s="31" t="n"/>
    </row>
    <row r="736" ht="14.25" customHeight="1">
      <c r="A736" s="31" t="n"/>
      <c r="D736" s="161" t="n"/>
      <c r="E736" s="161" t="n"/>
      <c r="Q736" s="31" t="n"/>
      <c r="R736" s="31" t="n"/>
      <c r="S736" s="31" t="n"/>
      <c r="T736" s="31" t="n"/>
      <c r="U736" s="31" t="n"/>
      <c r="V736" s="31" t="n"/>
      <c r="W736" s="31" t="n"/>
      <c r="X736" s="31" t="n"/>
      <c r="Y736" s="31" t="n"/>
      <c r="Z736" s="31" t="n"/>
    </row>
    <row r="737" ht="14.25" customHeight="1">
      <c r="A737" s="31" t="n"/>
      <c r="D737" s="161" t="n"/>
      <c r="E737" s="161" t="n"/>
      <c r="Q737" s="31" t="n"/>
      <c r="R737" s="31" t="n"/>
      <c r="S737" s="31" t="n"/>
      <c r="T737" s="31" t="n"/>
      <c r="U737" s="31" t="n"/>
      <c r="V737" s="31" t="n"/>
      <c r="W737" s="31" t="n"/>
      <c r="X737" s="31" t="n"/>
      <c r="Y737" s="31" t="n"/>
      <c r="Z737" s="31" t="n"/>
    </row>
    <row r="738" ht="14.25" customHeight="1">
      <c r="A738" s="31" t="n"/>
      <c r="D738" s="161" t="n"/>
      <c r="E738" s="161" t="n"/>
      <c r="Q738" s="31" t="n"/>
      <c r="R738" s="31" t="n"/>
      <c r="S738" s="31" t="n"/>
      <c r="T738" s="31" t="n"/>
      <c r="U738" s="31" t="n"/>
      <c r="V738" s="31" t="n"/>
      <c r="W738" s="31" t="n"/>
      <c r="X738" s="31" t="n"/>
      <c r="Y738" s="31" t="n"/>
      <c r="Z738" s="31" t="n"/>
    </row>
    <row r="739" ht="14.25" customHeight="1">
      <c r="A739" s="31" t="n"/>
      <c r="D739" s="161" t="n"/>
      <c r="E739" s="161" t="n"/>
      <c r="Q739" s="31" t="n"/>
      <c r="R739" s="31" t="n"/>
      <c r="S739" s="31" t="n"/>
      <c r="T739" s="31" t="n"/>
      <c r="U739" s="31" t="n"/>
      <c r="V739" s="31" t="n"/>
      <c r="W739" s="31" t="n"/>
      <c r="X739" s="31" t="n"/>
      <c r="Y739" s="31" t="n"/>
      <c r="Z739" s="31" t="n"/>
    </row>
    <row r="740" ht="14.25" customHeight="1">
      <c r="A740" s="31" t="n"/>
      <c r="D740" s="161" t="n"/>
      <c r="E740" s="161" t="n"/>
      <c r="Q740" s="31" t="n"/>
      <c r="R740" s="31" t="n"/>
      <c r="S740" s="31" t="n"/>
      <c r="T740" s="31" t="n"/>
      <c r="U740" s="31" t="n"/>
      <c r="V740" s="31" t="n"/>
      <c r="W740" s="31" t="n"/>
      <c r="X740" s="31" t="n"/>
      <c r="Y740" s="31" t="n"/>
      <c r="Z740" s="31" t="n"/>
    </row>
    <row r="741" ht="14.25" customHeight="1">
      <c r="A741" s="31" t="n"/>
      <c r="D741" s="161" t="n"/>
      <c r="E741" s="161" t="n"/>
      <c r="Q741" s="31" t="n"/>
      <c r="R741" s="31" t="n"/>
      <c r="S741" s="31" t="n"/>
      <c r="T741" s="31" t="n"/>
      <c r="U741" s="31" t="n"/>
      <c r="V741" s="31" t="n"/>
      <c r="W741" s="31" t="n"/>
      <c r="X741" s="31" t="n"/>
      <c r="Y741" s="31" t="n"/>
      <c r="Z741" s="31" t="n"/>
    </row>
    <row r="742" ht="14.25" customHeight="1">
      <c r="A742" s="31" t="n"/>
      <c r="D742" s="161" t="n"/>
      <c r="E742" s="161" t="n"/>
      <c r="Q742" s="31" t="n"/>
      <c r="R742" s="31" t="n"/>
      <c r="S742" s="31" t="n"/>
      <c r="T742" s="31" t="n"/>
      <c r="U742" s="31" t="n"/>
      <c r="V742" s="31" t="n"/>
      <c r="W742" s="31" t="n"/>
      <c r="X742" s="31" t="n"/>
      <c r="Y742" s="31" t="n"/>
      <c r="Z742" s="31" t="n"/>
    </row>
    <row r="743" ht="14.25" customHeight="1">
      <c r="A743" s="31" t="n"/>
      <c r="D743" s="161" t="n"/>
      <c r="E743" s="161" t="n"/>
      <c r="Q743" s="31" t="n"/>
      <c r="R743" s="31" t="n"/>
      <c r="S743" s="31" t="n"/>
      <c r="T743" s="31" t="n"/>
      <c r="U743" s="31" t="n"/>
      <c r="V743" s="31" t="n"/>
      <c r="W743" s="31" t="n"/>
      <c r="X743" s="31" t="n"/>
      <c r="Y743" s="31" t="n"/>
      <c r="Z743" s="31" t="n"/>
    </row>
    <row r="744" ht="14.25" customHeight="1">
      <c r="A744" s="31" t="n"/>
      <c r="D744" s="161" t="n"/>
      <c r="E744" s="161" t="n"/>
      <c r="Q744" s="31" t="n"/>
      <c r="R744" s="31" t="n"/>
      <c r="S744" s="31" t="n"/>
      <c r="T744" s="31" t="n"/>
      <c r="U744" s="31" t="n"/>
      <c r="V744" s="31" t="n"/>
      <c r="W744" s="31" t="n"/>
      <c r="X744" s="31" t="n"/>
      <c r="Y744" s="31" t="n"/>
      <c r="Z744" s="31" t="n"/>
    </row>
    <row r="745" ht="14.25" customHeight="1">
      <c r="A745" s="31" t="n"/>
      <c r="D745" s="161" t="n"/>
      <c r="E745" s="161" t="n"/>
      <c r="Q745" s="31" t="n"/>
      <c r="R745" s="31" t="n"/>
      <c r="S745" s="31" t="n"/>
      <c r="T745" s="31" t="n"/>
      <c r="U745" s="31" t="n"/>
      <c r="V745" s="31" t="n"/>
      <c r="W745" s="31" t="n"/>
      <c r="X745" s="31" t="n"/>
      <c r="Y745" s="31" t="n"/>
      <c r="Z745" s="31" t="n"/>
    </row>
    <row r="746" ht="14.25" customHeight="1">
      <c r="A746" s="31" t="n"/>
      <c r="D746" s="161" t="n"/>
      <c r="E746" s="161" t="n"/>
      <c r="Q746" s="31" t="n"/>
      <c r="R746" s="31" t="n"/>
      <c r="S746" s="31" t="n"/>
      <c r="T746" s="31" t="n"/>
      <c r="U746" s="31" t="n"/>
      <c r="V746" s="31" t="n"/>
      <c r="W746" s="31" t="n"/>
      <c r="X746" s="31" t="n"/>
      <c r="Y746" s="31" t="n"/>
      <c r="Z746" s="31" t="n"/>
    </row>
    <row r="747" ht="14.25" customHeight="1">
      <c r="A747" s="31" t="n"/>
      <c r="D747" s="161" t="n"/>
      <c r="E747" s="161" t="n"/>
      <c r="Q747" s="31" t="n"/>
      <c r="R747" s="31" t="n"/>
      <c r="S747" s="31" t="n"/>
      <c r="T747" s="31" t="n"/>
      <c r="U747" s="31" t="n"/>
      <c r="V747" s="31" t="n"/>
      <c r="W747" s="31" t="n"/>
      <c r="X747" s="31" t="n"/>
      <c r="Y747" s="31" t="n"/>
      <c r="Z747" s="31" t="n"/>
    </row>
    <row r="748" ht="14.25" customHeight="1">
      <c r="A748" s="31" t="n"/>
      <c r="D748" s="161" t="n"/>
      <c r="E748" s="161" t="n"/>
      <c r="Q748" s="31" t="n"/>
      <c r="R748" s="31" t="n"/>
      <c r="S748" s="31" t="n"/>
      <c r="T748" s="31" t="n"/>
      <c r="U748" s="31" t="n"/>
      <c r="V748" s="31" t="n"/>
      <c r="W748" s="31" t="n"/>
      <c r="X748" s="31" t="n"/>
      <c r="Y748" s="31" t="n"/>
      <c r="Z748" s="31" t="n"/>
    </row>
    <row r="749" ht="14.25" customHeight="1">
      <c r="A749" s="31" t="n"/>
      <c r="D749" s="161" t="n"/>
      <c r="E749" s="161" t="n"/>
      <c r="Q749" s="31" t="n"/>
      <c r="R749" s="31" t="n"/>
      <c r="S749" s="31" t="n"/>
      <c r="T749" s="31" t="n"/>
      <c r="U749" s="31" t="n"/>
      <c r="V749" s="31" t="n"/>
      <c r="W749" s="31" t="n"/>
      <c r="X749" s="31" t="n"/>
      <c r="Y749" s="31" t="n"/>
      <c r="Z749" s="31" t="n"/>
    </row>
    <row r="750" ht="14.25" customHeight="1">
      <c r="A750" s="31" t="n"/>
      <c r="D750" s="161" t="n"/>
      <c r="E750" s="161" t="n"/>
      <c r="Q750" s="31" t="n"/>
      <c r="R750" s="31" t="n"/>
      <c r="S750" s="31" t="n"/>
      <c r="T750" s="31" t="n"/>
      <c r="U750" s="31" t="n"/>
      <c r="V750" s="31" t="n"/>
      <c r="W750" s="31" t="n"/>
      <c r="X750" s="31" t="n"/>
      <c r="Y750" s="31" t="n"/>
      <c r="Z750" s="31" t="n"/>
    </row>
    <row r="751" ht="14.25" customHeight="1">
      <c r="A751" s="31" t="n"/>
      <c r="D751" s="161" t="n"/>
      <c r="E751" s="161" t="n"/>
      <c r="Q751" s="31" t="n"/>
      <c r="R751" s="31" t="n"/>
      <c r="S751" s="31" t="n"/>
      <c r="T751" s="31" t="n"/>
      <c r="U751" s="31" t="n"/>
      <c r="V751" s="31" t="n"/>
      <c r="W751" s="31" t="n"/>
      <c r="X751" s="31" t="n"/>
      <c r="Y751" s="31" t="n"/>
      <c r="Z751" s="31" t="n"/>
    </row>
    <row r="752" ht="14.25" customHeight="1">
      <c r="A752" s="31" t="n"/>
      <c r="D752" s="161" t="n"/>
      <c r="E752" s="161" t="n"/>
      <c r="Q752" s="31" t="n"/>
      <c r="R752" s="31" t="n"/>
      <c r="S752" s="31" t="n"/>
      <c r="T752" s="31" t="n"/>
      <c r="U752" s="31" t="n"/>
      <c r="V752" s="31" t="n"/>
      <c r="W752" s="31" t="n"/>
      <c r="X752" s="31" t="n"/>
      <c r="Y752" s="31" t="n"/>
      <c r="Z752" s="31" t="n"/>
    </row>
    <row r="753" ht="14.25" customHeight="1">
      <c r="A753" s="31" t="n"/>
      <c r="D753" s="161" t="n"/>
      <c r="E753" s="161" t="n"/>
      <c r="Q753" s="31" t="n"/>
      <c r="R753" s="31" t="n"/>
      <c r="S753" s="31" t="n"/>
      <c r="T753" s="31" t="n"/>
      <c r="U753" s="31" t="n"/>
      <c r="V753" s="31" t="n"/>
      <c r="W753" s="31" t="n"/>
      <c r="X753" s="31" t="n"/>
      <c r="Y753" s="31" t="n"/>
      <c r="Z753" s="31" t="n"/>
    </row>
    <row r="754" ht="14.25" customHeight="1">
      <c r="A754" s="31" t="n"/>
      <c r="D754" s="161" t="n"/>
      <c r="E754" s="161" t="n"/>
      <c r="Q754" s="31" t="n"/>
      <c r="R754" s="31" t="n"/>
      <c r="S754" s="31" t="n"/>
      <c r="T754" s="31" t="n"/>
      <c r="U754" s="31" t="n"/>
      <c r="V754" s="31" t="n"/>
      <c r="W754" s="31" t="n"/>
      <c r="X754" s="31" t="n"/>
      <c r="Y754" s="31" t="n"/>
      <c r="Z754" s="31" t="n"/>
    </row>
    <row r="755" ht="14.25" customHeight="1">
      <c r="A755" s="31" t="n"/>
      <c r="D755" s="161" t="n"/>
      <c r="E755" s="161" t="n"/>
      <c r="Q755" s="31" t="n"/>
      <c r="R755" s="31" t="n"/>
      <c r="S755" s="31" t="n"/>
      <c r="T755" s="31" t="n"/>
      <c r="U755" s="31" t="n"/>
      <c r="V755" s="31" t="n"/>
      <c r="W755" s="31" t="n"/>
      <c r="X755" s="31" t="n"/>
      <c r="Y755" s="31" t="n"/>
      <c r="Z755" s="31" t="n"/>
    </row>
    <row r="756" ht="14.25" customHeight="1">
      <c r="A756" s="31" t="n"/>
      <c r="D756" s="161" t="n"/>
      <c r="E756" s="161" t="n"/>
      <c r="Q756" s="31" t="n"/>
      <c r="R756" s="31" t="n"/>
      <c r="S756" s="31" t="n"/>
      <c r="T756" s="31" t="n"/>
      <c r="U756" s="31" t="n"/>
      <c r="V756" s="31" t="n"/>
      <c r="W756" s="31" t="n"/>
      <c r="X756" s="31" t="n"/>
      <c r="Y756" s="31" t="n"/>
      <c r="Z756" s="31" t="n"/>
    </row>
    <row r="757" ht="14.25" customHeight="1">
      <c r="A757" s="31" t="n"/>
      <c r="D757" s="161" t="n"/>
      <c r="E757" s="161" t="n"/>
      <c r="Q757" s="31" t="n"/>
      <c r="R757" s="31" t="n"/>
      <c r="S757" s="31" t="n"/>
      <c r="T757" s="31" t="n"/>
      <c r="U757" s="31" t="n"/>
      <c r="V757" s="31" t="n"/>
      <c r="W757" s="31" t="n"/>
      <c r="X757" s="31" t="n"/>
      <c r="Y757" s="31" t="n"/>
      <c r="Z757" s="31" t="n"/>
    </row>
    <row r="758" ht="14.25" customHeight="1">
      <c r="A758" s="31" t="n"/>
      <c r="D758" s="161" t="n"/>
      <c r="E758" s="161" t="n"/>
      <c r="Q758" s="31" t="n"/>
      <c r="R758" s="31" t="n"/>
      <c r="S758" s="31" t="n"/>
      <c r="T758" s="31" t="n"/>
      <c r="U758" s="31" t="n"/>
      <c r="V758" s="31" t="n"/>
      <c r="W758" s="31" t="n"/>
      <c r="X758" s="31" t="n"/>
      <c r="Y758" s="31" t="n"/>
      <c r="Z758" s="31" t="n"/>
    </row>
    <row r="759" ht="14.25" customHeight="1">
      <c r="A759" s="31" t="n"/>
      <c r="D759" s="161" t="n"/>
      <c r="E759" s="161" t="n"/>
      <c r="Q759" s="31" t="n"/>
      <c r="R759" s="31" t="n"/>
      <c r="S759" s="31" t="n"/>
      <c r="T759" s="31" t="n"/>
      <c r="U759" s="31" t="n"/>
      <c r="V759" s="31" t="n"/>
      <c r="W759" s="31" t="n"/>
      <c r="X759" s="31" t="n"/>
      <c r="Y759" s="31" t="n"/>
      <c r="Z759" s="31" t="n"/>
    </row>
    <row r="760" ht="14.25" customHeight="1">
      <c r="A760" s="31" t="n"/>
      <c r="D760" s="161" t="n"/>
      <c r="E760" s="161" t="n"/>
      <c r="Q760" s="31" t="n"/>
      <c r="R760" s="31" t="n"/>
      <c r="S760" s="31" t="n"/>
      <c r="T760" s="31" t="n"/>
      <c r="U760" s="31" t="n"/>
      <c r="V760" s="31" t="n"/>
      <c r="W760" s="31" t="n"/>
      <c r="X760" s="31" t="n"/>
      <c r="Y760" s="31" t="n"/>
      <c r="Z760" s="31" t="n"/>
    </row>
    <row r="761" ht="14.25" customHeight="1">
      <c r="A761" s="31" t="n"/>
      <c r="D761" s="161" t="n"/>
      <c r="E761" s="161" t="n"/>
      <c r="Q761" s="31" t="n"/>
      <c r="R761" s="31" t="n"/>
      <c r="S761" s="31" t="n"/>
      <c r="T761" s="31" t="n"/>
      <c r="U761" s="31" t="n"/>
      <c r="V761" s="31" t="n"/>
      <c r="W761" s="31" t="n"/>
      <c r="X761" s="31" t="n"/>
      <c r="Y761" s="31" t="n"/>
      <c r="Z761" s="31" t="n"/>
    </row>
    <row r="762" ht="14.25" customHeight="1">
      <c r="A762" s="31" t="n"/>
      <c r="D762" s="161" t="n"/>
      <c r="E762" s="161" t="n"/>
      <c r="Q762" s="31" t="n"/>
      <c r="R762" s="31" t="n"/>
      <c r="S762" s="31" t="n"/>
      <c r="T762" s="31" t="n"/>
      <c r="U762" s="31" t="n"/>
      <c r="V762" s="31" t="n"/>
      <c r="W762" s="31" t="n"/>
      <c r="X762" s="31" t="n"/>
      <c r="Y762" s="31" t="n"/>
      <c r="Z762" s="31" t="n"/>
    </row>
    <row r="763" ht="14.25" customHeight="1">
      <c r="A763" s="31" t="n"/>
      <c r="D763" s="161" t="n"/>
      <c r="E763" s="161" t="n"/>
      <c r="Q763" s="31" t="n"/>
      <c r="R763" s="31" t="n"/>
      <c r="S763" s="31" t="n"/>
      <c r="T763" s="31" t="n"/>
      <c r="U763" s="31" t="n"/>
      <c r="V763" s="31" t="n"/>
      <c r="W763" s="31" t="n"/>
      <c r="X763" s="31" t="n"/>
      <c r="Y763" s="31" t="n"/>
      <c r="Z763" s="31" t="n"/>
    </row>
    <row r="764" ht="14.25" customHeight="1">
      <c r="A764" s="31" t="n"/>
      <c r="D764" s="161" t="n"/>
      <c r="E764" s="161" t="n"/>
      <c r="Q764" s="31" t="n"/>
      <c r="R764" s="31" t="n"/>
      <c r="S764" s="31" t="n"/>
      <c r="T764" s="31" t="n"/>
      <c r="U764" s="31" t="n"/>
      <c r="V764" s="31" t="n"/>
      <c r="W764" s="31" t="n"/>
      <c r="X764" s="31" t="n"/>
      <c r="Y764" s="31" t="n"/>
      <c r="Z764" s="31" t="n"/>
    </row>
    <row r="765" ht="14.25" customHeight="1">
      <c r="A765" s="31" t="n"/>
      <c r="D765" s="161" t="n"/>
      <c r="E765" s="161" t="n"/>
      <c r="Q765" s="31" t="n"/>
      <c r="R765" s="31" t="n"/>
      <c r="S765" s="31" t="n"/>
      <c r="T765" s="31" t="n"/>
      <c r="U765" s="31" t="n"/>
      <c r="V765" s="31" t="n"/>
      <c r="W765" s="31" t="n"/>
      <c r="X765" s="31" t="n"/>
      <c r="Y765" s="31" t="n"/>
      <c r="Z765" s="31" t="n"/>
    </row>
    <row r="766" ht="14.25" customHeight="1">
      <c r="A766" s="31" t="n"/>
      <c r="D766" s="161" t="n"/>
      <c r="E766" s="161" t="n"/>
      <c r="Q766" s="31" t="n"/>
      <c r="R766" s="31" t="n"/>
      <c r="S766" s="31" t="n"/>
      <c r="T766" s="31" t="n"/>
      <c r="U766" s="31" t="n"/>
      <c r="V766" s="31" t="n"/>
      <c r="W766" s="31" t="n"/>
      <c r="X766" s="31" t="n"/>
      <c r="Y766" s="31" t="n"/>
      <c r="Z766" s="31" t="n"/>
    </row>
    <row r="767" ht="14.25" customHeight="1">
      <c r="A767" s="31" t="n"/>
      <c r="D767" s="161" t="n"/>
      <c r="E767" s="161" t="n"/>
      <c r="Q767" s="31" t="n"/>
      <c r="R767" s="31" t="n"/>
      <c r="S767" s="31" t="n"/>
      <c r="T767" s="31" t="n"/>
      <c r="U767" s="31" t="n"/>
      <c r="V767" s="31" t="n"/>
      <c r="W767" s="31" t="n"/>
      <c r="X767" s="31" t="n"/>
      <c r="Y767" s="31" t="n"/>
      <c r="Z767" s="31" t="n"/>
    </row>
    <row r="768" ht="14.25" customHeight="1">
      <c r="A768" s="31" t="n"/>
      <c r="D768" s="161" t="n"/>
      <c r="E768" s="161" t="n"/>
      <c r="Q768" s="31" t="n"/>
      <c r="R768" s="31" t="n"/>
      <c r="S768" s="31" t="n"/>
      <c r="T768" s="31" t="n"/>
      <c r="U768" s="31" t="n"/>
      <c r="V768" s="31" t="n"/>
      <c r="W768" s="31" t="n"/>
      <c r="X768" s="31" t="n"/>
      <c r="Y768" s="31" t="n"/>
      <c r="Z768" s="31" t="n"/>
    </row>
    <row r="769" ht="14.25" customHeight="1">
      <c r="A769" s="31" t="n"/>
      <c r="D769" s="161" t="n"/>
      <c r="E769" s="161" t="n"/>
      <c r="Q769" s="31" t="n"/>
      <c r="R769" s="31" t="n"/>
      <c r="S769" s="31" t="n"/>
      <c r="T769" s="31" t="n"/>
      <c r="U769" s="31" t="n"/>
      <c r="V769" s="31" t="n"/>
      <c r="W769" s="31" t="n"/>
      <c r="X769" s="31" t="n"/>
      <c r="Y769" s="31" t="n"/>
      <c r="Z769" s="31" t="n"/>
    </row>
    <row r="770" ht="14.25" customHeight="1">
      <c r="A770" s="31" t="n"/>
      <c r="D770" s="161" t="n"/>
      <c r="E770" s="161" t="n"/>
      <c r="Q770" s="31" t="n"/>
      <c r="R770" s="31" t="n"/>
      <c r="S770" s="31" t="n"/>
      <c r="T770" s="31" t="n"/>
      <c r="U770" s="31" t="n"/>
      <c r="V770" s="31" t="n"/>
      <c r="W770" s="31" t="n"/>
      <c r="X770" s="31" t="n"/>
      <c r="Y770" s="31" t="n"/>
      <c r="Z770" s="31" t="n"/>
    </row>
    <row r="771" ht="14.25" customHeight="1">
      <c r="A771" s="31" t="n"/>
      <c r="D771" s="161" t="n"/>
      <c r="E771" s="161" t="n"/>
      <c r="Q771" s="31" t="n"/>
      <c r="R771" s="31" t="n"/>
      <c r="S771" s="31" t="n"/>
      <c r="T771" s="31" t="n"/>
      <c r="U771" s="31" t="n"/>
      <c r="V771" s="31" t="n"/>
      <c r="W771" s="31" t="n"/>
      <c r="X771" s="31" t="n"/>
      <c r="Y771" s="31" t="n"/>
      <c r="Z771" s="31" t="n"/>
    </row>
    <row r="772" ht="14.25" customHeight="1">
      <c r="A772" s="31" t="n"/>
      <c r="D772" s="161" t="n"/>
      <c r="E772" s="161" t="n"/>
      <c r="Q772" s="31" t="n"/>
      <c r="R772" s="31" t="n"/>
      <c r="S772" s="31" t="n"/>
      <c r="T772" s="31" t="n"/>
      <c r="U772" s="31" t="n"/>
      <c r="V772" s="31" t="n"/>
      <c r="W772" s="31" t="n"/>
      <c r="X772" s="31" t="n"/>
      <c r="Y772" s="31" t="n"/>
      <c r="Z772" s="31" t="n"/>
    </row>
    <row r="773" ht="14.25" customHeight="1">
      <c r="A773" s="31" t="n"/>
      <c r="D773" s="161" t="n"/>
      <c r="E773" s="161" t="n"/>
      <c r="Q773" s="31" t="n"/>
      <c r="R773" s="31" t="n"/>
      <c r="S773" s="31" t="n"/>
      <c r="T773" s="31" t="n"/>
      <c r="U773" s="31" t="n"/>
      <c r="V773" s="31" t="n"/>
      <c r="W773" s="31" t="n"/>
      <c r="X773" s="31" t="n"/>
      <c r="Y773" s="31" t="n"/>
      <c r="Z773" s="31" t="n"/>
    </row>
    <row r="774" ht="14.25" customHeight="1">
      <c r="A774" s="31" t="n"/>
      <c r="D774" s="161" t="n"/>
      <c r="E774" s="161" t="n"/>
      <c r="Q774" s="31" t="n"/>
      <c r="R774" s="31" t="n"/>
      <c r="S774" s="31" t="n"/>
      <c r="T774" s="31" t="n"/>
      <c r="U774" s="31" t="n"/>
      <c r="V774" s="31" t="n"/>
      <c r="W774" s="31" t="n"/>
      <c r="X774" s="31" t="n"/>
      <c r="Y774" s="31" t="n"/>
      <c r="Z774" s="31" t="n"/>
    </row>
    <row r="775" ht="14.25" customHeight="1">
      <c r="A775" s="31" t="n"/>
      <c r="D775" s="161" t="n"/>
      <c r="E775" s="161" t="n"/>
      <c r="Q775" s="31" t="n"/>
      <c r="R775" s="31" t="n"/>
      <c r="S775" s="31" t="n"/>
      <c r="T775" s="31" t="n"/>
      <c r="U775" s="31" t="n"/>
      <c r="V775" s="31" t="n"/>
      <c r="W775" s="31" t="n"/>
      <c r="X775" s="31" t="n"/>
      <c r="Y775" s="31" t="n"/>
      <c r="Z775" s="31" t="n"/>
    </row>
    <row r="776" ht="14.25" customHeight="1">
      <c r="A776" s="31" t="n"/>
      <c r="D776" s="161" t="n"/>
      <c r="E776" s="161" t="n"/>
      <c r="Q776" s="31" t="n"/>
      <c r="R776" s="31" t="n"/>
      <c r="S776" s="31" t="n"/>
      <c r="T776" s="31" t="n"/>
      <c r="U776" s="31" t="n"/>
      <c r="V776" s="31" t="n"/>
      <c r="W776" s="31" t="n"/>
      <c r="X776" s="31" t="n"/>
      <c r="Y776" s="31" t="n"/>
      <c r="Z776" s="31" t="n"/>
    </row>
    <row r="777" ht="14.25" customHeight="1">
      <c r="A777" s="31" t="n"/>
      <c r="D777" s="161" t="n"/>
      <c r="E777" s="161" t="n"/>
      <c r="Q777" s="31" t="n"/>
      <c r="R777" s="31" t="n"/>
      <c r="S777" s="31" t="n"/>
      <c r="T777" s="31" t="n"/>
      <c r="U777" s="31" t="n"/>
      <c r="V777" s="31" t="n"/>
      <c r="W777" s="31" t="n"/>
      <c r="X777" s="31" t="n"/>
      <c r="Y777" s="31" t="n"/>
      <c r="Z777" s="31" t="n"/>
    </row>
    <row r="778" ht="14.25" customHeight="1">
      <c r="A778" s="31" t="n"/>
      <c r="D778" s="161" t="n"/>
      <c r="E778" s="161" t="n"/>
      <c r="Q778" s="31" t="n"/>
      <c r="R778" s="31" t="n"/>
      <c r="S778" s="31" t="n"/>
      <c r="T778" s="31" t="n"/>
      <c r="U778" s="31" t="n"/>
      <c r="V778" s="31" t="n"/>
      <c r="W778" s="31" t="n"/>
      <c r="X778" s="31" t="n"/>
      <c r="Y778" s="31" t="n"/>
      <c r="Z778" s="31" t="n"/>
    </row>
    <row r="779" ht="14.25" customHeight="1">
      <c r="A779" s="31" t="n"/>
      <c r="D779" s="161" t="n"/>
      <c r="E779" s="161" t="n"/>
      <c r="Q779" s="31" t="n"/>
      <c r="R779" s="31" t="n"/>
      <c r="S779" s="31" t="n"/>
      <c r="T779" s="31" t="n"/>
      <c r="U779" s="31" t="n"/>
      <c r="V779" s="31" t="n"/>
      <c r="W779" s="31" t="n"/>
      <c r="X779" s="31" t="n"/>
      <c r="Y779" s="31" t="n"/>
      <c r="Z779" s="31" t="n"/>
    </row>
    <row r="780" ht="14.25" customHeight="1">
      <c r="A780" s="31" t="n"/>
      <c r="D780" s="161" t="n"/>
      <c r="E780" s="161" t="n"/>
      <c r="Q780" s="31" t="n"/>
      <c r="R780" s="31" t="n"/>
      <c r="S780" s="31" t="n"/>
      <c r="T780" s="31" t="n"/>
      <c r="U780" s="31" t="n"/>
      <c r="V780" s="31" t="n"/>
      <c r="W780" s="31" t="n"/>
      <c r="X780" s="31" t="n"/>
      <c r="Y780" s="31" t="n"/>
      <c r="Z780" s="31" t="n"/>
    </row>
    <row r="781" ht="14.25" customHeight="1">
      <c r="A781" s="31" t="n"/>
      <c r="D781" s="161" t="n"/>
      <c r="E781" s="161" t="n"/>
      <c r="Q781" s="31" t="n"/>
      <c r="R781" s="31" t="n"/>
      <c r="S781" s="31" t="n"/>
      <c r="T781" s="31" t="n"/>
      <c r="U781" s="31" t="n"/>
      <c r="V781" s="31" t="n"/>
      <c r="W781" s="31" t="n"/>
      <c r="X781" s="31" t="n"/>
      <c r="Y781" s="31" t="n"/>
      <c r="Z781" s="31" t="n"/>
    </row>
    <row r="782" ht="14.25" customHeight="1">
      <c r="A782" s="31" t="n"/>
      <c r="D782" s="161" t="n"/>
      <c r="E782" s="161" t="n"/>
      <c r="Q782" s="31" t="n"/>
      <c r="R782" s="31" t="n"/>
      <c r="S782" s="31" t="n"/>
      <c r="T782" s="31" t="n"/>
      <c r="U782" s="31" t="n"/>
      <c r="V782" s="31" t="n"/>
      <c r="W782" s="31" t="n"/>
      <c r="X782" s="31" t="n"/>
      <c r="Y782" s="31" t="n"/>
      <c r="Z782" s="31" t="n"/>
    </row>
    <row r="783" ht="14.25" customHeight="1">
      <c r="A783" s="31" t="n"/>
      <c r="D783" s="161" t="n"/>
      <c r="E783" s="161" t="n"/>
      <c r="Q783" s="31" t="n"/>
      <c r="R783" s="31" t="n"/>
      <c r="S783" s="31" t="n"/>
      <c r="T783" s="31" t="n"/>
      <c r="U783" s="31" t="n"/>
      <c r="V783" s="31" t="n"/>
      <c r="W783" s="31" t="n"/>
      <c r="X783" s="31" t="n"/>
      <c r="Y783" s="31" t="n"/>
      <c r="Z783" s="31" t="n"/>
    </row>
    <row r="784" ht="14.25" customHeight="1">
      <c r="A784" s="31" t="n"/>
      <c r="D784" s="161" t="n"/>
      <c r="E784" s="161" t="n"/>
      <c r="Q784" s="31" t="n"/>
      <c r="R784" s="31" t="n"/>
      <c r="S784" s="31" t="n"/>
      <c r="T784" s="31" t="n"/>
      <c r="U784" s="31" t="n"/>
      <c r="V784" s="31" t="n"/>
      <c r="W784" s="31" t="n"/>
      <c r="X784" s="31" t="n"/>
      <c r="Y784" s="31" t="n"/>
      <c r="Z784" s="31" t="n"/>
    </row>
    <row r="785" ht="14.25" customHeight="1">
      <c r="A785" s="31" t="n"/>
      <c r="D785" s="161" t="n"/>
      <c r="E785" s="161" t="n"/>
      <c r="Q785" s="31" t="n"/>
      <c r="R785" s="31" t="n"/>
      <c r="S785" s="31" t="n"/>
      <c r="T785" s="31" t="n"/>
      <c r="U785" s="31" t="n"/>
      <c r="V785" s="31" t="n"/>
      <c r="W785" s="31" t="n"/>
      <c r="X785" s="31" t="n"/>
      <c r="Y785" s="31" t="n"/>
      <c r="Z785" s="31" t="n"/>
    </row>
    <row r="786" ht="14.25" customHeight="1">
      <c r="A786" s="31" t="n"/>
      <c r="D786" s="161" t="n"/>
      <c r="E786" s="161" t="n"/>
      <c r="Q786" s="31" t="n"/>
      <c r="R786" s="31" t="n"/>
      <c r="S786" s="31" t="n"/>
      <c r="T786" s="31" t="n"/>
      <c r="U786" s="31" t="n"/>
      <c r="V786" s="31" t="n"/>
      <c r="W786" s="31" t="n"/>
      <c r="X786" s="31" t="n"/>
      <c r="Y786" s="31" t="n"/>
      <c r="Z786" s="31" t="n"/>
    </row>
    <row r="787" ht="14.25" customHeight="1">
      <c r="A787" s="31" t="n"/>
      <c r="D787" s="161" t="n"/>
      <c r="E787" s="161" t="n"/>
      <c r="Q787" s="31" t="n"/>
      <c r="R787" s="31" t="n"/>
      <c r="S787" s="31" t="n"/>
      <c r="T787" s="31" t="n"/>
      <c r="U787" s="31" t="n"/>
      <c r="V787" s="31" t="n"/>
      <c r="W787" s="31" t="n"/>
      <c r="X787" s="31" t="n"/>
      <c r="Y787" s="31" t="n"/>
      <c r="Z787" s="31" t="n"/>
    </row>
    <row r="788" ht="14.25" customHeight="1">
      <c r="A788" s="31" t="n"/>
      <c r="D788" s="161" t="n"/>
      <c r="E788" s="161" t="n"/>
      <c r="Q788" s="31" t="n"/>
      <c r="R788" s="31" t="n"/>
      <c r="S788" s="31" t="n"/>
      <c r="T788" s="31" t="n"/>
      <c r="U788" s="31" t="n"/>
      <c r="V788" s="31" t="n"/>
      <c r="W788" s="31" t="n"/>
      <c r="X788" s="31" t="n"/>
      <c r="Y788" s="31" t="n"/>
      <c r="Z788" s="31" t="n"/>
    </row>
    <row r="789" ht="14.25" customHeight="1">
      <c r="A789" s="31" t="n"/>
      <c r="D789" s="161" t="n"/>
      <c r="E789" s="161" t="n"/>
      <c r="Q789" s="31" t="n"/>
      <c r="R789" s="31" t="n"/>
      <c r="S789" s="31" t="n"/>
      <c r="T789" s="31" t="n"/>
      <c r="U789" s="31" t="n"/>
      <c r="V789" s="31" t="n"/>
      <c r="W789" s="31" t="n"/>
      <c r="X789" s="31" t="n"/>
      <c r="Y789" s="31" t="n"/>
      <c r="Z789" s="31" t="n"/>
    </row>
    <row r="790" ht="14.25" customHeight="1">
      <c r="A790" s="31" t="n"/>
      <c r="D790" s="161" t="n"/>
      <c r="E790" s="161" t="n"/>
      <c r="Q790" s="31" t="n"/>
      <c r="R790" s="31" t="n"/>
      <c r="S790" s="31" t="n"/>
      <c r="T790" s="31" t="n"/>
      <c r="U790" s="31" t="n"/>
      <c r="V790" s="31" t="n"/>
      <c r="W790" s="31" t="n"/>
      <c r="X790" s="31" t="n"/>
      <c r="Y790" s="31" t="n"/>
      <c r="Z790" s="31" t="n"/>
    </row>
    <row r="791" ht="14.25" customHeight="1">
      <c r="A791" s="31" t="n"/>
      <c r="D791" s="161" t="n"/>
      <c r="E791" s="161" t="n"/>
      <c r="Q791" s="31" t="n"/>
      <c r="R791" s="31" t="n"/>
      <c r="S791" s="31" t="n"/>
      <c r="T791" s="31" t="n"/>
      <c r="U791" s="31" t="n"/>
      <c r="V791" s="31" t="n"/>
      <c r="W791" s="31" t="n"/>
      <c r="X791" s="31" t="n"/>
      <c r="Y791" s="31" t="n"/>
      <c r="Z791" s="31" t="n"/>
    </row>
    <row r="792" ht="14.25" customHeight="1">
      <c r="A792" s="31" t="n"/>
      <c r="D792" s="161" t="n"/>
      <c r="E792" s="161" t="n"/>
      <c r="Q792" s="31" t="n"/>
      <c r="R792" s="31" t="n"/>
      <c r="S792" s="31" t="n"/>
      <c r="T792" s="31" t="n"/>
      <c r="U792" s="31" t="n"/>
      <c r="V792" s="31" t="n"/>
      <c r="W792" s="31" t="n"/>
      <c r="X792" s="31" t="n"/>
      <c r="Y792" s="31" t="n"/>
      <c r="Z792" s="31" t="n"/>
    </row>
    <row r="793" ht="14.25" customHeight="1">
      <c r="A793" s="31" t="n"/>
      <c r="D793" s="161" t="n"/>
      <c r="E793" s="161" t="n"/>
      <c r="Q793" s="31" t="n"/>
      <c r="R793" s="31" t="n"/>
      <c r="S793" s="31" t="n"/>
      <c r="T793" s="31" t="n"/>
      <c r="U793" s="31" t="n"/>
      <c r="V793" s="31" t="n"/>
      <c r="W793" s="31" t="n"/>
      <c r="X793" s="31" t="n"/>
      <c r="Y793" s="31" t="n"/>
      <c r="Z793" s="31" t="n"/>
    </row>
    <row r="794" ht="14.25" customHeight="1">
      <c r="A794" s="31" t="n"/>
      <c r="D794" s="161" t="n"/>
      <c r="E794" s="161" t="n"/>
      <c r="Q794" s="31" t="n"/>
      <c r="R794" s="31" t="n"/>
      <c r="S794" s="31" t="n"/>
      <c r="T794" s="31" t="n"/>
      <c r="U794" s="31" t="n"/>
      <c r="V794" s="31" t="n"/>
      <c r="W794" s="31" t="n"/>
      <c r="X794" s="31" t="n"/>
      <c r="Y794" s="31" t="n"/>
      <c r="Z794" s="31" t="n"/>
    </row>
    <row r="795" ht="14.25" customHeight="1">
      <c r="A795" s="31" t="n"/>
      <c r="D795" s="161" t="n"/>
      <c r="E795" s="161" t="n"/>
      <c r="Q795" s="31" t="n"/>
      <c r="R795" s="31" t="n"/>
      <c r="S795" s="31" t="n"/>
      <c r="T795" s="31" t="n"/>
      <c r="U795" s="31" t="n"/>
      <c r="V795" s="31" t="n"/>
      <c r="W795" s="31" t="n"/>
      <c r="X795" s="31" t="n"/>
      <c r="Y795" s="31" t="n"/>
      <c r="Z795" s="31" t="n"/>
    </row>
    <row r="796" ht="14.25" customHeight="1">
      <c r="A796" s="31" t="n"/>
      <c r="D796" s="161" t="n"/>
      <c r="E796" s="161" t="n"/>
      <c r="Q796" s="31" t="n"/>
      <c r="R796" s="31" t="n"/>
      <c r="S796" s="31" t="n"/>
      <c r="T796" s="31" t="n"/>
      <c r="U796" s="31" t="n"/>
      <c r="V796" s="31" t="n"/>
      <c r="W796" s="31" t="n"/>
      <c r="X796" s="31" t="n"/>
      <c r="Y796" s="31" t="n"/>
      <c r="Z796" s="31" t="n"/>
    </row>
    <row r="797" ht="14.25" customHeight="1">
      <c r="A797" s="31" t="n"/>
      <c r="D797" s="161" t="n"/>
      <c r="E797" s="161" t="n"/>
      <c r="Q797" s="31" t="n"/>
      <c r="R797" s="31" t="n"/>
      <c r="S797" s="31" t="n"/>
      <c r="T797" s="31" t="n"/>
      <c r="U797" s="31" t="n"/>
      <c r="V797" s="31" t="n"/>
      <c r="W797" s="31" t="n"/>
      <c r="X797" s="31" t="n"/>
      <c r="Y797" s="31" t="n"/>
      <c r="Z797" s="31" t="n"/>
    </row>
    <row r="798" ht="14.25" customHeight="1">
      <c r="A798" s="31" t="n"/>
      <c r="D798" s="161" t="n"/>
      <c r="E798" s="161" t="n"/>
      <c r="Q798" s="31" t="n"/>
      <c r="R798" s="31" t="n"/>
      <c r="S798" s="31" t="n"/>
      <c r="T798" s="31" t="n"/>
      <c r="U798" s="31" t="n"/>
      <c r="V798" s="31" t="n"/>
      <c r="W798" s="31" t="n"/>
      <c r="X798" s="31" t="n"/>
      <c r="Y798" s="31" t="n"/>
      <c r="Z798" s="31" t="n"/>
    </row>
    <row r="799" ht="14.25" customHeight="1">
      <c r="A799" s="31" t="n"/>
      <c r="D799" s="161" t="n"/>
      <c r="E799" s="161" t="n"/>
      <c r="Q799" s="31" t="n"/>
      <c r="R799" s="31" t="n"/>
      <c r="S799" s="31" t="n"/>
      <c r="T799" s="31" t="n"/>
      <c r="U799" s="31" t="n"/>
      <c r="V799" s="31" t="n"/>
      <c r="W799" s="31" t="n"/>
      <c r="X799" s="31" t="n"/>
      <c r="Y799" s="31" t="n"/>
      <c r="Z799" s="31" t="n"/>
    </row>
    <row r="800" ht="14.25" customHeight="1">
      <c r="A800" s="31" t="n"/>
      <c r="D800" s="161" t="n"/>
      <c r="E800" s="161" t="n"/>
      <c r="Q800" s="31" t="n"/>
      <c r="R800" s="31" t="n"/>
      <c r="S800" s="31" t="n"/>
      <c r="T800" s="31" t="n"/>
      <c r="U800" s="31" t="n"/>
      <c r="V800" s="31" t="n"/>
      <c r="W800" s="31" t="n"/>
      <c r="X800" s="31" t="n"/>
      <c r="Y800" s="31" t="n"/>
      <c r="Z800" s="31" t="n"/>
    </row>
    <row r="801" ht="14.25" customHeight="1">
      <c r="A801" s="31" t="n"/>
      <c r="D801" s="161" t="n"/>
      <c r="E801" s="161" t="n"/>
      <c r="Q801" s="31" t="n"/>
      <c r="R801" s="31" t="n"/>
      <c r="S801" s="31" t="n"/>
      <c r="T801" s="31" t="n"/>
      <c r="U801" s="31" t="n"/>
      <c r="V801" s="31" t="n"/>
      <c r="W801" s="31" t="n"/>
      <c r="X801" s="31" t="n"/>
      <c r="Y801" s="31" t="n"/>
      <c r="Z801" s="31" t="n"/>
    </row>
    <row r="802" ht="14.25" customHeight="1">
      <c r="A802" s="31" t="n"/>
      <c r="D802" s="161" t="n"/>
      <c r="E802" s="161" t="n"/>
      <c r="Q802" s="31" t="n"/>
      <c r="R802" s="31" t="n"/>
      <c r="S802" s="31" t="n"/>
      <c r="T802" s="31" t="n"/>
      <c r="U802" s="31" t="n"/>
      <c r="V802" s="31" t="n"/>
      <c r="W802" s="31" t="n"/>
      <c r="X802" s="31" t="n"/>
      <c r="Y802" s="31" t="n"/>
      <c r="Z802" s="31" t="n"/>
    </row>
    <row r="803" ht="14.25" customHeight="1">
      <c r="A803" s="31" t="n"/>
      <c r="D803" s="161" t="n"/>
      <c r="E803" s="161" t="n"/>
      <c r="Q803" s="31" t="n"/>
      <c r="R803" s="31" t="n"/>
      <c r="S803" s="31" t="n"/>
      <c r="T803" s="31" t="n"/>
      <c r="U803" s="31" t="n"/>
      <c r="V803" s="31" t="n"/>
      <c r="W803" s="31" t="n"/>
      <c r="X803" s="31" t="n"/>
      <c r="Y803" s="31" t="n"/>
      <c r="Z803" s="31" t="n"/>
    </row>
    <row r="804" ht="14.25" customHeight="1">
      <c r="A804" s="31" t="n"/>
      <c r="D804" s="161" t="n"/>
      <c r="E804" s="161" t="n"/>
      <c r="Q804" s="31" t="n"/>
      <c r="R804" s="31" t="n"/>
      <c r="S804" s="31" t="n"/>
      <c r="T804" s="31" t="n"/>
      <c r="U804" s="31" t="n"/>
      <c r="V804" s="31" t="n"/>
      <c r="W804" s="31" t="n"/>
      <c r="X804" s="31" t="n"/>
      <c r="Y804" s="31" t="n"/>
      <c r="Z804" s="31" t="n"/>
    </row>
    <row r="805" ht="14.25" customHeight="1">
      <c r="A805" s="31" t="n"/>
      <c r="D805" s="161" t="n"/>
      <c r="E805" s="161" t="n"/>
      <c r="Q805" s="31" t="n"/>
      <c r="R805" s="31" t="n"/>
      <c r="S805" s="31" t="n"/>
      <c r="T805" s="31" t="n"/>
      <c r="U805" s="31" t="n"/>
      <c r="V805" s="31" t="n"/>
      <c r="W805" s="31" t="n"/>
      <c r="X805" s="31" t="n"/>
      <c r="Y805" s="31" t="n"/>
      <c r="Z805" s="31" t="n"/>
    </row>
    <row r="806" ht="14.25" customHeight="1">
      <c r="A806" s="31" t="n"/>
      <c r="D806" s="161" t="n"/>
      <c r="E806" s="161" t="n"/>
      <c r="Q806" s="31" t="n"/>
      <c r="R806" s="31" t="n"/>
      <c r="S806" s="31" t="n"/>
      <c r="T806" s="31" t="n"/>
      <c r="U806" s="31" t="n"/>
      <c r="V806" s="31" t="n"/>
      <c r="W806" s="31" t="n"/>
      <c r="X806" s="31" t="n"/>
      <c r="Y806" s="31" t="n"/>
      <c r="Z806" s="31" t="n"/>
    </row>
    <row r="807" ht="14.25" customHeight="1">
      <c r="A807" s="31" t="n"/>
      <c r="D807" s="161" t="n"/>
      <c r="E807" s="161" t="n"/>
      <c r="Q807" s="31" t="n"/>
      <c r="R807" s="31" t="n"/>
      <c r="S807" s="31" t="n"/>
      <c r="T807" s="31" t="n"/>
      <c r="U807" s="31" t="n"/>
      <c r="V807" s="31" t="n"/>
      <c r="W807" s="31" t="n"/>
      <c r="X807" s="31" t="n"/>
      <c r="Y807" s="31" t="n"/>
      <c r="Z807" s="31" t="n"/>
    </row>
    <row r="808" ht="14.25" customHeight="1">
      <c r="A808" s="31" t="n"/>
      <c r="D808" s="161" t="n"/>
      <c r="E808" s="161" t="n"/>
      <c r="Q808" s="31" t="n"/>
      <c r="R808" s="31" t="n"/>
      <c r="S808" s="31" t="n"/>
      <c r="T808" s="31" t="n"/>
      <c r="U808" s="31" t="n"/>
      <c r="V808" s="31" t="n"/>
      <c r="W808" s="31" t="n"/>
      <c r="X808" s="31" t="n"/>
      <c r="Y808" s="31" t="n"/>
      <c r="Z808" s="31" t="n"/>
    </row>
    <row r="809" ht="14.25" customHeight="1">
      <c r="A809" s="31" t="n"/>
      <c r="D809" s="161" t="n"/>
      <c r="E809" s="161" t="n"/>
      <c r="Q809" s="31" t="n"/>
      <c r="R809" s="31" t="n"/>
      <c r="S809" s="31" t="n"/>
      <c r="T809" s="31" t="n"/>
      <c r="U809" s="31" t="n"/>
      <c r="V809" s="31" t="n"/>
      <c r="W809" s="31" t="n"/>
      <c r="X809" s="31" t="n"/>
      <c r="Y809" s="31" t="n"/>
      <c r="Z809" s="31" t="n"/>
    </row>
    <row r="810" ht="14.25" customHeight="1">
      <c r="A810" s="31" t="n"/>
      <c r="D810" s="161" t="n"/>
      <c r="E810" s="161" t="n"/>
      <c r="Q810" s="31" t="n"/>
      <c r="R810" s="31" t="n"/>
      <c r="S810" s="31" t="n"/>
      <c r="T810" s="31" t="n"/>
      <c r="U810" s="31" t="n"/>
      <c r="V810" s="31" t="n"/>
      <c r="W810" s="31" t="n"/>
      <c r="X810" s="31" t="n"/>
      <c r="Y810" s="31" t="n"/>
      <c r="Z810" s="31" t="n"/>
    </row>
    <row r="811" ht="14.25" customHeight="1">
      <c r="A811" s="31" t="n"/>
      <c r="D811" s="161" t="n"/>
      <c r="E811" s="161" t="n"/>
      <c r="Q811" s="31" t="n"/>
      <c r="R811" s="31" t="n"/>
      <c r="S811" s="31" t="n"/>
      <c r="T811" s="31" t="n"/>
      <c r="U811" s="31" t="n"/>
      <c r="V811" s="31" t="n"/>
      <c r="W811" s="31" t="n"/>
      <c r="X811" s="31" t="n"/>
      <c r="Y811" s="31" t="n"/>
      <c r="Z811" s="31" t="n"/>
    </row>
    <row r="812" ht="14.25" customHeight="1">
      <c r="A812" s="31" t="n"/>
      <c r="D812" s="161" t="n"/>
      <c r="E812" s="161" t="n"/>
      <c r="Q812" s="31" t="n"/>
      <c r="R812" s="31" t="n"/>
      <c r="S812" s="31" t="n"/>
      <c r="T812" s="31" t="n"/>
      <c r="U812" s="31" t="n"/>
      <c r="V812" s="31" t="n"/>
      <c r="W812" s="31" t="n"/>
      <c r="X812" s="31" t="n"/>
      <c r="Y812" s="31" t="n"/>
      <c r="Z812" s="31" t="n"/>
    </row>
    <row r="813" ht="14.25" customHeight="1">
      <c r="A813" s="31" t="n"/>
      <c r="D813" s="161" t="n"/>
      <c r="E813" s="161" t="n"/>
      <c r="Q813" s="31" t="n"/>
      <c r="R813" s="31" t="n"/>
      <c r="S813" s="31" t="n"/>
      <c r="T813" s="31" t="n"/>
      <c r="U813" s="31" t="n"/>
      <c r="V813" s="31" t="n"/>
      <c r="W813" s="31" t="n"/>
      <c r="X813" s="31" t="n"/>
      <c r="Y813" s="31" t="n"/>
      <c r="Z813" s="31" t="n"/>
    </row>
    <row r="814" ht="14.25" customHeight="1">
      <c r="A814" s="31" t="n"/>
      <c r="D814" s="161" t="n"/>
      <c r="E814" s="161" t="n"/>
      <c r="Q814" s="31" t="n"/>
      <c r="R814" s="31" t="n"/>
      <c r="S814" s="31" t="n"/>
      <c r="T814" s="31" t="n"/>
      <c r="U814" s="31" t="n"/>
      <c r="V814" s="31" t="n"/>
      <c r="W814" s="31" t="n"/>
      <c r="X814" s="31" t="n"/>
      <c r="Y814" s="31" t="n"/>
      <c r="Z814" s="31" t="n"/>
    </row>
    <row r="815" ht="14.25" customHeight="1">
      <c r="A815" s="31" t="n"/>
      <c r="D815" s="161" t="n"/>
      <c r="E815" s="161" t="n"/>
      <c r="Q815" s="31" t="n"/>
      <c r="R815" s="31" t="n"/>
      <c r="S815" s="31" t="n"/>
      <c r="T815" s="31" t="n"/>
      <c r="U815" s="31" t="n"/>
      <c r="V815" s="31" t="n"/>
      <c r="W815" s="31" t="n"/>
      <c r="X815" s="31" t="n"/>
      <c r="Y815" s="31" t="n"/>
      <c r="Z815" s="31" t="n"/>
    </row>
    <row r="816" ht="14.25" customHeight="1">
      <c r="A816" s="31" t="n"/>
      <c r="D816" s="161" t="n"/>
      <c r="E816" s="161" t="n"/>
      <c r="Q816" s="31" t="n"/>
      <c r="R816" s="31" t="n"/>
      <c r="S816" s="31" t="n"/>
      <c r="T816" s="31" t="n"/>
      <c r="U816" s="31" t="n"/>
      <c r="V816" s="31" t="n"/>
      <c r="W816" s="31" t="n"/>
      <c r="X816" s="31" t="n"/>
      <c r="Y816" s="31" t="n"/>
      <c r="Z816" s="31" t="n"/>
    </row>
    <row r="817" ht="14.25" customHeight="1">
      <c r="A817" s="31" t="n"/>
      <c r="D817" s="161" t="n"/>
      <c r="E817" s="161" t="n"/>
      <c r="Q817" s="31" t="n"/>
      <c r="R817" s="31" t="n"/>
      <c r="S817" s="31" t="n"/>
      <c r="T817" s="31" t="n"/>
      <c r="U817" s="31" t="n"/>
      <c r="V817" s="31" t="n"/>
      <c r="W817" s="31" t="n"/>
      <c r="X817" s="31" t="n"/>
      <c r="Y817" s="31" t="n"/>
      <c r="Z817" s="31" t="n"/>
    </row>
    <row r="818" ht="14.25" customHeight="1">
      <c r="A818" s="31" t="n"/>
      <c r="D818" s="161" t="n"/>
      <c r="E818" s="161" t="n"/>
      <c r="Q818" s="31" t="n"/>
      <c r="R818" s="31" t="n"/>
      <c r="S818" s="31" t="n"/>
      <c r="T818" s="31" t="n"/>
      <c r="U818" s="31" t="n"/>
      <c r="V818" s="31" t="n"/>
      <c r="W818" s="31" t="n"/>
      <c r="X818" s="31" t="n"/>
      <c r="Y818" s="31" t="n"/>
      <c r="Z818" s="31" t="n"/>
    </row>
    <row r="819" ht="14.25" customHeight="1">
      <c r="A819" s="31" t="n"/>
      <c r="D819" s="161" t="n"/>
      <c r="E819" s="161" t="n"/>
      <c r="Q819" s="31" t="n"/>
      <c r="R819" s="31" t="n"/>
      <c r="S819" s="31" t="n"/>
      <c r="T819" s="31" t="n"/>
      <c r="U819" s="31" t="n"/>
      <c r="V819" s="31" t="n"/>
      <c r="W819" s="31" t="n"/>
      <c r="X819" s="31" t="n"/>
      <c r="Y819" s="31" t="n"/>
      <c r="Z819" s="31" t="n"/>
    </row>
    <row r="820" ht="14.25" customHeight="1">
      <c r="A820" s="31" t="n"/>
      <c r="D820" s="161" t="n"/>
      <c r="E820" s="161" t="n"/>
      <c r="Q820" s="31" t="n"/>
      <c r="R820" s="31" t="n"/>
      <c r="S820" s="31" t="n"/>
      <c r="T820" s="31" t="n"/>
      <c r="U820" s="31" t="n"/>
      <c r="V820" s="31" t="n"/>
      <c r="W820" s="31" t="n"/>
      <c r="X820" s="31" t="n"/>
      <c r="Y820" s="31" t="n"/>
      <c r="Z820" s="31" t="n"/>
    </row>
    <row r="821" ht="14.25" customHeight="1">
      <c r="A821" s="31" t="n"/>
      <c r="D821" s="161" t="n"/>
      <c r="E821" s="161" t="n"/>
      <c r="Q821" s="31" t="n"/>
      <c r="R821" s="31" t="n"/>
      <c r="S821" s="31" t="n"/>
      <c r="T821" s="31" t="n"/>
      <c r="U821" s="31" t="n"/>
      <c r="V821" s="31" t="n"/>
      <c r="W821" s="31" t="n"/>
      <c r="X821" s="31" t="n"/>
      <c r="Y821" s="31" t="n"/>
      <c r="Z821" s="31" t="n"/>
    </row>
    <row r="822" ht="14.25" customHeight="1">
      <c r="A822" s="31" t="n"/>
      <c r="D822" s="161" t="n"/>
      <c r="E822" s="161" t="n"/>
      <c r="Q822" s="31" t="n"/>
      <c r="R822" s="31" t="n"/>
      <c r="S822" s="31" t="n"/>
      <c r="T822" s="31" t="n"/>
      <c r="U822" s="31" t="n"/>
      <c r="V822" s="31" t="n"/>
      <c r="W822" s="31" t="n"/>
      <c r="X822" s="31" t="n"/>
      <c r="Y822" s="31" t="n"/>
      <c r="Z822" s="31" t="n"/>
    </row>
    <row r="823" ht="14.25" customHeight="1">
      <c r="A823" s="31" t="n"/>
      <c r="D823" s="161" t="n"/>
      <c r="E823" s="161" t="n"/>
      <c r="Q823" s="31" t="n"/>
      <c r="R823" s="31" t="n"/>
      <c r="S823" s="31" t="n"/>
      <c r="T823" s="31" t="n"/>
      <c r="U823" s="31" t="n"/>
      <c r="V823" s="31" t="n"/>
      <c r="W823" s="31" t="n"/>
      <c r="X823" s="31" t="n"/>
      <c r="Y823" s="31" t="n"/>
      <c r="Z823" s="31" t="n"/>
    </row>
    <row r="824" ht="14.25" customHeight="1">
      <c r="A824" s="31" t="n"/>
      <c r="D824" s="161" t="n"/>
      <c r="E824" s="161" t="n"/>
      <c r="Q824" s="31" t="n"/>
      <c r="R824" s="31" t="n"/>
      <c r="S824" s="31" t="n"/>
      <c r="T824" s="31" t="n"/>
      <c r="U824" s="31" t="n"/>
      <c r="V824" s="31" t="n"/>
      <c r="W824" s="31" t="n"/>
      <c r="X824" s="31" t="n"/>
      <c r="Y824" s="31" t="n"/>
      <c r="Z824" s="31" t="n"/>
    </row>
    <row r="825" ht="14.25" customHeight="1">
      <c r="A825" s="31" t="n"/>
      <c r="D825" s="161" t="n"/>
      <c r="E825" s="161" t="n"/>
      <c r="Q825" s="31" t="n"/>
      <c r="R825" s="31" t="n"/>
      <c r="S825" s="31" t="n"/>
      <c r="T825" s="31" t="n"/>
      <c r="U825" s="31" t="n"/>
      <c r="V825" s="31" t="n"/>
      <c r="W825" s="31" t="n"/>
      <c r="X825" s="31" t="n"/>
      <c r="Y825" s="31" t="n"/>
      <c r="Z825" s="31" t="n"/>
    </row>
    <row r="826" ht="14.25" customHeight="1">
      <c r="A826" s="31" t="n"/>
      <c r="D826" s="161" t="n"/>
      <c r="E826" s="161" t="n"/>
      <c r="Q826" s="31" t="n"/>
      <c r="R826" s="31" t="n"/>
      <c r="S826" s="31" t="n"/>
      <c r="T826" s="31" t="n"/>
      <c r="U826" s="31" t="n"/>
      <c r="V826" s="31" t="n"/>
      <c r="W826" s="31" t="n"/>
      <c r="X826" s="31" t="n"/>
      <c r="Y826" s="31" t="n"/>
      <c r="Z826" s="31" t="n"/>
    </row>
    <row r="827" ht="14.25" customHeight="1">
      <c r="A827" s="31" t="n"/>
      <c r="D827" s="161" t="n"/>
      <c r="E827" s="161" t="n"/>
      <c r="Q827" s="31" t="n"/>
      <c r="R827" s="31" t="n"/>
      <c r="S827" s="31" t="n"/>
      <c r="T827" s="31" t="n"/>
      <c r="U827" s="31" t="n"/>
      <c r="V827" s="31" t="n"/>
      <c r="W827" s="31" t="n"/>
      <c r="X827" s="31" t="n"/>
      <c r="Y827" s="31" t="n"/>
      <c r="Z827" s="31" t="n"/>
    </row>
    <row r="828" ht="14.25" customHeight="1">
      <c r="A828" s="31" t="n"/>
      <c r="D828" s="161" t="n"/>
      <c r="E828" s="161" t="n"/>
      <c r="Q828" s="31" t="n"/>
      <c r="R828" s="31" t="n"/>
      <c r="S828" s="31" t="n"/>
      <c r="T828" s="31" t="n"/>
      <c r="U828" s="31" t="n"/>
      <c r="V828" s="31" t="n"/>
      <c r="W828" s="31" t="n"/>
      <c r="X828" s="31" t="n"/>
      <c r="Y828" s="31" t="n"/>
      <c r="Z828" s="31" t="n"/>
    </row>
    <row r="829" ht="14.25" customHeight="1">
      <c r="A829" s="31" t="n"/>
      <c r="D829" s="161" t="n"/>
      <c r="E829" s="161" t="n"/>
      <c r="Q829" s="31" t="n"/>
      <c r="R829" s="31" t="n"/>
      <c r="S829" s="31" t="n"/>
      <c r="T829" s="31" t="n"/>
      <c r="U829" s="31" t="n"/>
      <c r="V829" s="31" t="n"/>
      <c r="W829" s="31" t="n"/>
      <c r="X829" s="31" t="n"/>
      <c r="Y829" s="31" t="n"/>
      <c r="Z829" s="31" t="n"/>
    </row>
    <row r="830" ht="14.25" customHeight="1">
      <c r="A830" s="31" t="n"/>
      <c r="D830" s="161" t="n"/>
      <c r="E830" s="161" t="n"/>
      <c r="Q830" s="31" t="n"/>
      <c r="R830" s="31" t="n"/>
      <c r="S830" s="31" t="n"/>
      <c r="T830" s="31" t="n"/>
      <c r="U830" s="31" t="n"/>
      <c r="V830" s="31" t="n"/>
      <c r="W830" s="31" t="n"/>
      <c r="X830" s="31" t="n"/>
      <c r="Y830" s="31" t="n"/>
      <c r="Z830" s="31" t="n"/>
    </row>
    <row r="831" ht="14.25" customHeight="1">
      <c r="A831" s="31" t="n"/>
      <c r="D831" s="161" t="n"/>
      <c r="E831" s="161" t="n"/>
      <c r="Q831" s="31" t="n"/>
      <c r="R831" s="31" t="n"/>
      <c r="S831" s="31" t="n"/>
      <c r="T831" s="31" t="n"/>
      <c r="U831" s="31" t="n"/>
      <c r="V831" s="31" t="n"/>
      <c r="W831" s="31" t="n"/>
      <c r="X831" s="31" t="n"/>
      <c r="Y831" s="31" t="n"/>
      <c r="Z831" s="31" t="n"/>
    </row>
    <row r="832" ht="14.25" customHeight="1">
      <c r="A832" s="31" t="n"/>
      <c r="D832" s="161" t="n"/>
      <c r="E832" s="161" t="n"/>
      <c r="Q832" s="31" t="n"/>
      <c r="R832" s="31" t="n"/>
      <c r="S832" s="31" t="n"/>
      <c r="T832" s="31" t="n"/>
      <c r="U832" s="31" t="n"/>
      <c r="V832" s="31" t="n"/>
      <c r="W832" s="31" t="n"/>
      <c r="X832" s="31" t="n"/>
      <c r="Y832" s="31" t="n"/>
      <c r="Z832" s="31" t="n"/>
    </row>
    <row r="833" ht="14.25" customHeight="1">
      <c r="A833" s="31" t="n"/>
      <c r="D833" s="161" t="n"/>
      <c r="E833" s="161" t="n"/>
      <c r="Q833" s="31" t="n"/>
      <c r="R833" s="31" t="n"/>
      <c r="S833" s="31" t="n"/>
      <c r="T833" s="31" t="n"/>
      <c r="U833" s="31" t="n"/>
      <c r="V833" s="31" t="n"/>
      <c r="W833" s="31" t="n"/>
      <c r="X833" s="31" t="n"/>
      <c r="Y833" s="31" t="n"/>
      <c r="Z833" s="31" t="n"/>
    </row>
    <row r="834" ht="14.25" customHeight="1">
      <c r="A834" s="31" t="n"/>
      <c r="D834" s="161" t="n"/>
      <c r="E834" s="161" t="n"/>
      <c r="Q834" s="31" t="n"/>
      <c r="R834" s="31" t="n"/>
      <c r="S834" s="31" t="n"/>
      <c r="T834" s="31" t="n"/>
      <c r="U834" s="31" t="n"/>
      <c r="V834" s="31" t="n"/>
      <c r="W834" s="31" t="n"/>
      <c r="X834" s="31" t="n"/>
      <c r="Y834" s="31" t="n"/>
      <c r="Z834" s="31" t="n"/>
    </row>
    <row r="835" ht="14.25" customHeight="1">
      <c r="A835" s="31" t="n"/>
      <c r="D835" s="161" t="n"/>
      <c r="E835" s="161" t="n"/>
      <c r="Q835" s="31" t="n"/>
      <c r="R835" s="31" t="n"/>
      <c r="S835" s="31" t="n"/>
      <c r="T835" s="31" t="n"/>
      <c r="U835" s="31" t="n"/>
      <c r="V835" s="31" t="n"/>
      <c r="W835" s="31" t="n"/>
      <c r="X835" s="31" t="n"/>
      <c r="Y835" s="31" t="n"/>
      <c r="Z835" s="31" t="n"/>
    </row>
    <row r="836" ht="14.25" customHeight="1">
      <c r="A836" s="31" t="n"/>
      <c r="D836" s="161" t="n"/>
      <c r="E836" s="161" t="n"/>
      <c r="Q836" s="31" t="n"/>
      <c r="R836" s="31" t="n"/>
      <c r="S836" s="31" t="n"/>
      <c r="T836" s="31" t="n"/>
      <c r="U836" s="31" t="n"/>
      <c r="V836" s="31" t="n"/>
      <c r="W836" s="31" t="n"/>
      <c r="X836" s="31" t="n"/>
      <c r="Y836" s="31" t="n"/>
      <c r="Z836" s="31" t="n"/>
    </row>
    <row r="837" ht="14.25" customHeight="1">
      <c r="A837" s="31" t="n"/>
      <c r="D837" s="161" t="n"/>
      <c r="E837" s="161" t="n"/>
      <c r="Q837" s="31" t="n"/>
      <c r="R837" s="31" t="n"/>
      <c r="S837" s="31" t="n"/>
      <c r="T837" s="31" t="n"/>
      <c r="U837" s="31" t="n"/>
      <c r="V837" s="31" t="n"/>
      <c r="W837" s="31" t="n"/>
      <c r="X837" s="31" t="n"/>
      <c r="Y837" s="31" t="n"/>
      <c r="Z837" s="31" t="n"/>
    </row>
    <row r="838" ht="14.25" customHeight="1">
      <c r="A838" s="31" t="n"/>
      <c r="D838" s="161" t="n"/>
      <c r="E838" s="161" t="n"/>
      <c r="Q838" s="31" t="n"/>
      <c r="R838" s="31" t="n"/>
      <c r="S838" s="31" t="n"/>
      <c r="T838" s="31" t="n"/>
      <c r="U838" s="31" t="n"/>
      <c r="V838" s="31" t="n"/>
      <c r="W838" s="31" t="n"/>
      <c r="X838" s="31" t="n"/>
      <c r="Y838" s="31" t="n"/>
      <c r="Z838" s="31" t="n"/>
    </row>
    <row r="839" ht="14.25" customHeight="1">
      <c r="A839" s="31" t="n"/>
      <c r="D839" s="161" t="n"/>
      <c r="E839" s="161" t="n"/>
      <c r="Q839" s="31" t="n"/>
      <c r="R839" s="31" t="n"/>
      <c r="S839" s="31" t="n"/>
      <c r="T839" s="31" t="n"/>
      <c r="U839" s="31" t="n"/>
      <c r="V839" s="31" t="n"/>
      <c r="W839" s="31" t="n"/>
      <c r="X839" s="31" t="n"/>
      <c r="Y839" s="31" t="n"/>
      <c r="Z839" s="31" t="n"/>
    </row>
    <row r="840" ht="14.25" customHeight="1">
      <c r="A840" s="31" t="n"/>
      <c r="D840" s="161" t="n"/>
      <c r="E840" s="161" t="n"/>
      <c r="Q840" s="31" t="n"/>
      <c r="R840" s="31" t="n"/>
      <c r="S840" s="31" t="n"/>
      <c r="T840" s="31" t="n"/>
      <c r="U840" s="31" t="n"/>
      <c r="V840" s="31" t="n"/>
      <c r="W840" s="31" t="n"/>
      <c r="X840" s="31" t="n"/>
      <c r="Y840" s="31" t="n"/>
      <c r="Z840" s="31" t="n"/>
    </row>
    <row r="841" ht="14.25" customHeight="1">
      <c r="A841" s="31" t="n"/>
      <c r="D841" s="161" t="n"/>
      <c r="E841" s="161" t="n"/>
      <c r="Q841" s="31" t="n"/>
      <c r="R841" s="31" t="n"/>
      <c r="S841" s="31" t="n"/>
      <c r="T841" s="31" t="n"/>
      <c r="U841" s="31" t="n"/>
      <c r="V841" s="31" t="n"/>
      <c r="W841" s="31" t="n"/>
      <c r="X841" s="31" t="n"/>
      <c r="Y841" s="31" t="n"/>
      <c r="Z841" s="31" t="n"/>
    </row>
    <row r="842" ht="14.25" customHeight="1">
      <c r="A842" s="31" t="n"/>
      <c r="D842" s="161" t="n"/>
      <c r="E842" s="161" t="n"/>
      <c r="Q842" s="31" t="n"/>
      <c r="R842" s="31" t="n"/>
      <c r="S842" s="31" t="n"/>
      <c r="T842" s="31" t="n"/>
      <c r="U842" s="31" t="n"/>
      <c r="V842" s="31" t="n"/>
      <c r="W842" s="31" t="n"/>
      <c r="X842" s="31" t="n"/>
      <c r="Y842" s="31" t="n"/>
      <c r="Z842" s="31" t="n"/>
    </row>
    <row r="843" ht="14.25" customHeight="1">
      <c r="A843" s="31" t="n"/>
      <c r="D843" s="161" t="n"/>
      <c r="E843" s="161" t="n"/>
      <c r="Q843" s="31" t="n"/>
      <c r="R843" s="31" t="n"/>
      <c r="S843" s="31" t="n"/>
      <c r="T843" s="31" t="n"/>
      <c r="U843" s="31" t="n"/>
      <c r="V843" s="31" t="n"/>
      <c r="W843" s="31" t="n"/>
      <c r="X843" s="31" t="n"/>
      <c r="Y843" s="31" t="n"/>
      <c r="Z843" s="31" t="n"/>
    </row>
    <row r="844" ht="14.25" customHeight="1">
      <c r="A844" s="31" t="n"/>
      <c r="D844" s="161" t="n"/>
      <c r="E844" s="161" t="n"/>
      <c r="Q844" s="31" t="n"/>
      <c r="R844" s="31" t="n"/>
      <c r="S844" s="31" t="n"/>
      <c r="T844" s="31" t="n"/>
      <c r="U844" s="31" t="n"/>
      <c r="V844" s="31" t="n"/>
      <c r="W844" s="31" t="n"/>
      <c r="X844" s="31" t="n"/>
      <c r="Y844" s="31" t="n"/>
      <c r="Z844" s="31" t="n"/>
    </row>
    <row r="845" ht="14.25" customHeight="1">
      <c r="A845" s="31" t="n"/>
      <c r="D845" s="161" t="n"/>
      <c r="E845" s="161" t="n"/>
      <c r="Q845" s="31" t="n"/>
      <c r="R845" s="31" t="n"/>
      <c r="S845" s="31" t="n"/>
      <c r="T845" s="31" t="n"/>
      <c r="U845" s="31" t="n"/>
      <c r="V845" s="31" t="n"/>
      <c r="W845" s="31" t="n"/>
      <c r="X845" s="31" t="n"/>
      <c r="Y845" s="31" t="n"/>
      <c r="Z845" s="31" t="n"/>
    </row>
    <row r="846" ht="14.25" customHeight="1">
      <c r="A846" s="31" t="n"/>
      <c r="D846" s="161" t="n"/>
      <c r="E846" s="161" t="n"/>
      <c r="Q846" s="31" t="n"/>
      <c r="R846" s="31" t="n"/>
      <c r="S846" s="31" t="n"/>
      <c r="T846" s="31" t="n"/>
      <c r="U846" s="31" t="n"/>
      <c r="V846" s="31" t="n"/>
      <c r="W846" s="31" t="n"/>
      <c r="X846" s="31" t="n"/>
      <c r="Y846" s="31" t="n"/>
      <c r="Z846" s="31" t="n"/>
    </row>
    <row r="847" ht="14.25" customHeight="1">
      <c r="A847" s="31" t="n"/>
      <c r="D847" s="161" t="n"/>
      <c r="E847" s="161" t="n"/>
      <c r="Q847" s="31" t="n"/>
      <c r="R847" s="31" t="n"/>
      <c r="S847" s="31" t="n"/>
      <c r="T847" s="31" t="n"/>
      <c r="U847" s="31" t="n"/>
      <c r="V847" s="31" t="n"/>
      <c r="W847" s="31" t="n"/>
      <c r="X847" s="31" t="n"/>
      <c r="Y847" s="31" t="n"/>
      <c r="Z847" s="31" t="n"/>
    </row>
    <row r="848" ht="14.25" customHeight="1">
      <c r="A848" s="31" t="n"/>
      <c r="D848" s="161" t="n"/>
      <c r="E848" s="161" t="n"/>
      <c r="Q848" s="31" t="n"/>
      <c r="R848" s="31" t="n"/>
      <c r="S848" s="31" t="n"/>
      <c r="T848" s="31" t="n"/>
      <c r="U848" s="31" t="n"/>
      <c r="V848" s="31" t="n"/>
      <c r="W848" s="31" t="n"/>
      <c r="X848" s="31" t="n"/>
      <c r="Y848" s="31" t="n"/>
      <c r="Z848" s="31" t="n"/>
    </row>
    <row r="849" ht="14.25" customHeight="1">
      <c r="A849" s="31" t="n"/>
      <c r="D849" s="161" t="n"/>
      <c r="E849" s="161" t="n"/>
      <c r="Q849" s="31" t="n"/>
      <c r="R849" s="31" t="n"/>
      <c r="S849" s="31" t="n"/>
      <c r="T849" s="31" t="n"/>
      <c r="U849" s="31" t="n"/>
      <c r="V849" s="31" t="n"/>
      <c r="W849" s="31" t="n"/>
      <c r="X849" s="31" t="n"/>
      <c r="Y849" s="31" t="n"/>
      <c r="Z849" s="31" t="n"/>
    </row>
    <row r="850" ht="14.25" customHeight="1">
      <c r="A850" s="31" t="n"/>
      <c r="D850" s="161" t="n"/>
      <c r="E850" s="161" t="n"/>
      <c r="Q850" s="31" t="n"/>
      <c r="R850" s="31" t="n"/>
      <c r="S850" s="31" t="n"/>
      <c r="T850" s="31" t="n"/>
      <c r="U850" s="31" t="n"/>
      <c r="V850" s="31" t="n"/>
      <c r="W850" s="31" t="n"/>
      <c r="X850" s="31" t="n"/>
      <c r="Y850" s="31" t="n"/>
      <c r="Z850" s="31" t="n"/>
    </row>
    <row r="851" ht="14.25" customHeight="1">
      <c r="A851" s="31" t="n"/>
      <c r="D851" s="161" t="n"/>
      <c r="E851" s="161" t="n"/>
      <c r="Q851" s="31" t="n"/>
      <c r="R851" s="31" t="n"/>
      <c r="S851" s="31" t="n"/>
      <c r="T851" s="31" t="n"/>
      <c r="U851" s="31" t="n"/>
      <c r="V851" s="31" t="n"/>
      <c r="W851" s="31" t="n"/>
      <c r="X851" s="31" t="n"/>
      <c r="Y851" s="31" t="n"/>
      <c r="Z851" s="31" t="n"/>
    </row>
    <row r="852" ht="14.25" customHeight="1">
      <c r="A852" s="31" t="n"/>
      <c r="D852" s="161" t="n"/>
      <c r="E852" s="161" t="n"/>
      <c r="Q852" s="31" t="n"/>
      <c r="R852" s="31" t="n"/>
      <c r="S852" s="31" t="n"/>
      <c r="T852" s="31" t="n"/>
      <c r="U852" s="31" t="n"/>
      <c r="V852" s="31" t="n"/>
      <c r="W852" s="31" t="n"/>
      <c r="X852" s="31" t="n"/>
      <c r="Y852" s="31" t="n"/>
      <c r="Z852" s="31" t="n"/>
    </row>
    <row r="853" ht="14.25" customHeight="1">
      <c r="A853" s="31" t="n"/>
      <c r="D853" s="161" t="n"/>
      <c r="E853" s="161" t="n"/>
      <c r="Q853" s="31" t="n"/>
      <c r="R853" s="31" t="n"/>
      <c r="S853" s="31" t="n"/>
      <c r="T853" s="31" t="n"/>
      <c r="U853" s="31" t="n"/>
      <c r="V853" s="31" t="n"/>
      <c r="W853" s="31" t="n"/>
      <c r="X853" s="31" t="n"/>
      <c r="Y853" s="31" t="n"/>
      <c r="Z853" s="31" t="n"/>
    </row>
    <row r="854" ht="14.25" customHeight="1">
      <c r="A854" s="31" t="n"/>
      <c r="D854" s="161" t="n"/>
      <c r="E854" s="161" t="n"/>
      <c r="Q854" s="31" t="n"/>
      <c r="R854" s="31" t="n"/>
      <c r="S854" s="31" t="n"/>
      <c r="T854" s="31" t="n"/>
      <c r="U854" s="31" t="n"/>
      <c r="V854" s="31" t="n"/>
      <c r="W854" s="31" t="n"/>
      <c r="X854" s="31" t="n"/>
      <c r="Y854" s="31" t="n"/>
      <c r="Z854" s="31" t="n"/>
    </row>
    <row r="855" ht="14.25" customHeight="1">
      <c r="A855" s="31" t="n"/>
      <c r="D855" s="161" t="n"/>
      <c r="E855" s="161" t="n"/>
      <c r="Q855" s="31" t="n"/>
      <c r="R855" s="31" t="n"/>
      <c r="S855" s="31" t="n"/>
      <c r="T855" s="31" t="n"/>
      <c r="U855" s="31" t="n"/>
      <c r="V855" s="31" t="n"/>
      <c r="W855" s="31" t="n"/>
      <c r="X855" s="31" t="n"/>
      <c r="Y855" s="31" t="n"/>
      <c r="Z855" s="31" t="n"/>
    </row>
    <row r="856" ht="14.25" customHeight="1">
      <c r="A856" s="31" t="n"/>
      <c r="D856" s="161" t="n"/>
      <c r="E856" s="161" t="n"/>
      <c r="Q856" s="31" t="n"/>
      <c r="R856" s="31" t="n"/>
      <c r="S856" s="31" t="n"/>
      <c r="T856" s="31" t="n"/>
      <c r="U856" s="31" t="n"/>
      <c r="V856" s="31" t="n"/>
      <c r="W856" s="31" t="n"/>
      <c r="X856" s="31" t="n"/>
      <c r="Y856" s="31" t="n"/>
      <c r="Z856" s="31" t="n"/>
    </row>
    <row r="857" ht="14.25" customHeight="1">
      <c r="A857" s="31" t="n"/>
      <c r="D857" s="161" t="n"/>
      <c r="E857" s="161" t="n"/>
      <c r="Q857" s="31" t="n"/>
      <c r="R857" s="31" t="n"/>
      <c r="S857" s="31" t="n"/>
      <c r="T857" s="31" t="n"/>
      <c r="U857" s="31" t="n"/>
      <c r="V857" s="31" t="n"/>
      <c r="W857" s="31" t="n"/>
      <c r="X857" s="31" t="n"/>
      <c r="Y857" s="31" t="n"/>
      <c r="Z857" s="31" t="n"/>
    </row>
    <row r="858" ht="14.25" customHeight="1">
      <c r="A858" s="31" t="n"/>
      <c r="D858" s="161" t="n"/>
      <c r="E858" s="161" t="n"/>
      <c r="Q858" s="31" t="n"/>
      <c r="R858" s="31" t="n"/>
      <c r="S858" s="31" t="n"/>
      <c r="T858" s="31" t="n"/>
      <c r="U858" s="31" t="n"/>
      <c r="V858" s="31" t="n"/>
      <c r="W858" s="31" t="n"/>
      <c r="X858" s="31" t="n"/>
      <c r="Y858" s="31" t="n"/>
      <c r="Z858" s="31" t="n"/>
    </row>
    <row r="859" ht="14.25" customHeight="1">
      <c r="A859" s="31" t="n"/>
      <c r="D859" s="161" t="n"/>
      <c r="E859" s="161" t="n"/>
      <c r="Q859" s="31" t="n"/>
      <c r="R859" s="31" t="n"/>
      <c r="S859" s="31" t="n"/>
      <c r="T859" s="31" t="n"/>
      <c r="U859" s="31" t="n"/>
      <c r="V859" s="31" t="n"/>
      <c r="W859" s="31" t="n"/>
      <c r="X859" s="31" t="n"/>
      <c r="Y859" s="31" t="n"/>
      <c r="Z859" s="31" t="n"/>
    </row>
    <row r="860" ht="14.25" customHeight="1">
      <c r="A860" s="31" t="n"/>
      <c r="D860" s="161" t="n"/>
      <c r="E860" s="161" t="n"/>
      <c r="Q860" s="31" t="n"/>
      <c r="R860" s="31" t="n"/>
      <c r="S860" s="31" t="n"/>
      <c r="T860" s="31" t="n"/>
      <c r="U860" s="31" t="n"/>
      <c r="V860" s="31" t="n"/>
      <c r="W860" s="31" t="n"/>
      <c r="X860" s="31" t="n"/>
      <c r="Y860" s="31" t="n"/>
      <c r="Z860" s="31" t="n"/>
    </row>
    <row r="861" ht="14.25" customHeight="1">
      <c r="A861" s="31" t="n"/>
      <c r="D861" s="161" t="n"/>
      <c r="E861" s="161" t="n"/>
      <c r="Q861" s="31" t="n"/>
      <c r="R861" s="31" t="n"/>
      <c r="S861" s="31" t="n"/>
      <c r="T861" s="31" t="n"/>
      <c r="U861" s="31" t="n"/>
      <c r="V861" s="31" t="n"/>
      <c r="W861" s="31" t="n"/>
      <c r="X861" s="31" t="n"/>
      <c r="Y861" s="31" t="n"/>
      <c r="Z861" s="31" t="n"/>
    </row>
    <row r="862" ht="14.25" customHeight="1">
      <c r="A862" s="31" t="n"/>
      <c r="D862" s="161" t="n"/>
      <c r="E862" s="161" t="n"/>
      <c r="Q862" s="31" t="n"/>
      <c r="R862" s="31" t="n"/>
      <c r="S862" s="31" t="n"/>
      <c r="T862" s="31" t="n"/>
      <c r="U862" s="31" t="n"/>
      <c r="V862" s="31" t="n"/>
      <c r="W862" s="31" t="n"/>
      <c r="X862" s="31" t="n"/>
      <c r="Y862" s="31" t="n"/>
      <c r="Z862" s="31" t="n"/>
    </row>
    <row r="863" ht="14.25" customHeight="1">
      <c r="A863" s="31" t="n"/>
      <c r="D863" s="161" t="n"/>
      <c r="E863" s="161" t="n"/>
      <c r="Q863" s="31" t="n"/>
      <c r="R863" s="31" t="n"/>
      <c r="S863" s="31" t="n"/>
      <c r="T863" s="31" t="n"/>
      <c r="U863" s="31" t="n"/>
      <c r="V863" s="31" t="n"/>
      <c r="W863" s="31" t="n"/>
      <c r="X863" s="31" t="n"/>
      <c r="Y863" s="31" t="n"/>
      <c r="Z863" s="31" t="n"/>
    </row>
    <row r="864" ht="14.25" customHeight="1">
      <c r="A864" s="31" t="n"/>
      <c r="D864" s="161" t="n"/>
      <c r="E864" s="161" t="n"/>
      <c r="Q864" s="31" t="n"/>
      <c r="R864" s="31" t="n"/>
      <c r="S864" s="31" t="n"/>
      <c r="T864" s="31" t="n"/>
      <c r="U864" s="31" t="n"/>
      <c r="V864" s="31" t="n"/>
      <c r="W864" s="31" t="n"/>
      <c r="X864" s="31" t="n"/>
      <c r="Y864" s="31" t="n"/>
      <c r="Z864" s="31" t="n"/>
    </row>
    <row r="865" ht="14.25" customHeight="1">
      <c r="A865" s="31" t="n"/>
      <c r="D865" s="161" t="n"/>
      <c r="E865" s="161" t="n"/>
      <c r="Q865" s="31" t="n"/>
      <c r="R865" s="31" t="n"/>
      <c r="S865" s="31" t="n"/>
      <c r="T865" s="31" t="n"/>
      <c r="U865" s="31" t="n"/>
      <c r="V865" s="31" t="n"/>
      <c r="W865" s="31" t="n"/>
      <c r="X865" s="31" t="n"/>
      <c r="Y865" s="31" t="n"/>
      <c r="Z865" s="31" t="n"/>
    </row>
    <row r="866" ht="14.25" customHeight="1">
      <c r="A866" s="31" t="n"/>
      <c r="D866" s="161" t="n"/>
      <c r="E866" s="161" t="n"/>
      <c r="Q866" s="31" t="n"/>
      <c r="R866" s="31" t="n"/>
      <c r="S866" s="31" t="n"/>
      <c r="T866" s="31" t="n"/>
      <c r="U866" s="31" t="n"/>
      <c r="V866" s="31" t="n"/>
      <c r="W866" s="31" t="n"/>
      <c r="X866" s="31" t="n"/>
      <c r="Y866" s="31" t="n"/>
      <c r="Z866" s="31" t="n"/>
    </row>
    <row r="867" ht="14.25" customHeight="1">
      <c r="A867" s="31" t="n"/>
      <c r="D867" s="161" t="n"/>
      <c r="E867" s="161" t="n"/>
      <c r="Q867" s="31" t="n"/>
      <c r="R867" s="31" t="n"/>
      <c r="S867" s="31" t="n"/>
      <c r="T867" s="31" t="n"/>
      <c r="U867" s="31" t="n"/>
      <c r="V867" s="31" t="n"/>
      <c r="W867" s="31" t="n"/>
      <c r="X867" s="31" t="n"/>
      <c r="Y867" s="31" t="n"/>
      <c r="Z867" s="31" t="n"/>
    </row>
    <row r="868" ht="14.25" customHeight="1">
      <c r="A868" s="31" t="n"/>
      <c r="D868" s="161" t="n"/>
      <c r="E868" s="161" t="n"/>
      <c r="Q868" s="31" t="n"/>
      <c r="R868" s="31" t="n"/>
      <c r="S868" s="31" t="n"/>
      <c r="T868" s="31" t="n"/>
      <c r="U868" s="31" t="n"/>
      <c r="V868" s="31" t="n"/>
      <c r="W868" s="31" t="n"/>
      <c r="X868" s="31" t="n"/>
      <c r="Y868" s="31" t="n"/>
      <c r="Z868" s="31" t="n"/>
    </row>
    <row r="869" ht="14.25" customHeight="1">
      <c r="A869" s="31" t="n"/>
      <c r="D869" s="161" t="n"/>
      <c r="E869" s="161" t="n"/>
      <c r="Q869" s="31" t="n"/>
      <c r="R869" s="31" t="n"/>
      <c r="S869" s="31" t="n"/>
      <c r="T869" s="31" t="n"/>
      <c r="U869" s="31" t="n"/>
      <c r="V869" s="31" t="n"/>
      <c r="W869" s="31" t="n"/>
      <c r="X869" s="31" t="n"/>
      <c r="Y869" s="31" t="n"/>
      <c r="Z869" s="31" t="n"/>
    </row>
    <row r="870" ht="14.25" customHeight="1">
      <c r="A870" s="31" t="n"/>
      <c r="D870" s="161" t="n"/>
      <c r="E870" s="161" t="n"/>
      <c r="Q870" s="31" t="n"/>
      <c r="R870" s="31" t="n"/>
      <c r="S870" s="31" t="n"/>
      <c r="T870" s="31" t="n"/>
      <c r="U870" s="31" t="n"/>
      <c r="V870" s="31" t="n"/>
      <c r="W870" s="31" t="n"/>
      <c r="X870" s="31" t="n"/>
      <c r="Y870" s="31" t="n"/>
      <c r="Z870" s="31" t="n"/>
    </row>
    <row r="871" ht="14.25" customHeight="1">
      <c r="A871" s="31" t="n"/>
      <c r="D871" s="161" t="n"/>
      <c r="E871" s="161" t="n"/>
      <c r="Q871" s="31" t="n"/>
      <c r="R871" s="31" t="n"/>
      <c r="S871" s="31" t="n"/>
      <c r="T871" s="31" t="n"/>
      <c r="U871" s="31" t="n"/>
      <c r="V871" s="31" t="n"/>
      <c r="W871" s="31" t="n"/>
      <c r="X871" s="31" t="n"/>
      <c r="Y871" s="31" t="n"/>
      <c r="Z871" s="31" t="n"/>
    </row>
    <row r="872" ht="14.25" customHeight="1">
      <c r="A872" s="31" t="n"/>
      <c r="D872" s="161" t="n"/>
      <c r="E872" s="161" t="n"/>
      <c r="Q872" s="31" t="n"/>
      <c r="R872" s="31" t="n"/>
      <c r="S872" s="31" t="n"/>
      <c r="T872" s="31" t="n"/>
      <c r="U872" s="31" t="n"/>
      <c r="V872" s="31" t="n"/>
      <c r="W872" s="31" t="n"/>
      <c r="X872" s="31" t="n"/>
      <c r="Y872" s="31" t="n"/>
      <c r="Z872" s="31" t="n"/>
    </row>
    <row r="873" ht="14.25" customHeight="1">
      <c r="A873" s="31" t="n"/>
      <c r="D873" s="161" t="n"/>
      <c r="E873" s="161" t="n"/>
      <c r="Q873" s="31" t="n"/>
      <c r="R873" s="31" t="n"/>
      <c r="S873" s="31" t="n"/>
      <c r="T873" s="31" t="n"/>
      <c r="U873" s="31" t="n"/>
      <c r="V873" s="31" t="n"/>
      <c r="W873" s="31" t="n"/>
      <c r="X873" s="31" t="n"/>
      <c r="Y873" s="31" t="n"/>
      <c r="Z873" s="31" t="n"/>
    </row>
    <row r="874" ht="14.25" customHeight="1">
      <c r="A874" s="31" t="n"/>
      <c r="D874" s="161" t="n"/>
      <c r="E874" s="161" t="n"/>
      <c r="Q874" s="31" t="n"/>
      <c r="R874" s="31" t="n"/>
      <c r="S874" s="31" t="n"/>
      <c r="T874" s="31" t="n"/>
      <c r="U874" s="31" t="n"/>
      <c r="V874" s="31" t="n"/>
      <c r="W874" s="31" t="n"/>
      <c r="X874" s="31" t="n"/>
      <c r="Y874" s="31" t="n"/>
      <c r="Z874" s="31" t="n"/>
    </row>
    <row r="875" ht="14.25" customHeight="1">
      <c r="A875" s="31" t="n"/>
      <c r="D875" s="161" t="n"/>
      <c r="E875" s="161" t="n"/>
      <c r="Q875" s="31" t="n"/>
      <c r="R875" s="31" t="n"/>
      <c r="S875" s="31" t="n"/>
      <c r="T875" s="31" t="n"/>
      <c r="U875" s="31" t="n"/>
      <c r="V875" s="31" t="n"/>
      <c r="W875" s="31" t="n"/>
      <c r="X875" s="31" t="n"/>
      <c r="Y875" s="31" t="n"/>
      <c r="Z875" s="31" t="n"/>
    </row>
    <row r="876" ht="14.25" customHeight="1">
      <c r="A876" s="31" t="n"/>
      <c r="D876" s="161" t="n"/>
      <c r="E876" s="161" t="n"/>
      <c r="Q876" s="31" t="n"/>
      <c r="R876" s="31" t="n"/>
      <c r="S876" s="31" t="n"/>
      <c r="T876" s="31" t="n"/>
      <c r="U876" s="31" t="n"/>
      <c r="V876" s="31" t="n"/>
      <c r="W876" s="31" t="n"/>
      <c r="X876" s="31" t="n"/>
      <c r="Y876" s="31" t="n"/>
      <c r="Z876" s="31" t="n"/>
    </row>
    <row r="877" ht="14.25" customHeight="1">
      <c r="A877" s="31" t="n"/>
      <c r="D877" s="161" t="n"/>
      <c r="E877" s="161" t="n"/>
      <c r="Q877" s="31" t="n"/>
      <c r="R877" s="31" t="n"/>
      <c r="S877" s="31" t="n"/>
      <c r="T877" s="31" t="n"/>
      <c r="U877" s="31" t="n"/>
      <c r="V877" s="31" t="n"/>
      <c r="W877" s="31" t="n"/>
      <c r="X877" s="31" t="n"/>
      <c r="Y877" s="31" t="n"/>
      <c r="Z877" s="31" t="n"/>
    </row>
    <row r="878" ht="14.25" customHeight="1">
      <c r="A878" s="31" t="n"/>
      <c r="D878" s="161" t="n"/>
      <c r="E878" s="161" t="n"/>
      <c r="Q878" s="31" t="n"/>
      <c r="R878" s="31" t="n"/>
      <c r="S878" s="31" t="n"/>
      <c r="T878" s="31" t="n"/>
      <c r="U878" s="31" t="n"/>
      <c r="V878" s="31" t="n"/>
      <c r="W878" s="31" t="n"/>
      <c r="X878" s="31" t="n"/>
      <c r="Y878" s="31" t="n"/>
      <c r="Z878" s="31" t="n"/>
    </row>
    <row r="879" ht="14.25" customHeight="1">
      <c r="A879" s="31" t="n"/>
      <c r="D879" s="161" t="n"/>
      <c r="E879" s="161" t="n"/>
      <c r="Q879" s="31" t="n"/>
      <c r="R879" s="31" t="n"/>
      <c r="S879" s="31" t="n"/>
      <c r="T879" s="31" t="n"/>
      <c r="U879" s="31" t="n"/>
      <c r="V879" s="31" t="n"/>
      <c r="W879" s="31" t="n"/>
      <c r="X879" s="31" t="n"/>
      <c r="Y879" s="31" t="n"/>
      <c r="Z879" s="31" t="n"/>
    </row>
    <row r="880" ht="14.25" customHeight="1">
      <c r="A880" s="31" t="n"/>
      <c r="D880" s="161" t="n"/>
      <c r="E880" s="161" t="n"/>
      <c r="Q880" s="31" t="n"/>
      <c r="R880" s="31" t="n"/>
      <c r="S880" s="31" t="n"/>
      <c r="T880" s="31" t="n"/>
      <c r="U880" s="31" t="n"/>
      <c r="V880" s="31" t="n"/>
      <c r="W880" s="31" t="n"/>
      <c r="X880" s="31" t="n"/>
      <c r="Y880" s="31" t="n"/>
      <c r="Z880" s="31" t="n"/>
    </row>
    <row r="881" ht="14.25" customHeight="1">
      <c r="A881" s="31" t="n"/>
      <c r="D881" s="161" t="n"/>
      <c r="E881" s="161" t="n"/>
      <c r="Q881" s="31" t="n"/>
      <c r="R881" s="31" t="n"/>
      <c r="S881" s="31" t="n"/>
      <c r="T881" s="31" t="n"/>
      <c r="U881" s="31" t="n"/>
      <c r="V881" s="31" t="n"/>
      <c r="W881" s="31" t="n"/>
      <c r="X881" s="31" t="n"/>
      <c r="Y881" s="31" t="n"/>
      <c r="Z881" s="31" t="n"/>
    </row>
    <row r="882" ht="14.25" customHeight="1">
      <c r="A882" s="31" t="n"/>
      <c r="D882" s="161" t="n"/>
      <c r="E882" s="161" t="n"/>
      <c r="Q882" s="31" t="n"/>
      <c r="R882" s="31" t="n"/>
      <c r="S882" s="31" t="n"/>
      <c r="T882" s="31" t="n"/>
      <c r="U882" s="31" t="n"/>
      <c r="V882" s="31" t="n"/>
      <c r="W882" s="31" t="n"/>
      <c r="X882" s="31" t="n"/>
      <c r="Y882" s="31" t="n"/>
      <c r="Z882" s="31" t="n"/>
    </row>
    <row r="883" ht="14.25" customHeight="1">
      <c r="A883" s="31" t="n"/>
      <c r="D883" s="161" t="n"/>
      <c r="E883" s="161" t="n"/>
      <c r="Q883" s="31" t="n"/>
      <c r="R883" s="31" t="n"/>
      <c r="S883" s="31" t="n"/>
      <c r="T883" s="31" t="n"/>
      <c r="U883" s="31" t="n"/>
      <c r="V883" s="31" t="n"/>
      <c r="W883" s="31" t="n"/>
      <c r="X883" s="31" t="n"/>
      <c r="Y883" s="31" t="n"/>
      <c r="Z883" s="31" t="n"/>
    </row>
    <row r="884" ht="14.25" customHeight="1">
      <c r="A884" s="31" t="n"/>
      <c r="D884" s="161" t="n"/>
      <c r="E884" s="161" t="n"/>
      <c r="Q884" s="31" t="n"/>
      <c r="R884" s="31" t="n"/>
      <c r="S884" s="31" t="n"/>
      <c r="T884" s="31" t="n"/>
      <c r="U884" s="31" t="n"/>
      <c r="V884" s="31" t="n"/>
      <c r="W884" s="31" t="n"/>
      <c r="X884" s="31" t="n"/>
      <c r="Y884" s="31" t="n"/>
      <c r="Z884" s="31" t="n"/>
    </row>
    <row r="885" ht="14.25" customHeight="1">
      <c r="A885" s="31" t="n"/>
      <c r="D885" s="161" t="n"/>
      <c r="E885" s="161" t="n"/>
      <c r="Q885" s="31" t="n"/>
      <c r="R885" s="31" t="n"/>
      <c r="S885" s="31" t="n"/>
      <c r="T885" s="31" t="n"/>
      <c r="U885" s="31" t="n"/>
      <c r="V885" s="31" t="n"/>
      <c r="W885" s="31" t="n"/>
      <c r="X885" s="31" t="n"/>
      <c r="Y885" s="31" t="n"/>
      <c r="Z885" s="31" t="n"/>
    </row>
    <row r="886" ht="14.25" customHeight="1">
      <c r="A886" s="31" t="n"/>
      <c r="D886" s="161" t="n"/>
      <c r="E886" s="161" t="n"/>
      <c r="Q886" s="31" t="n"/>
      <c r="R886" s="31" t="n"/>
      <c r="S886" s="31" t="n"/>
      <c r="T886" s="31" t="n"/>
      <c r="U886" s="31" t="n"/>
      <c r="V886" s="31" t="n"/>
      <c r="W886" s="31" t="n"/>
      <c r="X886" s="31" t="n"/>
      <c r="Y886" s="31" t="n"/>
      <c r="Z886" s="31" t="n"/>
    </row>
    <row r="887" ht="14.25" customHeight="1">
      <c r="A887" s="31" t="n"/>
      <c r="D887" s="161" t="n"/>
      <c r="E887" s="161" t="n"/>
      <c r="Q887" s="31" t="n"/>
      <c r="R887" s="31" t="n"/>
      <c r="S887" s="31" t="n"/>
      <c r="T887" s="31" t="n"/>
      <c r="U887" s="31" t="n"/>
      <c r="V887" s="31" t="n"/>
      <c r="W887" s="31" t="n"/>
      <c r="X887" s="31" t="n"/>
      <c r="Y887" s="31" t="n"/>
      <c r="Z887" s="31" t="n"/>
    </row>
    <row r="888" ht="14.25" customHeight="1">
      <c r="A888" s="31" t="n"/>
      <c r="D888" s="161" t="n"/>
      <c r="E888" s="161" t="n"/>
      <c r="Q888" s="31" t="n"/>
      <c r="R888" s="31" t="n"/>
      <c r="S888" s="31" t="n"/>
      <c r="T888" s="31" t="n"/>
      <c r="U888" s="31" t="n"/>
      <c r="V888" s="31" t="n"/>
      <c r="W888" s="31" t="n"/>
      <c r="X888" s="31" t="n"/>
      <c r="Y888" s="31" t="n"/>
      <c r="Z888" s="31" t="n"/>
    </row>
    <row r="889" ht="14.25" customHeight="1">
      <c r="A889" s="31" t="n"/>
      <c r="D889" s="161" t="n"/>
      <c r="E889" s="161" t="n"/>
      <c r="Q889" s="31" t="n"/>
      <c r="R889" s="31" t="n"/>
      <c r="S889" s="31" t="n"/>
      <c r="T889" s="31" t="n"/>
      <c r="U889" s="31" t="n"/>
      <c r="V889" s="31" t="n"/>
      <c r="W889" s="31" t="n"/>
      <c r="X889" s="31" t="n"/>
      <c r="Y889" s="31" t="n"/>
      <c r="Z889" s="31" t="n"/>
    </row>
    <row r="890" ht="14.25" customHeight="1">
      <c r="A890" s="31" t="n"/>
      <c r="D890" s="161" t="n"/>
      <c r="E890" s="161" t="n"/>
      <c r="Q890" s="31" t="n"/>
      <c r="R890" s="31" t="n"/>
      <c r="S890" s="31" t="n"/>
      <c r="T890" s="31" t="n"/>
      <c r="U890" s="31" t="n"/>
      <c r="V890" s="31" t="n"/>
      <c r="W890" s="31" t="n"/>
      <c r="X890" s="31" t="n"/>
      <c r="Y890" s="31" t="n"/>
      <c r="Z890" s="31" t="n"/>
    </row>
    <row r="891" ht="14.25" customHeight="1">
      <c r="A891" s="31" t="n"/>
      <c r="D891" s="161" t="n"/>
      <c r="E891" s="161" t="n"/>
      <c r="Q891" s="31" t="n"/>
      <c r="R891" s="31" t="n"/>
      <c r="S891" s="31" t="n"/>
      <c r="T891" s="31" t="n"/>
      <c r="U891" s="31" t="n"/>
      <c r="V891" s="31" t="n"/>
      <c r="W891" s="31" t="n"/>
      <c r="X891" s="31" t="n"/>
      <c r="Y891" s="31" t="n"/>
      <c r="Z891" s="31" t="n"/>
    </row>
    <row r="892" ht="14.25" customHeight="1">
      <c r="A892" s="31" t="n"/>
      <c r="D892" s="161" t="n"/>
      <c r="E892" s="161" t="n"/>
      <c r="Q892" s="31" t="n"/>
      <c r="R892" s="31" t="n"/>
      <c r="S892" s="31" t="n"/>
      <c r="T892" s="31" t="n"/>
      <c r="U892" s="31" t="n"/>
      <c r="V892" s="31" t="n"/>
      <c r="W892" s="31" t="n"/>
      <c r="X892" s="31" t="n"/>
      <c r="Y892" s="31" t="n"/>
      <c r="Z892" s="31" t="n"/>
    </row>
    <row r="893" ht="14.25" customHeight="1">
      <c r="A893" s="31" t="n"/>
      <c r="D893" s="161" t="n"/>
      <c r="E893" s="161" t="n"/>
      <c r="Q893" s="31" t="n"/>
      <c r="R893" s="31" t="n"/>
      <c r="S893" s="31" t="n"/>
      <c r="T893" s="31" t="n"/>
      <c r="U893" s="31" t="n"/>
      <c r="V893" s="31" t="n"/>
      <c r="W893" s="31" t="n"/>
      <c r="X893" s="31" t="n"/>
      <c r="Y893" s="31" t="n"/>
      <c r="Z893" s="31" t="n"/>
    </row>
    <row r="894" ht="14.25" customHeight="1">
      <c r="A894" s="31" t="n"/>
      <c r="D894" s="161" t="n"/>
      <c r="E894" s="161" t="n"/>
      <c r="Q894" s="31" t="n"/>
      <c r="R894" s="31" t="n"/>
      <c r="S894" s="31" t="n"/>
      <c r="T894" s="31" t="n"/>
      <c r="U894" s="31" t="n"/>
      <c r="V894" s="31" t="n"/>
      <c r="W894" s="31" t="n"/>
      <c r="X894" s="31" t="n"/>
      <c r="Y894" s="31" t="n"/>
      <c r="Z894" s="31" t="n"/>
    </row>
    <row r="895" ht="14.25" customHeight="1">
      <c r="A895" s="31" t="n"/>
      <c r="D895" s="161" t="n"/>
      <c r="E895" s="161" t="n"/>
      <c r="Q895" s="31" t="n"/>
      <c r="R895" s="31" t="n"/>
      <c r="S895" s="31" t="n"/>
      <c r="T895" s="31" t="n"/>
      <c r="U895" s="31" t="n"/>
      <c r="V895" s="31" t="n"/>
      <c r="W895" s="31" t="n"/>
      <c r="X895" s="31" t="n"/>
      <c r="Y895" s="31" t="n"/>
      <c r="Z895" s="31" t="n"/>
    </row>
    <row r="896" ht="14.25" customHeight="1">
      <c r="A896" s="31" t="n"/>
      <c r="D896" s="161" t="n"/>
      <c r="E896" s="161" t="n"/>
      <c r="Q896" s="31" t="n"/>
      <c r="R896" s="31" t="n"/>
      <c r="S896" s="31" t="n"/>
      <c r="T896" s="31" t="n"/>
      <c r="U896" s="31" t="n"/>
      <c r="V896" s="31" t="n"/>
      <c r="W896" s="31" t="n"/>
      <c r="X896" s="31" t="n"/>
      <c r="Y896" s="31" t="n"/>
      <c r="Z896" s="31" t="n"/>
    </row>
    <row r="897" ht="14.25" customHeight="1">
      <c r="A897" s="31" t="n"/>
      <c r="D897" s="161" t="n"/>
      <c r="E897" s="161" t="n"/>
      <c r="Q897" s="31" t="n"/>
      <c r="R897" s="31" t="n"/>
      <c r="S897" s="31" t="n"/>
      <c r="T897" s="31" t="n"/>
      <c r="U897" s="31" t="n"/>
      <c r="V897" s="31" t="n"/>
      <c r="W897" s="31" t="n"/>
      <c r="X897" s="31" t="n"/>
      <c r="Y897" s="31" t="n"/>
      <c r="Z897" s="31" t="n"/>
    </row>
    <row r="898" ht="14.25" customHeight="1">
      <c r="A898" s="31" t="n"/>
      <c r="D898" s="161" t="n"/>
      <c r="E898" s="161" t="n"/>
      <c r="Q898" s="31" t="n"/>
      <c r="R898" s="31" t="n"/>
      <c r="S898" s="31" t="n"/>
      <c r="T898" s="31" t="n"/>
      <c r="U898" s="31" t="n"/>
      <c r="V898" s="31" t="n"/>
      <c r="W898" s="31" t="n"/>
      <c r="X898" s="31" t="n"/>
      <c r="Y898" s="31" t="n"/>
      <c r="Z898" s="31" t="n"/>
    </row>
    <row r="899" ht="14.25" customHeight="1">
      <c r="A899" s="31" t="n"/>
      <c r="D899" s="161" t="n"/>
      <c r="E899" s="161" t="n"/>
      <c r="Q899" s="31" t="n"/>
      <c r="R899" s="31" t="n"/>
      <c r="S899" s="31" t="n"/>
      <c r="T899" s="31" t="n"/>
      <c r="U899" s="31" t="n"/>
      <c r="V899" s="31" t="n"/>
      <c r="W899" s="31" t="n"/>
      <c r="X899" s="31" t="n"/>
      <c r="Y899" s="31" t="n"/>
      <c r="Z899" s="31" t="n"/>
    </row>
    <row r="900" ht="14.25" customHeight="1">
      <c r="A900" s="31" t="n"/>
      <c r="D900" s="161" t="n"/>
      <c r="E900" s="161" t="n"/>
      <c r="Q900" s="31" t="n"/>
      <c r="R900" s="31" t="n"/>
      <c r="S900" s="31" t="n"/>
      <c r="T900" s="31" t="n"/>
      <c r="U900" s="31" t="n"/>
      <c r="V900" s="31" t="n"/>
      <c r="W900" s="31" t="n"/>
      <c r="X900" s="31" t="n"/>
      <c r="Y900" s="31" t="n"/>
      <c r="Z900" s="31" t="n"/>
    </row>
    <row r="901" ht="14.25" customHeight="1">
      <c r="A901" s="31" t="n"/>
      <c r="D901" s="161" t="n"/>
      <c r="E901" s="161" t="n"/>
      <c r="Q901" s="31" t="n"/>
      <c r="R901" s="31" t="n"/>
      <c r="S901" s="31" t="n"/>
      <c r="T901" s="31" t="n"/>
      <c r="U901" s="31" t="n"/>
      <c r="V901" s="31" t="n"/>
      <c r="W901" s="31" t="n"/>
      <c r="X901" s="31" t="n"/>
      <c r="Y901" s="31" t="n"/>
      <c r="Z901" s="31" t="n"/>
    </row>
    <row r="902" ht="14.25" customHeight="1">
      <c r="A902" s="31" t="n"/>
      <c r="D902" s="161" t="n"/>
      <c r="E902" s="161" t="n"/>
      <c r="Q902" s="31" t="n"/>
      <c r="R902" s="31" t="n"/>
      <c r="S902" s="31" t="n"/>
      <c r="T902" s="31" t="n"/>
      <c r="U902" s="31" t="n"/>
      <c r="V902" s="31" t="n"/>
      <c r="W902" s="31" t="n"/>
      <c r="X902" s="31" t="n"/>
      <c r="Y902" s="31" t="n"/>
      <c r="Z902" s="31" t="n"/>
    </row>
    <row r="903" ht="14.25" customHeight="1">
      <c r="A903" s="31" t="n"/>
      <c r="D903" s="161" t="n"/>
      <c r="E903" s="161" t="n"/>
      <c r="Q903" s="31" t="n"/>
      <c r="R903" s="31" t="n"/>
      <c r="S903" s="31" t="n"/>
      <c r="T903" s="31" t="n"/>
      <c r="U903" s="31" t="n"/>
      <c r="V903" s="31" t="n"/>
      <c r="W903" s="31" t="n"/>
      <c r="X903" s="31" t="n"/>
      <c r="Y903" s="31" t="n"/>
      <c r="Z903" s="31" t="n"/>
    </row>
    <row r="904" ht="14.25" customHeight="1">
      <c r="A904" s="31" t="n"/>
      <c r="D904" s="161" t="n"/>
      <c r="E904" s="161" t="n"/>
      <c r="Q904" s="31" t="n"/>
      <c r="R904" s="31" t="n"/>
      <c r="S904" s="31" t="n"/>
      <c r="T904" s="31" t="n"/>
      <c r="U904" s="31" t="n"/>
      <c r="V904" s="31" t="n"/>
      <c r="W904" s="31" t="n"/>
      <c r="X904" s="31" t="n"/>
      <c r="Y904" s="31" t="n"/>
      <c r="Z904" s="31" t="n"/>
    </row>
    <row r="905" ht="14.25" customHeight="1">
      <c r="A905" s="31" t="n"/>
      <c r="D905" s="161" t="n"/>
      <c r="E905" s="161" t="n"/>
      <c r="Q905" s="31" t="n"/>
      <c r="R905" s="31" t="n"/>
      <c r="S905" s="31" t="n"/>
      <c r="T905" s="31" t="n"/>
      <c r="U905" s="31" t="n"/>
      <c r="V905" s="31" t="n"/>
      <c r="W905" s="31" t="n"/>
      <c r="X905" s="31" t="n"/>
      <c r="Y905" s="31" t="n"/>
      <c r="Z905" s="31" t="n"/>
    </row>
    <row r="906" ht="14.25" customHeight="1">
      <c r="A906" s="31" t="n"/>
      <c r="D906" s="161" t="n"/>
      <c r="E906" s="161" t="n"/>
      <c r="Q906" s="31" t="n"/>
      <c r="R906" s="31" t="n"/>
      <c r="S906" s="31" t="n"/>
      <c r="T906" s="31" t="n"/>
      <c r="U906" s="31" t="n"/>
      <c r="V906" s="31" t="n"/>
      <c r="W906" s="31" t="n"/>
      <c r="X906" s="31" t="n"/>
      <c r="Y906" s="31" t="n"/>
      <c r="Z906" s="31" t="n"/>
    </row>
    <row r="907" ht="14.25" customHeight="1">
      <c r="A907" s="31" t="n"/>
      <c r="D907" s="161" t="n"/>
      <c r="E907" s="161" t="n"/>
      <c r="Q907" s="31" t="n"/>
      <c r="R907" s="31" t="n"/>
      <c r="S907" s="31" t="n"/>
      <c r="T907" s="31" t="n"/>
      <c r="U907" s="31" t="n"/>
      <c r="V907" s="31" t="n"/>
      <c r="W907" s="31" t="n"/>
      <c r="X907" s="31" t="n"/>
      <c r="Y907" s="31" t="n"/>
      <c r="Z907" s="31" t="n"/>
    </row>
    <row r="908" ht="14.25" customHeight="1">
      <c r="A908" s="31" t="n"/>
      <c r="D908" s="161" t="n"/>
      <c r="E908" s="161" t="n"/>
      <c r="Q908" s="31" t="n"/>
      <c r="R908" s="31" t="n"/>
      <c r="S908" s="31" t="n"/>
      <c r="T908" s="31" t="n"/>
      <c r="U908" s="31" t="n"/>
      <c r="V908" s="31" t="n"/>
      <c r="W908" s="31" t="n"/>
      <c r="X908" s="31" t="n"/>
      <c r="Y908" s="31" t="n"/>
      <c r="Z908" s="31" t="n"/>
    </row>
    <row r="909" ht="14.25" customHeight="1">
      <c r="A909" s="31" t="n"/>
      <c r="D909" s="161" t="n"/>
      <c r="E909" s="161" t="n"/>
      <c r="Q909" s="31" t="n"/>
      <c r="R909" s="31" t="n"/>
      <c r="S909" s="31" t="n"/>
      <c r="T909" s="31" t="n"/>
      <c r="U909" s="31" t="n"/>
      <c r="V909" s="31" t="n"/>
      <c r="W909" s="31" t="n"/>
      <c r="X909" s="31" t="n"/>
      <c r="Y909" s="31" t="n"/>
      <c r="Z909" s="31" t="n"/>
    </row>
    <row r="910" ht="14.25" customHeight="1">
      <c r="A910" s="31" t="n"/>
      <c r="D910" s="161" t="n"/>
      <c r="E910" s="161" t="n"/>
      <c r="Q910" s="31" t="n"/>
      <c r="R910" s="31" t="n"/>
      <c r="S910" s="31" t="n"/>
      <c r="T910" s="31" t="n"/>
      <c r="U910" s="31" t="n"/>
      <c r="V910" s="31" t="n"/>
      <c r="W910" s="31" t="n"/>
      <c r="X910" s="31" t="n"/>
      <c r="Y910" s="31" t="n"/>
      <c r="Z910" s="31" t="n"/>
    </row>
    <row r="911" ht="14.25" customHeight="1">
      <c r="A911" s="31" t="n"/>
      <c r="D911" s="161" t="n"/>
      <c r="E911" s="161" t="n"/>
      <c r="Q911" s="31" t="n"/>
      <c r="R911" s="31" t="n"/>
      <c r="S911" s="31" t="n"/>
      <c r="T911" s="31" t="n"/>
      <c r="U911" s="31" t="n"/>
      <c r="V911" s="31" t="n"/>
      <c r="W911" s="31" t="n"/>
      <c r="X911" s="31" t="n"/>
      <c r="Y911" s="31" t="n"/>
      <c r="Z911" s="31" t="n"/>
    </row>
    <row r="912" ht="14.25" customHeight="1">
      <c r="A912" s="31" t="n"/>
      <c r="D912" s="161" t="n"/>
      <c r="E912" s="161" t="n"/>
      <c r="Q912" s="31" t="n"/>
      <c r="R912" s="31" t="n"/>
      <c r="S912" s="31" t="n"/>
      <c r="T912" s="31" t="n"/>
      <c r="U912" s="31" t="n"/>
      <c r="V912" s="31" t="n"/>
      <c r="W912" s="31" t="n"/>
      <c r="X912" s="31" t="n"/>
      <c r="Y912" s="31" t="n"/>
      <c r="Z912" s="31" t="n"/>
    </row>
    <row r="913" ht="14.25" customHeight="1">
      <c r="A913" s="31" t="n"/>
      <c r="D913" s="161" t="n"/>
      <c r="E913" s="161" t="n"/>
      <c r="Q913" s="31" t="n"/>
      <c r="R913" s="31" t="n"/>
      <c r="S913" s="31" t="n"/>
      <c r="T913" s="31" t="n"/>
      <c r="U913" s="31" t="n"/>
      <c r="V913" s="31" t="n"/>
      <c r="W913" s="31" t="n"/>
      <c r="X913" s="31" t="n"/>
      <c r="Y913" s="31" t="n"/>
      <c r="Z913" s="31" t="n"/>
    </row>
    <row r="914" ht="14.25" customHeight="1">
      <c r="A914" s="31" t="n"/>
      <c r="D914" s="161" t="n"/>
      <c r="E914" s="161" t="n"/>
      <c r="Q914" s="31" t="n"/>
      <c r="R914" s="31" t="n"/>
      <c r="S914" s="31" t="n"/>
      <c r="T914" s="31" t="n"/>
      <c r="U914" s="31" t="n"/>
      <c r="V914" s="31" t="n"/>
      <c r="W914" s="31" t="n"/>
      <c r="X914" s="31" t="n"/>
      <c r="Y914" s="31" t="n"/>
      <c r="Z914" s="31" t="n"/>
    </row>
    <row r="915" ht="14.25" customHeight="1">
      <c r="A915" s="31" t="n"/>
      <c r="D915" s="161" t="n"/>
      <c r="E915" s="161" t="n"/>
      <c r="Q915" s="31" t="n"/>
      <c r="R915" s="31" t="n"/>
      <c r="S915" s="31" t="n"/>
      <c r="T915" s="31" t="n"/>
      <c r="U915" s="31" t="n"/>
      <c r="V915" s="31" t="n"/>
      <c r="W915" s="31" t="n"/>
      <c r="X915" s="31" t="n"/>
      <c r="Y915" s="31" t="n"/>
      <c r="Z915" s="31" t="n"/>
    </row>
    <row r="916" ht="14.25" customHeight="1">
      <c r="A916" s="31" t="n"/>
      <c r="D916" s="161" t="n"/>
      <c r="E916" s="161" t="n"/>
      <c r="Q916" s="31" t="n"/>
      <c r="R916" s="31" t="n"/>
      <c r="S916" s="31" t="n"/>
      <c r="T916" s="31" t="n"/>
      <c r="U916" s="31" t="n"/>
      <c r="V916" s="31" t="n"/>
      <c r="W916" s="31" t="n"/>
      <c r="X916" s="31" t="n"/>
      <c r="Y916" s="31" t="n"/>
      <c r="Z916" s="31" t="n"/>
    </row>
    <row r="917" ht="14.25" customHeight="1">
      <c r="A917" s="31" t="n"/>
      <c r="D917" s="161" t="n"/>
      <c r="E917" s="161" t="n"/>
      <c r="Q917" s="31" t="n"/>
      <c r="R917" s="31" t="n"/>
      <c r="S917" s="31" t="n"/>
      <c r="T917" s="31" t="n"/>
      <c r="U917" s="31" t="n"/>
      <c r="V917" s="31" t="n"/>
      <c r="W917" s="31" t="n"/>
      <c r="X917" s="31" t="n"/>
      <c r="Y917" s="31" t="n"/>
      <c r="Z917" s="31" t="n"/>
    </row>
    <row r="918" ht="14.25" customHeight="1">
      <c r="A918" s="31" t="n"/>
      <c r="D918" s="161" t="n"/>
      <c r="E918" s="161" t="n"/>
      <c r="Q918" s="31" t="n"/>
      <c r="R918" s="31" t="n"/>
      <c r="S918" s="31" t="n"/>
      <c r="T918" s="31" t="n"/>
      <c r="U918" s="31" t="n"/>
      <c r="V918" s="31" t="n"/>
      <c r="W918" s="31" t="n"/>
      <c r="X918" s="31" t="n"/>
      <c r="Y918" s="31" t="n"/>
      <c r="Z918" s="31" t="n"/>
    </row>
    <row r="919" ht="14.25" customHeight="1">
      <c r="A919" s="31" t="n"/>
      <c r="D919" s="161" t="n"/>
      <c r="E919" s="161" t="n"/>
      <c r="Q919" s="31" t="n"/>
      <c r="R919" s="31" t="n"/>
      <c r="S919" s="31" t="n"/>
      <c r="T919" s="31" t="n"/>
      <c r="U919" s="31" t="n"/>
      <c r="V919" s="31" t="n"/>
      <c r="W919" s="31" t="n"/>
      <c r="X919" s="31" t="n"/>
      <c r="Y919" s="31" t="n"/>
      <c r="Z919" s="31" t="n"/>
    </row>
    <row r="920" ht="14.25" customHeight="1">
      <c r="A920" s="31" t="n"/>
      <c r="D920" s="161" t="n"/>
      <c r="E920" s="161" t="n"/>
      <c r="Q920" s="31" t="n"/>
      <c r="R920" s="31" t="n"/>
      <c r="S920" s="31" t="n"/>
      <c r="T920" s="31" t="n"/>
      <c r="U920" s="31" t="n"/>
      <c r="V920" s="31" t="n"/>
      <c r="W920" s="31" t="n"/>
      <c r="X920" s="31" t="n"/>
      <c r="Y920" s="31" t="n"/>
      <c r="Z920" s="31" t="n"/>
    </row>
    <row r="921" ht="14.25" customHeight="1">
      <c r="A921" s="31" t="n"/>
      <c r="D921" s="161" t="n"/>
      <c r="E921" s="161" t="n"/>
      <c r="Q921" s="31" t="n"/>
      <c r="R921" s="31" t="n"/>
      <c r="S921" s="31" t="n"/>
      <c r="T921" s="31" t="n"/>
      <c r="U921" s="31" t="n"/>
      <c r="V921" s="31" t="n"/>
      <c r="W921" s="31" t="n"/>
      <c r="X921" s="31" t="n"/>
      <c r="Y921" s="31" t="n"/>
      <c r="Z921" s="31" t="n"/>
    </row>
    <row r="922" ht="14.25" customHeight="1">
      <c r="A922" s="31" t="n"/>
      <c r="D922" s="161" t="n"/>
      <c r="E922" s="161" t="n"/>
      <c r="Q922" s="31" t="n"/>
      <c r="R922" s="31" t="n"/>
      <c r="S922" s="31" t="n"/>
      <c r="T922" s="31" t="n"/>
      <c r="U922" s="31" t="n"/>
      <c r="V922" s="31" t="n"/>
      <c r="W922" s="31" t="n"/>
      <c r="X922" s="31" t="n"/>
      <c r="Y922" s="31" t="n"/>
      <c r="Z922" s="31" t="n"/>
    </row>
    <row r="923" ht="14.25" customHeight="1">
      <c r="A923" s="31" t="n"/>
      <c r="D923" s="161" t="n"/>
      <c r="E923" s="161" t="n"/>
      <c r="Q923" s="31" t="n"/>
      <c r="R923" s="31" t="n"/>
      <c r="S923" s="31" t="n"/>
      <c r="T923" s="31" t="n"/>
      <c r="U923" s="31" t="n"/>
      <c r="V923" s="31" t="n"/>
      <c r="W923" s="31" t="n"/>
      <c r="X923" s="31" t="n"/>
      <c r="Y923" s="31" t="n"/>
      <c r="Z923" s="31" t="n"/>
    </row>
    <row r="924" ht="14.25" customHeight="1">
      <c r="A924" s="31" t="n"/>
      <c r="D924" s="161" t="n"/>
      <c r="E924" s="161" t="n"/>
      <c r="Q924" s="31" t="n"/>
      <c r="R924" s="31" t="n"/>
      <c r="S924" s="31" t="n"/>
      <c r="T924" s="31" t="n"/>
      <c r="U924" s="31" t="n"/>
      <c r="V924" s="31" t="n"/>
      <c r="W924" s="31" t="n"/>
      <c r="X924" s="31" t="n"/>
      <c r="Y924" s="31" t="n"/>
      <c r="Z924" s="31" t="n"/>
    </row>
    <row r="925" ht="14.25" customHeight="1">
      <c r="A925" s="31" t="n"/>
      <c r="D925" s="161" t="n"/>
      <c r="E925" s="161" t="n"/>
      <c r="Q925" s="31" t="n"/>
      <c r="R925" s="31" t="n"/>
      <c r="S925" s="31" t="n"/>
      <c r="T925" s="31" t="n"/>
      <c r="U925" s="31" t="n"/>
      <c r="V925" s="31" t="n"/>
      <c r="W925" s="31" t="n"/>
      <c r="X925" s="31" t="n"/>
      <c r="Y925" s="31" t="n"/>
      <c r="Z925" s="31" t="n"/>
    </row>
    <row r="926" ht="14.25" customHeight="1">
      <c r="A926" s="31" t="n"/>
      <c r="D926" s="161" t="n"/>
      <c r="E926" s="161" t="n"/>
      <c r="Q926" s="31" t="n"/>
      <c r="R926" s="31" t="n"/>
      <c r="S926" s="31" t="n"/>
      <c r="T926" s="31" t="n"/>
      <c r="U926" s="31" t="n"/>
      <c r="V926" s="31" t="n"/>
      <c r="W926" s="31" t="n"/>
      <c r="X926" s="31" t="n"/>
      <c r="Y926" s="31" t="n"/>
      <c r="Z926" s="31" t="n"/>
    </row>
    <row r="927" ht="14.25" customHeight="1">
      <c r="A927" s="31" t="n"/>
      <c r="D927" s="161" t="n"/>
      <c r="E927" s="161" t="n"/>
      <c r="Q927" s="31" t="n"/>
      <c r="R927" s="31" t="n"/>
      <c r="S927" s="31" t="n"/>
      <c r="T927" s="31" t="n"/>
      <c r="U927" s="31" t="n"/>
      <c r="V927" s="31" t="n"/>
      <c r="W927" s="31" t="n"/>
      <c r="X927" s="31" t="n"/>
      <c r="Y927" s="31" t="n"/>
      <c r="Z927" s="31" t="n"/>
    </row>
    <row r="928" ht="14.25" customHeight="1">
      <c r="A928" s="31" t="n"/>
      <c r="D928" s="161" t="n"/>
      <c r="E928" s="161" t="n"/>
      <c r="Q928" s="31" t="n"/>
      <c r="R928" s="31" t="n"/>
      <c r="S928" s="31" t="n"/>
      <c r="T928" s="31" t="n"/>
      <c r="U928" s="31" t="n"/>
      <c r="V928" s="31" t="n"/>
      <c r="W928" s="31" t="n"/>
      <c r="X928" s="31" t="n"/>
      <c r="Y928" s="31" t="n"/>
      <c r="Z928" s="31" t="n"/>
    </row>
    <row r="929" ht="14.25" customHeight="1">
      <c r="A929" s="31" t="n"/>
      <c r="D929" s="161" t="n"/>
      <c r="E929" s="161" t="n"/>
      <c r="Q929" s="31" t="n"/>
      <c r="R929" s="31" t="n"/>
      <c r="S929" s="31" t="n"/>
      <c r="T929" s="31" t="n"/>
      <c r="U929" s="31" t="n"/>
      <c r="V929" s="31" t="n"/>
      <c r="W929" s="31" t="n"/>
      <c r="X929" s="31" t="n"/>
      <c r="Y929" s="31" t="n"/>
      <c r="Z929" s="31" t="n"/>
    </row>
    <row r="930" ht="14.25" customHeight="1">
      <c r="A930" s="31" t="n"/>
      <c r="D930" s="161" t="n"/>
      <c r="E930" s="161" t="n"/>
      <c r="Q930" s="31" t="n"/>
      <c r="R930" s="31" t="n"/>
      <c r="S930" s="31" t="n"/>
      <c r="T930" s="31" t="n"/>
      <c r="U930" s="31" t="n"/>
      <c r="V930" s="31" t="n"/>
      <c r="W930" s="31" t="n"/>
      <c r="X930" s="31" t="n"/>
      <c r="Y930" s="31" t="n"/>
      <c r="Z930" s="31" t="n"/>
    </row>
    <row r="931" ht="14.25" customHeight="1">
      <c r="A931" s="31" t="n"/>
      <c r="D931" s="161" t="n"/>
      <c r="E931" s="161" t="n"/>
      <c r="Q931" s="31" t="n"/>
      <c r="R931" s="31" t="n"/>
      <c r="S931" s="31" t="n"/>
      <c r="T931" s="31" t="n"/>
      <c r="U931" s="31" t="n"/>
      <c r="V931" s="31" t="n"/>
      <c r="W931" s="31" t="n"/>
      <c r="X931" s="31" t="n"/>
      <c r="Y931" s="31" t="n"/>
      <c r="Z931" s="31" t="n"/>
    </row>
    <row r="932" ht="14.25" customHeight="1">
      <c r="A932" s="31" t="n"/>
      <c r="D932" s="161" t="n"/>
      <c r="E932" s="161" t="n"/>
      <c r="Q932" s="31" t="n"/>
      <c r="R932" s="31" t="n"/>
      <c r="S932" s="31" t="n"/>
      <c r="T932" s="31" t="n"/>
      <c r="U932" s="31" t="n"/>
      <c r="V932" s="31" t="n"/>
      <c r="W932" s="31" t="n"/>
      <c r="X932" s="31" t="n"/>
      <c r="Y932" s="31" t="n"/>
      <c r="Z932" s="31" t="n"/>
    </row>
    <row r="933" ht="14.25" customHeight="1">
      <c r="A933" s="31" t="n"/>
      <c r="D933" s="161" t="n"/>
      <c r="E933" s="161" t="n"/>
      <c r="Q933" s="31" t="n"/>
      <c r="R933" s="31" t="n"/>
      <c r="S933" s="31" t="n"/>
      <c r="T933" s="31" t="n"/>
      <c r="U933" s="31" t="n"/>
      <c r="V933" s="31" t="n"/>
      <c r="W933" s="31" t="n"/>
      <c r="X933" s="31" t="n"/>
      <c r="Y933" s="31" t="n"/>
      <c r="Z933" s="31" t="n"/>
    </row>
    <row r="934" ht="14.25" customHeight="1">
      <c r="A934" s="31" t="n"/>
      <c r="D934" s="161" t="n"/>
      <c r="E934" s="161" t="n"/>
      <c r="Q934" s="31" t="n"/>
      <c r="R934" s="31" t="n"/>
      <c r="S934" s="31" t="n"/>
      <c r="T934" s="31" t="n"/>
      <c r="U934" s="31" t="n"/>
      <c r="V934" s="31" t="n"/>
      <c r="W934" s="31" t="n"/>
      <c r="X934" s="31" t="n"/>
      <c r="Y934" s="31" t="n"/>
      <c r="Z934" s="31" t="n"/>
    </row>
    <row r="935" ht="14.25" customHeight="1">
      <c r="A935" s="31" t="n"/>
      <c r="D935" s="161" t="n"/>
      <c r="E935" s="161" t="n"/>
      <c r="Q935" s="31" t="n"/>
      <c r="R935" s="31" t="n"/>
      <c r="S935" s="31" t="n"/>
      <c r="T935" s="31" t="n"/>
      <c r="U935" s="31" t="n"/>
      <c r="V935" s="31" t="n"/>
      <c r="W935" s="31" t="n"/>
      <c r="X935" s="31" t="n"/>
      <c r="Y935" s="31" t="n"/>
      <c r="Z935" s="31" t="n"/>
    </row>
    <row r="936" ht="14.25" customHeight="1">
      <c r="A936" s="31" t="n"/>
      <c r="D936" s="161" t="n"/>
      <c r="E936" s="161" t="n"/>
      <c r="Q936" s="31" t="n"/>
      <c r="R936" s="31" t="n"/>
      <c r="S936" s="31" t="n"/>
      <c r="T936" s="31" t="n"/>
      <c r="U936" s="31" t="n"/>
      <c r="V936" s="31" t="n"/>
      <c r="W936" s="31" t="n"/>
      <c r="X936" s="31" t="n"/>
      <c r="Y936" s="31" t="n"/>
      <c r="Z936" s="31" t="n"/>
    </row>
    <row r="937" ht="14.25" customHeight="1">
      <c r="A937" s="31" t="n"/>
      <c r="D937" s="161" t="n"/>
      <c r="E937" s="161" t="n"/>
      <c r="Q937" s="31" t="n"/>
      <c r="R937" s="31" t="n"/>
      <c r="S937" s="31" t="n"/>
      <c r="T937" s="31" t="n"/>
      <c r="U937" s="31" t="n"/>
      <c r="V937" s="31" t="n"/>
      <c r="W937" s="31" t="n"/>
      <c r="X937" s="31" t="n"/>
      <c r="Y937" s="31" t="n"/>
      <c r="Z937" s="31" t="n"/>
    </row>
    <row r="938" ht="14.25" customHeight="1">
      <c r="A938" s="31" t="n"/>
      <c r="D938" s="161" t="n"/>
      <c r="E938" s="161" t="n"/>
      <c r="Q938" s="31" t="n"/>
      <c r="R938" s="31" t="n"/>
      <c r="S938" s="31" t="n"/>
      <c r="T938" s="31" t="n"/>
      <c r="U938" s="31" t="n"/>
      <c r="V938" s="31" t="n"/>
      <c r="W938" s="31" t="n"/>
      <c r="X938" s="31" t="n"/>
      <c r="Y938" s="31" t="n"/>
      <c r="Z938" s="31" t="n"/>
    </row>
    <row r="939" ht="14.25" customHeight="1">
      <c r="A939" s="31" t="n"/>
      <c r="D939" s="161" t="n"/>
      <c r="E939" s="161" t="n"/>
      <c r="Q939" s="31" t="n"/>
      <c r="R939" s="31" t="n"/>
      <c r="S939" s="31" t="n"/>
      <c r="T939" s="31" t="n"/>
      <c r="U939" s="31" t="n"/>
      <c r="V939" s="31" t="n"/>
      <c r="W939" s="31" t="n"/>
      <c r="X939" s="31" t="n"/>
      <c r="Y939" s="31" t="n"/>
      <c r="Z939" s="31" t="n"/>
    </row>
    <row r="940" ht="14.25" customHeight="1">
      <c r="A940" s="31" t="n"/>
      <c r="D940" s="161" t="n"/>
      <c r="E940" s="161" t="n"/>
      <c r="Q940" s="31" t="n"/>
      <c r="R940" s="31" t="n"/>
      <c r="S940" s="31" t="n"/>
      <c r="T940" s="31" t="n"/>
      <c r="U940" s="31" t="n"/>
      <c r="V940" s="31" t="n"/>
      <c r="W940" s="31" t="n"/>
      <c r="X940" s="31" t="n"/>
      <c r="Y940" s="31" t="n"/>
      <c r="Z940" s="31" t="n"/>
    </row>
    <row r="941" ht="14.25" customHeight="1">
      <c r="A941" s="31" t="n"/>
      <c r="D941" s="161" t="n"/>
      <c r="E941" s="161" t="n"/>
      <c r="Q941" s="31" t="n"/>
      <c r="R941" s="31" t="n"/>
      <c r="S941" s="31" t="n"/>
      <c r="T941" s="31" t="n"/>
      <c r="U941" s="31" t="n"/>
      <c r="V941" s="31" t="n"/>
      <c r="W941" s="31" t="n"/>
      <c r="X941" s="31" t="n"/>
      <c r="Y941" s="31" t="n"/>
      <c r="Z941" s="31" t="n"/>
    </row>
    <row r="942" ht="14.25" customHeight="1">
      <c r="A942" s="31" t="n"/>
      <c r="D942" s="161" t="n"/>
      <c r="E942" s="161" t="n"/>
      <c r="Q942" s="31" t="n"/>
      <c r="R942" s="31" t="n"/>
      <c r="S942" s="31" t="n"/>
      <c r="T942" s="31" t="n"/>
      <c r="U942" s="31" t="n"/>
      <c r="V942" s="31" t="n"/>
      <c r="W942" s="31" t="n"/>
      <c r="X942" s="31" t="n"/>
      <c r="Y942" s="31" t="n"/>
      <c r="Z942" s="31" t="n"/>
    </row>
    <row r="943" ht="14.25" customHeight="1">
      <c r="A943" s="31" t="n"/>
      <c r="D943" s="161" t="n"/>
      <c r="E943" s="161" t="n"/>
      <c r="Q943" s="31" t="n"/>
      <c r="R943" s="31" t="n"/>
      <c r="S943" s="31" t="n"/>
      <c r="T943" s="31" t="n"/>
      <c r="U943" s="31" t="n"/>
      <c r="V943" s="31" t="n"/>
      <c r="W943" s="31" t="n"/>
      <c r="X943" s="31" t="n"/>
      <c r="Y943" s="31" t="n"/>
      <c r="Z943" s="31" t="n"/>
    </row>
    <row r="944" ht="14.25" customHeight="1">
      <c r="A944" s="31" t="n"/>
      <c r="D944" s="161" t="n"/>
      <c r="E944" s="161" t="n"/>
      <c r="Q944" s="31" t="n"/>
      <c r="R944" s="31" t="n"/>
      <c r="S944" s="31" t="n"/>
      <c r="T944" s="31" t="n"/>
      <c r="U944" s="31" t="n"/>
      <c r="V944" s="31" t="n"/>
      <c r="W944" s="31" t="n"/>
      <c r="X944" s="31" t="n"/>
      <c r="Y944" s="31" t="n"/>
      <c r="Z944" s="31" t="n"/>
    </row>
    <row r="945" ht="14.25" customHeight="1">
      <c r="A945" s="31" t="n"/>
      <c r="D945" s="161" t="n"/>
      <c r="E945" s="161" t="n"/>
      <c r="Q945" s="31" t="n"/>
      <c r="R945" s="31" t="n"/>
      <c r="S945" s="31" t="n"/>
      <c r="T945" s="31" t="n"/>
      <c r="U945" s="31" t="n"/>
      <c r="V945" s="31" t="n"/>
      <c r="W945" s="31" t="n"/>
      <c r="X945" s="31" t="n"/>
      <c r="Y945" s="31" t="n"/>
      <c r="Z945" s="31" t="n"/>
    </row>
    <row r="946" ht="14.25" customHeight="1">
      <c r="A946" s="31" t="n"/>
      <c r="D946" s="161" t="n"/>
      <c r="E946" s="161" t="n"/>
      <c r="Q946" s="31" t="n"/>
      <c r="R946" s="31" t="n"/>
      <c r="S946" s="31" t="n"/>
      <c r="T946" s="31" t="n"/>
      <c r="U946" s="31" t="n"/>
      <c r="V946" s="31" t="n"/>
      <c r="W946" s="31" t="n"/>
      <c r="X946" s="31" t="n"/>
      <c r="Y946" s="31" t="n"/>
      <c r="Z946" s="31" t="n"/>
    </row>
    <row r="947" ht="14.25" customHeight="1">
      <c r="A947" s="31" t="n"/>
      <c r="D947" s="161" t="n"/>
      <c r="E947" s="161" t="n"/>
      <c r="Q947" s="31" t="n"/>
      <c r="R947" s="31" t="n"/>
      <c r="S947" s="31" t="n"/>
      <c r="T947" s="31" t="n"/>
      <c r="U947" s="31" t="n"/>
      <c r="V947" s="31" t="n"/>
      <c r="W947" s="31" t="n"/>
      <c r="X947" s="31" t="n"/>
      <c r="Y947" s="31" t="n"/>
      <c r="Z947" s="31" t="n"/>
    </row>
    <row r="948" ht="14.25" customHeight="1">
      <c r="A948" s="31" t="n"/>
      <c r="D948" s="161" t="n"/>
      <c r="E948" s="161" t="n"/>
      <c r="Q948" s="31" t="n"/>
      <c r="R948" s="31" t="n"/>
      <c r="S948" s="31" t="n"/>
      <c r="T948" s="31" t="n"/>
      <c r="U948" s="31" t="n"/>
      <c r="V948" s="31" t="n"/>
      <c r="W948" s="31" t="n"/>
      <c r="X948" s="31" t="n"/>
      <c r="Y948" s="31" t="n"/>
      <c r="Z948" s="31" t="n"/>
    </row>
    <row r="949" ht="14.25" customHeight="1">
      <c r="A949" s="31" t="n"/>
      <c r="D949" s="161" t="n"/>
      <c r="E949" s="161" t="n"/>
      <c r="Q949" s="31" t="n"/>
      <c r="R949" s="31" t="n"/>
      <c r="S949" s="31" t="n"/>
      <c r="T949" s="31" t="n"/>
      <c r="U949" s="31" t="n"/>
      <c r="V949" s="31" t="n"/>
      <c r="W949" s="31" t="n"/>
      <c r="X949" s="31" t="n"/>
      <c r="Y949" s="31" t="n"/>
      <c r="Z949" s="31" t="n"/>
    </row>
    <row r="950" ht="14.25" customHeight="1">
      <c r="A950" s="31" t="n"/>
      <c r="D950" s="161" t="n"/>
      <c r="E950" s="161" t="n"/>
      <c r="Q950" s="31" t="n"/>
      <c r="R950" s="31" t="n"/>
      <c r="S950" s="31" t="n"/>
      <c r="T950" s="31" t="n"/>
      <c r="U950" s="31" t="n"/>
      <c r="V950" s="31" t="n"/>
      <c r="W950" s="31" t="n"/>
      <c r="X950" s="31" t="n"/>
      <c r="Y950" s="31" t="n"/>
      <c r="Z950" s="31" t="n"/>
    </row>
    <row r="951" ht="14.25" customHeight="1">
      <c r="A951" s="31" t="n"/>
      <c r="D951" s="161" t="n"/>
      <c r="E951" s="161" t="n"/>
      <c r="Q951" s="31" t="n"/>
      <c r="R951" s="31" t="n"/>
      <c r="S951" s="31" t="n"/>
      <c r="T951" s="31" t="n"/>
      <c r="U951" s="31" t="n"/>
      <c r="V951" s="31" t="n"/>
      <c r="W951" s="31" t="n"/>
      <c r="X951" s="31" t="n"/>
      <c r="Y951" s="31" t="n"/>
      <c r="Z951" s="31" t="n"/>
    </row>
    <row r="952" ht="14.25" customHeight="1">
      <c r="A952" s="31" t="n"/>
      <c r="D952" s="161" t="n"/>
      <c r="E952" s="161" t="n"/>
      <c r="Q952" s="31" t="n"/>
      <c r="R952" s="31" t="n"/>
      <c r="S952" s="31" t="n"/>
      <c r="T952" s="31" t="n"/>
      <c r="U952" s="31" t="n"/>
      <c r="V952" s="31" t="n"/>
      <c r="W952" s="31" t="n"/>
      <c r="X952" s="31" t="n"/>
      <c r="Y952" s="31" t="n"/>
      <c r="Z952" s="31" t="n"/>
    </row>
    <row r="953" ht="14.25" customHeight="1">
      <c r="A953" s="31" t="n"/>
      <c r="D953" s="161" t="n"/>
      <c r="E953" s="161" t="n"/>
      <c r="Q953" s="31" t="n"/>
      <c r="R953" s="31" t="n"/>
      <c r="S953" s="31" t="n"/>
      <c r="T953" s="31" t="n"/>
      <c r="U953" s="31" t="n"/>
      <c r="V953" s="31" t="n"/>
      <c r="W953" s="31" t="n"/>
      <c r="X953" s="31" t="n"/>
      <c r="Y953" s="31" t="n"/>
      <c r="Z953" s="31" t="n"/>
    </row>
    <row r="954" ht="14.25" customHeight="1">
      <c r="A954" s="31" t="n"/>
      <c r="D954" s="161" t="n"/>
      <c r="E954" s="161" t="n"/>
      <c r="Q954" s="31" t="n"/>
      <c r="R954" s="31" t="n"/>
      <c r="S954" s="31" t="n"/>
      <c r="T954" s="31" t="n"/>
      <c r="U954" s="31" t="n"/>
      <c r="V954" s="31" t="n"/>
      <c r="W954" s="31" t="n"/>
      <c r="X954" s="31" t="n"/>
      <c r="Y954" s="31" t="n"/>
      <c r="Z954" s="31" t="n"/>
    </row>
    <row r="955" ht="14.25" customHeight="1">
      <c r="A955" s="31" t="n"/>
      <c r="D955" s="161" t="n"/>
      <c r="E955" s="161" t="n"/>
      <c r="Q955" s="31" t="n"/>
      <c r="R955" s="31" t="n"/>
      <c r="S955" s="31" t="n"/>
      <c r="T955" s="31" t="n"/>
      <c r="U955" s="31" t="n"/>
      <c r="V955" s="31" t="n"/>
      <c r="W955" s="31" t="n"/>
      <c r="X955" s="31" t="n"/>
      <c r="Y955" s="31" t="n"/>
      <c r="Z955" s="31" t="n"/>
    </row>
    <row r="956" ht="14.25" customHeight="1">
      <c r="A956" s="31" t="n"/>
      <c r="D956" s="161" t="n"/>
      <c r="E956" s="161" t="n"/>
      <c r="Q956" s="31" t="n"/>
      <c r="R956" s="31" t="n"/>
      <c r="S956" s="31" t="n"/>
      <c r="T956" s="31" t="n"/>
      <c r="U956" s="31" t="n"/>
      <c r="V956" s="31" t="n"/>
      <c r="W956" s="31" t="n"/>
      <c r="X956" s="31" t="n"/>
      <c r="Y956" s="31" t="n"/>
      <c r="Z956" s="31" t="n"/>
    </row>
    <row r="957" ht="14.25" customHeight="1">
      <c r="A957" s="31" t="n"/>
      <c r="D957" s="161" t="n"/>
      <c r="E957" s="161" t="n"/>
      <c r="Q957" s="31" t="n"/>
      <c r="R957" s="31" t="n"/>
      <c r="S957" s="31" t="n"/>
      <c r="T957" s="31" t="n"/>
      <c r="U957" s="31" t="n"/>
      <c r="V957" s="31" t="n"/>
      <c r="W957" s="31" t="n"/>
      <c r="X957" s="31" t="n"/>
      <c r="Y957" s="31" t="n"/>
      <c r="Z957" s="31" t="n"/>
    </row>
    <row r="958" ht="14.25" customHeight="1">
      <c r="A958" s="31" t="n"/>
      <c r="D958" s="161" t="n"/>
      <c r="E958" s="161" t="n"/>
      <c r="Q958" s="31" t="n"/>
      <c r="R958" s="31" t="n"/>
      <c r="S958" s="31" t="n"/>
      <c r="T958" s="31" t="n"/>
      <c r="U958" s="31" t="n"/>
      <c r="V958" s="31" t="n"/>
      <c r="W958" s="31" t="n"/>
      <c r="X958" s="31" t="n"/>
      <c r="Y958" s="31" t="n"/>
      <c r="Z958" s="31" t="n"/>
    </row>
    <row r="959" ht="14.25" customHeight="1">
      <c r="A959" s="31" t="n"/>
      <c r="D959" s="161" t="n"/>
      <c r="E959" s="161" t="n"/>
      <c r="Q959" s="31" t="n"/>
      <c r="R959" s="31" t="n"/>
      <c r="S959" s="31" t="n"/>
      <c r="T959" s="31" t="n"/>
      <c r="U959" s="31" t="n"/>
      <c r="V959" s="31" t="n"/>
      <c r="W959" s="31" t="n"/>
      <c r="X959" s="31" t="n"/>
      <c r="Y959" s="31" t="n"/>
      <c r="Z959" s="31" t="n"/>
    </row>
    <row r="960" ht="14.25" customHeight="1">
      <c r="A960" s="31" t="n"/>
      <c r="D960" s="161" t="n"/>
      <c r="E960" s="161" t="n"/>
      <c r="Q960" s="31" t="n"/>
      <c r="R960" s="31" t="n"/>
      <c r="S960" s="31" t="n"/>
      <c r="T960" s="31" t="n"/>
      <c r="U960" s="31" t="n"/>
      <c r="V960" s="31" t="n"/>
      <c r="W960" s="31" t="n"/>
      <c r="X960" s="31" t="n"/>
      <c r="Y960" s="31" t="n"/>
      <c r="Z960" s="31" t="n"/>
    </row>
    <row r="961" ht="14.25" customHeight="1">
      <c r="A961" s="31" t="n"/>
      <c r="D961" s="161" t="n"/>
      <c r="E961" s="161" t="n"/>
      <c r="Q961" s="31" t="n"/>
      <c r="R961" s="31" t="n"/>
      <c r="S961" s="31" t="n"/>
      <c r="T961" s="31" t="n"/>
      <c r="U961" s="31" t="n"/>
      <c r="V961" s="31" t="n"/>
      <c r="W961" s="31" t="n"/>
      <c r="X961" s="31" t="n"/>
      <c r="Y961" s="31" t="n"/>
      <c r="Z961" s="31" t="n"/>
    </row>
    <row r="962" ht="14.25" customHeight="1">
      <c r="A962" s="31" t="n"/>
      <c r="D962" s="161" t="n"/>
      <c r="E962" s="161" t="n"/>
      <c r="Q962" s="31" t="n"/>
      <c r="R962" s="31" t="n"/>
      <c r="S962" s="31" t="n"/>
      <c r="T962" s="31" t="n"/>
      <c r="U962" s="31" t="n"/>
      <c r="V962" s="31" t="n"/>
      <c r="W962" s="31" t="n"/>
      <c r="X962" s="31" t="n"/>
      <c r="Y962" s="31" t="n"/>
      <c r="Z962" s="31" t="n"/>
    </row>
    <row r="963" ht="14.25" customHeight="1">
      <c r="A963" s="31" t="n"/>
      <c r="D963" s="161" t="n"/>
      <c r="E963" s="161" t="n"/>
      <c r="Q963" s="31" t="n"/>
      <c r="R963" s="31" t="n"/>
      <c r="S963" s="31" t="n"/>
      <c r="T963" s="31" t="n"/>
      <c r="U963" s="31" t="n"/>
      <c r="V963" s="31" t="n"/>
      <c r="W963" s="31" t="n"/>
      <c r="X963" s="31" t="n"/>
      <c r="Y963" s="31" t="n"/>
      <c r="Z963" s="31" t="n"/>
    </row>
    <row r="964" ht="14.25" customHeight="1">
      <c r="A964" s="31" t="n"/>
      <c r="D964" s="161" t="n"/>
      <c r="E964" s="161" t="n"/>
      <c r="Q964" s="31" t="n"/>
      <c r="R964" s="31" t="n"/>
      <c r="S964" s="31" t="n"/>
      <c r="T964" s="31" t="n"/>
      <c r="U964" s="31" t="n"/>
      <c r="V964" s="31" t="n"/>
      <c r="W964" s="31" t="n"/>
      <c r="X964" s="31" t="n"/>
      <c r="Y964" s="31" t="n"/>
      <c r="Z964" s="31" t="n"/>
    </row>
    <row r="965" ht="14.25" customHeight="1">
      <c r="A965" s="31" t="n"/>
      <c r="D965" s="161" t="n"/>
      <c r="E965" s="161" t="n"/>
      <c r="Q965" s="31" t="n"/>
      <c r="R965" s="31" t="n"/>
      <c r="S965" s="31" t="n"/>
      <c r="T965" s="31" t="n"/>
      <c r="U965" s="31" t="n"/>
      <c r="V965" s="31" t="n"/>
      <c r="W965" s="31" t="n"/>
      <c r="X965" s="31" t="n"/>
      <c r="Y965" s="31" t="n"/>
      <c r="Z965" s="31" t="n"/>
    </row>
    <row r="966" ht="14.25" customHeight="1">
      <c r="A966" s="31" t="n"/>
      <c r="D966" s="161" t="n"/>
      <c r="E966" s="161" t="n"/>
      <c r="Q966" s="31" t="n"/>
      <c r="R966" s="31" t="n"/>
      <c r="S966" s="31" t="n"/>
      <c r="T966" s="31" t="n"/>
      <c r="U966" s="31" t="n"/>
      <c r="V966" s="31" t="n"/>
      <c r="W966" s="31" t="n"/>
      <c r="X966" s="31" t="n"/>
      <c r="Y966" s="31" t="n"/>
      <c r="Z966" s="31" t="n"/>
    </row>
    <row r="967" ht="14.25" customHeight="1">
      <c r="A967" s="31" t="n"/>
      <c r="D967" s="161" t="n"/>
      <c r="E967" s="161" t="n"/>
      <c r="Q967" s="31" t="n"/>
      <c r="R967" s="31" t="n"/>
      <c r="S967" s="31" t="n"/>
      <c r="T967" s="31" t="n"/>
      <c r="U967" s="31" t="n"/>
      <c r="V967" s="31" t="n"/>
      <c r="W967" s="31" t="n"/>
      <c r="X967" s="31" t="n"/>
      <c r="Y967" s="31" t="n"/>
      <c r="Z967" s="31" t="n"/>
    </row>
    <row r="968" ht="14.25" customHeight="1">
      <c r="A968" s="31" t="n"/>
      <c r="D968" s="161" t="n"/>
      <c r="E968" s="161" t="n"/>
      <c r="Q968" s="31" t="n"/>
      <c r="R968" s="31" t="n"/>
      <c r="S968" s="31" t="n"/>
      <c r="T968" s="31" t="n"/>
      <c r="U968" s="31" t="n"/>
      <c r="V968" s="31" t="n"/>
      <c r="W968" s="31" t="n"/>
      <c r="X968" s="31" t="n"/>
      <c r="Y968" s="31" t="n"/>
      <c r="Z968" s="31" t="n"/>
    </row>
    <row r="969" ht="14.25" customHeight="1">
      <c r="A969" s="31" t="n"/>
      <c r="D969" s="161" t="n"/>
      <c r="E969" s="161" t="n"/>
      <c r="Q969" s="31" t="n"/>
      <c r="R969" s="31" t="n"/>
      <c r="S969" s="31" t="n"/>
      <c r="T969" s="31" t="n"/>
      <c r="U969" s="31" t="n"/>
      <c r="V969" s="31" t="n"/>
      <c r="W969" s="31" t="n"/>
      <c r="X969" s="31" t="n"/>
      <c r="Y969" s="31" t="n"/>
      <c r="Z969" s="31" t="n"/>
    </row>
    <row r="970" ht="14.25" customHeight="1">
      <c r="A970" s="31" t="n"/>
      <c r="D970" s="161" t="n"/>
      <c r="E970" s="161" t="n"/>
      <c r="Q970" s="31" t="n"/>
      <c r="R970" s="31" t="n"/>
      <c r="S970" s="31" t="n"/>
      <c r="T970" s="31" t="n"/>
      <c r="U970" s="31" t="n"/>
      <c r="V970" s="31" t="n"/>
      <c r="W970" s="31" t="n"/>
      <c r="X970" s="31" t="n"/>
      <c r="Y970" s="31" t="n"/>
      <c r="Z970" s="31" t="n"/>
    </row>
    <row r="971" ht="14.25" customHeight="1">
      <c r="A971" s="31" t="n"/>
      <c r="D971" s="161" t="n"/>
      <c r="E971" s="161" t="n"/>
      <c r="Q971" s="31" t="n"/>
      <c r="R971" s="31" t="n"/>
      <c r="S971" s="31" t="n"/>
      <c r="T971" s="31" t="n"/>
      <c r="U971" s="31" t="n"/>
      <c r="V971" s="31" t="n"/>
      <c r="W971" s="31" t="n"/>
      <c r="X971" s="31" t="n"/>
      <c r="Y971" s="31" t="n"/>
      <c r="Z971" s="31" t="n"/>
    </row>
    <row r="972" ht="14.25" customHeight="1">
      <c r="A972" s="31" t="n"/>
      <c r="D972" s="161" t="n"/>
      <c r="E972" s="161" t="n"/>
      <c r="Q972" s="31" t="n"/>
      <c r="R972" s="31" t="n"/>
      <c r="S972" s="31" t="n"/>
      <c r="T972" s="31" t="n"/>
      <c r="U972" s="31" t="n"/>
      <c r="V972" s="31" t="n"/>
      <c r="W972" s="31" t="n"/>
      <c r="X972" s="31" t="n"/>
      <c r="Y972" s="31" t="n"/>
      <c r="Z972" s="31" t="n"/>
    </row>
    <row r="973" ht="14.25" customHeight="1">
      <c r="A973" s="31" t="n"/>
      <c r="D973" s="161" t="n"/>
      <c r="E973" s="161" t="n"/>
      <c r="Q973" s="31" t="n"/>
      <c r="R973" s="31" t="n"/>
      <c r="S973" s="31" t="n"/>
      <c r="T973" s="31" t="n"/>
      <c r="U973" s="31" t="n"/>
      <c r="V973" s="31" t="n"/>
      <c r="W973" s="31" t="n"/>
      <c r="X973" s="31" t="n"/>
      <c r="Y973" s="31" t="n"/>
      <c r="Z973" s="31" t="n"/>
    </row>
    <row r="974" ht="14.25" customHeight="1">
      <c r="A974" s="31" t="n"/>
      <c r="D974" s="161" t="n"/>
      <c r="E974" s="161" t="n"/>
      <c r="Q974" s="31" t="n"/>
      <c r="R974" s="31" t="n"/>
      <c r="S974" s="31" t="n"/>
      <c r="T974" s="31" t="n"/>
      <c r="U974" s="31" t="n"/>
      <c r="V974" s="31" t="n"/>
      <c r="W974" s="31" t="n"/>
      <c r="X974" s="31" t="n"/>
      <c r="Y974" s="31" t="n"/>
      <c r="Z974" s="31" t="n"/>
    </row>
    <row r="975" ht="14.25" customHeight="1">
      <c r="A975" s="31" t="n"/>
      <c r="D975" s="161" t="n"/>
      <c r="E975" s="161" t="n"/>
      <c r="Q975" s="31" t="n"/>
      <c r="R975" s="31" t="n"/>
      <c r="S975" s="31" t="n"/>
      <c r="T975" s="31" t="n"/>
      <c r="U975" s="31" t="n"/>
      <c r="V975" s="31" t="n"/>
      <c r="W975" s="31" t="n"/>
      <c r="X975" s="31" t="n"/>
      <c r="Y975" s="31" t="n"/>
      <c r="Z975" s="31" t="n"/>
    </row>
    <row r="976" ht="14.25" customHeight="1">
      <c r="A976" s="31" t="n"/>
      <c r="D976" s="161" t="n"/>
      <c r="E976" s="161" t="n"/>
      <c r="Q976" s="31" t="n"/>
      <c r="R976" s="31" t="n"/>
      <c r="S976" s="31" t="n"/>
      <c r="T976" s="31" t="n"/>
      <c r="U976" s="31" t="n"/>
      <c r="V976" s="31" t="n"/>
      <c r="W976" s="31" t="n"/>
      <c r="X976" s="31" t="n"/>
      <c r="Y976" s="31" t="n"/>
      <c r="Z976" s="31" t="n"/>
    </row>
    <row r="977" ht="14.25" customHeight="1">
      <c r="A977" s="31" t="n"/>
      <c r="D977" s="161" t="n"/>
      <c r="E977" s="161" t="n"/>
      <c r="Q977" s="31" t="n"/>
      <c r="R977" s="31" t="n"/>
      <c r="S977" s="31" t="n"/>
      <c r="T977" s="31" t="n"/>
      <c r="U977" s="31" t="n"/>
      <c r="V977" s="31" t="n"/>
      <c r="W977" s="31" t="n"/>
      <c r="X977" s="31" t="n"/>
      <c r="Y977" s="31" t="n"/>
      <c r="Z977" s="31" t="n"/>
    </row>
    <row r="978" ht="14.25" customHeight="1">
      <c r="A978" s="31" t="n"/>
      <c r="D978" s="161" t="n"/>
      <c r="E978" s="161" t="n"/>
      <c r="Q978" s="31" t="n"/>
      <c r="R978" s="31" t="n"/>
      <c r="S978" s="31" t="n"/>
      <c r="T978" s="31" t="n"/>
      <c r="U978" s="31" t="n"/>
      <c r="V978" s="31" t="n"/>
      <c r="W978" s="31" t="n"/>
      <c r="X978" s="31" t="n"/>
      <c r="Y978" s="31" t="n"/>
      <c r="Z978" s="31" t="n"/>
    </row>
    <row r="979" ht="14.25" customHeight="1">
      <c r="A979" s="31" t="n"/>
      <c r="D979" s="161" t="n"/>
      <c r="E979" s="161" t="n"/>
      <c r="Q979" s="31" t="n"/>
      <c r="R979" s="31" t="n"/>
      <c r="S979" s="31" t="n"/>
      <c r="T979" s="31" t="n"/>
      <c r="U979" s="31" t="n"/>
      <c r="V979" s="31" t="n"/>
      <c r="W979" s="31" t="n"/>
      <c r="X979" s="31" t="n"/>
      <c r="Y979" s="31" t="n"/>
      <c r="Z979" s="31" t="n"/>
    </row>
    <row r="980" ht="14.25" customHeight="1">
      <c r="A980" s="31" t="n"/>
      <c r="D980" s="161" t="n"/>
      <c r="E980" s="161" t="n"/>
      <c r="Q980" s="31" t="n"/>
      <c r="R980" s="31" t="n"/>
      <c r="S980" s="31" t="n"/>
      <c r="T980" s="31" t="n"/>
      <c r="U980" s="31" t="n"/>
      <c r="V980" s="31" t="n"/>
      <c r="W980" s="31" t="n"/>
      <c r="X980" s="31" t="n"/>
      <c r="Y980" s="31" t="n"/>
      <c r="Z980" s="31" t="n"/>
    </row>
    <row r="981" ht="14.25" customHeight="1">
      <c r="A981" s="31" t="n"/>
      <c r="D981" s="161" t="n"/>
      <c r="E981" s="161" t="n"/>
      <c r="Q981" s="31" t="n"/>
      <c r="R981" s="31" t="n"/>
      <c r="S981" s="31" t="n"/>
      <c r="T981" s="31" t="n"/>
      <c r="U981" s="31" t="n"/>
      <c r="V981" s="31" t="n"/>
      <c r="W981" s="31" t="n"/>
      <c r="X981" s="31" t="n"/>
      <c r="Y981" s="31" t="n"/>
      <c r="Z981" s="31" t="n"/>
    </row>
    <row r="982" ht="14.25" customHeight="1">
      <c r="A982" s="31" t="n"/>
      <c r="D982" s="161" t="n"/>
      <c r="E982" s="161" t="n"/>
      <c r="Q982" s="31" t="n"/>
      <c r="R982" s="31" t="n"/>
      <c r="S982" s="31" t="n"/>
      <c r="T982" s="31" t="n"/>
      <c r="U982" s="31" t="n"/>
      <c r="V982" s="31" t="n"/>
      <c r="W982" s="31" t="n"/>
      <c r="X982" s="31" t="n"/>
      <c r="Y982" s="31" t="n"/>
      <c r="Z982" s="31" t="n"/>
    </row>
    <row r="983" ht="14.25" customHeight="1">
      <c r="A983" s="31" t="n"/>
      <c r="D983" s="161" t="n"/>
      <c r="E983" s="161" t="n"/>
      <c r="Q983" s="31" t="n"/>
      <c r="R983" s="31" t="n"/>
      <c r="S983" s="31" t="n"/>
      <c r="T983" s="31" t="n"/>
      <c r="U983" s="31" t="n"/>
      <c r="V983" s="31" t="n"/>
      <c r="W983" s="31" t="n"/>
      <c r="X983" s="31" t="n"/>
      <c r="Y983" s="31" t="n"/>
      <c r="Z983" s="31" t="n"/>
    </row>
    <row r="984" ht="14.25" customHeight="1">
      <c r="A984" s="31" t="n"/>
      <c r="D984" s="161" t="n"/>
      <c r="E984" s="161" t="n"/>
      <c r="Q984" s="31" t="n"/>
      <c r="R984" s="31" t="n"/>
      <c r="S984" s="31" t="n"/>
      <c r="T984" s="31" t="n"/>
      <c r="U984" s="31" t="n"/>
      <c r="V984" s="31" t="n"/>
      <c r="W984" s="31" t="n"/>
      <c r="X984" s="31" t="n"/>
      <c r="Y984" s="31" t="n"/>
      <c r="Z984" s="31" t="n"/>
    </row>
    <row r="985" ht="14.25" customHeight="1">
      <c r="A985" s="31" t="n"/>
      <c r="D985" s="161" t="n"/>
      <c r="E985" s="161" t="n"/>
      <c r="Q985" s="31" t="n"/>
      <c r="R985" s="31" t="n"/>
      <c r="S985" s="31" t="n"/>
      <c r="T985" s="31" t="n"/>
      <c r="U985" s="31" t="n"/>
      <c r="V985" s="31" t="n"/>
      <c r="W985" s="31" t="n"/>
      <c r="X985" s="31" t="n"/>
      <c r="Y985" s="31" t="n"/>
      <c r="Z985" s="31" t="n"/>
    </row>
    <row r="986" ht="14.25" customHeight="1">
      <c r="A986" s="31" t="n"/>
      <c r="D986" s="161" t="n"/>
      <c r="E986" s="161" t="n"/>
      <c r="Q986" s="31" t="n"/>
      <c r="R986" s="31" t="n"/>
      <c r="S986" s="31" t="n"/>
      <c r="T986" s="31" t="n"/>
      <c r="U986" s="31" t="n"/>
      <c r="V986" s="31" t="n"/>
      <c r="W986" s="31" t="n"/>
      <c r="X986" s="31" t="n"/>
      <c r="Y986" s="31" t="n"/>
      <c r="Z986" s="31" t="n"/>
    </row>
    <row r="987" ht="14.25" customHeight="1">
      <c r="A987" s="31" t="n"/>
      <c r="D987" s="161" t="n"/>
      <c r="E987" s="161" t="n"/>
      <c r="Q987" s="31" t="n"/>
      <c r="R987" s="31" t="n"/>
      <c r="S987" s="31" t="n"/>
      <c r="T987" s="31" t="n"/>
      <c r="U987" s="31" t="n"/>
      <c r="V987" s="31" t="n"/>
      <c r="W987" s="31" t="n"/>
      <c r="X987" s="31" t="n"/>
      <c r="Y987" s="31" t="n"/>
      <c r="Z987" s="31" t="n"/>
    </row>
    <row r="988" ht="14.25" customHeight="1">
      <c r="A988" s="31" t="n"/>
      <c r="D988" s="161" t="n"/>
      <c r="E988" s="161" t="n"/>
      <c r="Q988" s="31" t="n"/>
      <c r="R988" s="31" t="n"/>
      <c r="S988" s="31" t="n"/>
      <c r="T988" s="31" t="n"/>
      <c r="U988" s="31" t="n"/>
      <c r="V988" s="31" t="n"/>
      <c r="W988" s="31" t="n"/>
      <c r="X988" s="31" t="n"/>
      <c r="Y988" s="31" t="n"/>
      <c r="Z988" s="31" t="n"/>
    </row>
    <row r="989" ht="14.25" customHeight="1">
      <c r="A989" s="31" t="n"/>
      <c r="D989" s="161" t="n"/>
      <c r="E989" s="161" t="n"/>
      <c r="Q989" s="31" t="n"/>
      <c r="R989" s="31" t="n"/>
      <c r="S989" s="31" t="n"/>
      <c r="T989" s="31" t="n"/>
      <c r="U989" s="31" t="n"/>
      <c r="V989" s="31" t="n"/>
      <c r="W989" s="31" t="n"/>
      <c r="X989" s="31" t="n"/>
      <c r="Y989" s="31" t="n"/>
      <c r="Z989" s="31" t="n"/>
    </row>
    <row r="990" ht="14.25" customHeight="1">
      <c r="A990" s="31" t="n"/>
      <c r="D990" s="161" t="n"/>
      <c r="E990" s="161" t="n"/>
      <c r="Q990" s="31" t="n"/>
      <c r="R990" s="31" t="n"/>
      <c r="S990" s="31" t="n"/>
      <c r="T990" s="31" t="n"/>
      <c r="U990" s="31" t="n"/>
      <c r="V990" s="31" t="n"/>
      <c r="W990" s="31" t="n"/>
      <c r="X990" s="31" t="n"/>
      <c r="Y990" s="31" t="n"/>
      <c r="Z990" s="31" t="n"/>
    </row>
    <row r="991" ht="14.25" customHeight="1">
      <c r="A991" s="31" t="n"/>
      <c r="D991" s="161" t="n"/>
      <c r="E991" s="161" t="n"/>
      <c r="Q991" s="31" t="n"/>
      <c r="R991" s="31" t="n"/>
      <c r="S991" s="31" t="n"/>
      <c r="T991" s="31" t="n"/>
      <c r="U991" s="31" t="n"/>
      <c r="V991" s="31" t="n"/>
      <c r="W991" s="31" t="n"/>
      <c r="X991" s="31" t="n"/>
      <c r="Y991" s="31" t="n"/>
      <c r="Z991" s="31" t="n"/>
    </row>
    <row r="992" ht="14.25" customHeight="1">
      <c r="A992" s="31" t="n"/>
      <c r="D992" s="161" t="n"/>
      <c r="E992" s="161" t="n"/>
      <c r="Q992" s="31" t="n"/>
      <c r="R992" s="31" t="n"/>
      <c r="S992" s="31" t="n"/>
      <c r="T992" s="31" t="n"/>
      <c r="U992" s="31" t="n"/>
      <c r="V992" s="31" t="n"/>
      <c r="W992" s="31" t="n"/>
      <c r="X992" s="31" t="n"/>
      <c r="Y992" s="31" t="n"/>
      <c r="Z992" s="31" t="n"/>
    </row>
    <row r="993" ht="14.25" customHeight="1">
      <c r="A993" s="31" t="n"/>
      <c r="D993" s="161" t="n"/>
      <c r="E993" s="161" t="n"/>
      <c r="Q993" s="31" t="n"/>
      <c r="R993" s="31" t="n"/>
      <c r="S993" s="31" t="n"/>
      <c r="T993" s="31" t="n"/>
      <c r="U993" s="31" t="n"/>
      <c r="V993" s="31" t="n"/>
      <c r="W993" s="31" t="n"/>
      <c r="X993" s="31" t="n"/>
      <c r="Y993" s="31" t="n"/>
      <c r="Z993" s="31" t="n"/>
    </row>
    <row r="994" ht="14.25" customHeight="1">
      <c r="A994" s="31" t="n"/>
      <c r="D994" s="161" t="n"/>
      <c r="E994" s="161" t="n"/>
      <c r="Q994" s="31" t="n"/>
      <c r="R994" s="31" t="n"/>
      <c r="S994" s="31" t="n"/>
      <c r="T994" s="31" t="n"/>
      <c r="U994" s="31" t="n"/>
      <c r="V994" s="31" t="n"/>
      <c r="W994" s="31" t="n"/>
      <c r="X994" s="31" t="n"/>
      <c r="Y994" s="31" t="n"/>
      <c r="Z994" s="31" t="n"/>
    </row>
    <row r="995" ht="14.25" customHeight="1">
      <c r="A995" s="31" t="n"/>
      <c r="D995" s="161" t="n"/>
      <c r="E995" s="161" t="n"/>
      <c r="Q995" s="31" t="n"/>
      <c r="R995" s="31" t="n"/>
      <c r="S995" s="31" t="n"/>
      <c r="T995" s="31" t="n"/>
      <c r="U995" s="31" t="n"/>
      <c r="V995" s="31" t="n"/>
      <c r="W995" s="31" t="n"/>
      <c r="X995" s="31" t="n"/>
      <c r="Y995" s="31" t="n"/>
      <c r="Z995" s="31" t="n"/>
    </row>
    <row r="996" ht="14.25" customHeight="1">
      <c r="A996" s="31" t="n"/>
      <c r="D996" s="161" t="n"/>
      <c r="E996" s="161" t="n"/>
      <c r="Q996" s="31" t="n"/>
      <c r="R996" s="31" t="n"/>
      <c r="S996" s="31" t="n"/>
      <c r="T996" s="31" t="n"/>
      <c r="U996" s="31" t="n"/>
      <c r="V996" s="31" t="n"/>
      <c r="W996" s="31" t="n"/>
      <c r="X996" s="31" t="n"/>
      <c r="Y996" s="31" t="n"/>
      <c r="Z996" s="31" t="n"/>
    </row>
    <row r="997" ht="14.25" customHeight="1">
      <c r="A997" s="31" t="n"/>
      <c r="D997" s="161" t="n"/>
      <c r="E997" s="161" t="n"/>
      <c r="Q997" s="31" t="n"/>
      <c r="R997" s="31" t="n"/>
      <c r="S997" s="31" t="n"/>
      <c r="T997" s="31" t="n"/>
      <c r="U997" s="31" t="n"/>
      <c r="V997" s="31" t="n"/>
      <c r="W997" s="31" t="n"/>
      <c r="X997" s="31" t="n"/>
      <c r="Y997" s="31" t="n"/>
      <c r="Z997" s="31" t="n"/>
    </row>
    <row r="998" ht="14.25" customHeight="1">
      <c r="A998" s="31" t="n"/>
      <c r="Q998" s="31" t="n"/>
      <c r="R998" s="31" t="n"/>
      <c r="S998" s="31" t="n"/>
      <c r="T998" s="31" t="n"/>
      <c r="U998" s="31" t="n"/>
      <c r="V998" s="31" t="n"/>
      <c r="W998" s="31" t="n"/>
      <c r="X998" s="31" t="n"/>
      <c r="Y998" s="31" t="n"/>
      <c r="Z998" s="31" t="n"/>
    </row>
    <row r="999" ht="14.25" customHeight="1">
      <c r="A999" s="31" t="n"/>
      <c r="Q999" s="31" t="n"/>
      <c r="R999" s="31" t="n"/>
      <c r="S999" s="31" t="n"/>
      <c r="T999" s="31" t="n"/>
      <c r="U999" s="31" t="n"/>
      <c r="V999" s="31" t="n"/>
      <c r="W999" s="31" t="n"/>
      <c r="X999" s="31" t="n"/>
      <c r="Y999" s="31" t="n"/>
      <c r="Z999" s="31" t="n"/>
    </row>
    <row r="1000" ht="14.25" customHeight="1">
      <c r="A1000" s="31" t="n"/>
      <c r="Q1000" s="31" t="n"/>
      <c r="R1000" s="31" t="n"/>
      <c r="S1000" s="31" t="n"/>
      <c r="T1000" s="31" t="n"/>
      <c r="U1000" s="31" t="n"/>
      <c r="V1000" s="31" t="n"/>
      <c r="W1000" s="31" t="n"/>
      <c r="X1000" s="31" t="n"/>
      <c r="Y1000" s="31" t="n"/>
      <c r="Z1000" s="31" t="n"/>
    </row>
  </sheetData>
  <autoFilter ref="B1:P25"/>
  <conditionalFormatting sqref="A2:A25">
    <cfRule type="notContainsBlanks" priority="1" dxfId="0">
      <formula>LEN(TRIM(A2))&gt;0</formula>
    </cfRule>
  </conditionalFormatting>
  <pageMargins left="0.7" right="0.7" top="0.75" bottom="0.75" header="0" footer="0"/>
  <pageSetup orientation="portrait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Y990"/>
  <sheetViews>
    <sheetView showGridLines="0" tabSelected="1" topLeftCell="A10" zoomScale="170" zoomScaleNormal="170" workbookViewId="0">
      <selection activeCell="B20" sqref="B20"/>
    </sheetView>
  </sheetViews>
  <sheetFormatPr baseColWidth="8" defaultColWidth="14.44140625" defaultRowHeight="15" customHeight="1"/>
  <cols>
    <col width="4.5546875" customWidth="1" min="1" max="1"/>
    <col width="29.44140625" customWidth="1" min="2" max="2"/>
    <col width="49.109375" customWidth="1" min="3" max="3"/>
    <col width="15.6640625" customWidth="1" min="4" max="4"/>
    <col width="11.6640625" customWidth="1" min="5" max="6"/>
    <col width="16.6640625" customWidth="1" min="7" max="7"/>
    <col width="11.6640625" customWidth="1" min="8" max="8"/>
    <col width="11.44140625" customWidth="1" min="9" max="9"/>
    <col width="24.44140625" customWidth="1" min="10" max="10"/>
    <col width="8.5546875" customWidth="1" min="11" max="11"/>
    <col hidden="1" width="11.44140625" customWidth="1" min="12" max="12"/>
    <col hidden="1" width="10.6640625" customWidth="1" min="13" max="13"/>
    <col hidden="1" width="11.88671875" customWidth="1" min="14" max="14"/>
    <col hidden="1" width="10.6640625" customWidth="1" min="15" max="15"/>
    <col width="23.44140625" customWidth="1" min="16" max="16"/>
    <col width="10.6640625" customWidth="1" min="17" max="25"/>
  </cols>
  <sheetData>
    <row r="1" ht="14.25" customHeight="1">
      <c r="A1" s="162" t="n"/>
      <c r="B1" s="24" t="inlineStr">
        <is>
          <t>Nombre Y Apellido</t>
        </is>
      </c>
      <c r="C1" s="25" t="inlineStr">
        <is>
          <t>Cargo</t>
        </is>
      </c>
      <c r="D1" s="26" t="inlineStr">
        <is>
          <t>Ubicacion</t>
        </is>
      </c>
      <c r="E1" s="27" t="inlineStr">
        <is>
          <t>Número</t>
        </is>
      </c>
      <c r="F1" s="27" t="n"/>
      <c r="G1" s="27" t="inlineStr">
        <is>
          <t>Cod. Contrato</t>
        </is>
      </c>
      <c r="H1" s="27" t="inlineStr">
        <is>
          <t>No. Contrato</t>
        </is>
      </c>
      <c r="I1" s="28" t="inlineStr">
        <is>
          <t>Estado Contrato</t>
        </is>
      </c>
      <c r="J1" s="28" t="inlineStr">
        <is>
          <t>Empresa</t>
        </is>
      </c>
      <c r="K1" s="26" t="inlineStr">
        <is>
          <t>PLAN</t>
        </is>
      </c>
      <c r="L1" s="28" t="inlineStr">
        <is>
          <t>Actual</t>
        </is>
      </c>
      <c r="M1" s="28" t="inlineStr">
        <is>
          <t>Plan Actual</t>
        </is>
      </c>
      <c r="N1" s="29" t="n"/>
      <c r="O1" s="30" t="inlineStr">
        <is>
          <t>Monto de Subsidio por plan</t>
        </is>
      </c>
      <c r="P1" s="26" t="inlineStr">
        <is>
          <t>Equipo</t>
        </is>
      </c>
      <c r="Q1" s="31" t="n"/>
      <c r="R1" s="31" t="n"/>
      <c r="S1" s="31" t="n"/>
      <c r="T1" s="31" t="n"/>
      <c r="U1" s="31" t="n"/>
      <c r="V1" s="31" t="n"/>
      <c r="W1" s="31" t="n"/>
      <c r="X1" s="31" t="n"/>
      <c r="Y1" s="31" t="n"/>
    </row>
    <row r="2" ht="14.25" customHeight="1">
      <c r="A2" s="32" t="n">
        <v>1</v>
      </c>
      <c r="B2" s="163" t="inlineStr">
        <is>
          <t>Jorge Mayorga</t>
        </is>
      </c>
      <c r="C2" s="42" t="inlineStr">
        <is>
          <t>Auditor de Contabilidad</t>
        </is>
      </c>
      <c r="D2" s="42" t="inlineStr">
        <is>
          <t>Auditoria</t>
        </is>
      </c>
      <c r="E2" s="81" t="n">
        <v>58707913</v>
      </c>
      <c r="F2" s="82" t="n">
        <v>50558707913</v>
      </c>
      <c r="G2" s="82">
        <f>VLOOKUP(F2,PLAN,2,FALSE)</f>
        <v/>
      </c>
      <c r="H2" s="82">
        <f>VLOOKUP(F2,PLAN,3,FALSE)</f>
        <v/>
      </c>
      <c r="I2" s="37" t="inlineStr">
        <is>
          <t>ACTIVO</t>
        </is>
      </c>
      <c r="J2" s="37">
        <f>VLOOKUP(F2,PLAN,4,FALSE)</f>
        <v/>
      </c>
      <c r="K2" s="38" t="n">
        <v>34.99</v>
      </c>
      <c r="L2" s="29" t="n">
        <v>34.99</v>
      </c>
      <c r="M2" s="29" t="n">
        <v>25.99</v>
      </c>
      <c r="N2" s="29">
        <f>L2=M2</f>
        <v/>
      </c>
      <c r="O2" s="46" t="n">
        <v>30</v>
      </c>
      <c r="P2" s="96" t="inlineStr">
        <is>
          <t>SAMSUNG S22</t>
        </is>
      </c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</row>
    <row r="3" ht="14.25" customFormat="1" customHeight="1" s="225">
      <c r="A3" s="216" t="n">
        <v>2</v>
      </c>
      <c r="B3" s="228" t="inlineStr">
        <is>
          <t>Milder Tellez</t>
        </is>
      </c>
      <c r="C3" s="227" t="inlineStr">
        <is>
          <t>Blokon</t>
        </is>
      </c>
      <c r="D3" s="227" t="inlineStr">
        <is>
          <t>Campuzano</t>
        </is>
      </c>
      <c r="E3" s="218" t="n">
        <v>58707923</v>
      </c>
      <c r="F3" s="229" t="n">
        <v>50558707923</v>
      </c>
      <c r="G3" s="229">
        <f>VLOOKUP(F3,PLAN,2,FALSE)</f>
        <v/>
      </c>
      <c r="H3" s="229">
        <f>VLOOKUP(F3,PLAN,3,FALSE)</f>
        <v/>
      </c>
      <c r="I3" s="214" t="inlineStr">
        <is>
          <t>ACTIVO</t>
        </is>
      </c>
      <c r="J3" s="214">
        <f>VLOOKUP(F3,PLAN,4,FALSE)</f>
        <v/>
      </c>
      <c r="K3" s="215" t="n">
        <v>34.99</v>
      </c>
      <c r="L3" s="230" t="n">
        <v>34.99</v>
      </c>
      <c r="M3" s="230" t="n">
        <v>25.99</v>
      </c>
      <c r="N3" s="230">
        <f>L3=M3</f>
        <v/>
      </c>
      <c r="O3" s="231" t="n">
        <v>30</v>
      </c>
      <c r="P3" s="215" t="inlineStr">
        <is>
          <t>Solo SIM Card</t>
        </is>
      </c>
      <c r="Q3" s="224" t="n"/>
      <c r="R3" s="224" t="n"/>
      <c r="S3" s="224" t="n"/>
      <c r="T3" s="224" t="n"/>
      <c r="U3" s="224" t="n"/>
      <c r="V3" s="224" t="n"/>
      <c r="W3" s="224" t="n"/>
      <c r="X3" s="224" t="n"/>
      <c r="Y3" s="224" t="n"/>
    </row>
    <row r="4" ht="14.25" customHeight="1">
      <c r="A4" s="32" t="n">
        <v>3</v>
      </c>
      <c r="B4" s="163" t="inlineStr">
        <is>
          <t>Anielka Gudiel</t>
        </is>
      </c>
      <c r="C4" s="42" t="inlineStr">
        <is>
          <t>Recursos Humanos</t>
        </is>
      </c>
      <c r="D4" s="42" t="inlineStr">
        <is>
          <t>RRHH</t>
        </is>
      </c>
      <c r="E4" s="81" t="n">
        <v>58708006</v>
      </c>
      <c r="F4" s="82" t="n">
        <v>50558708006</v>
      </c>
      <c r="G4" s="82">
        <f>VLOOKUP(F4,PLAN,2,FALSE)</f>
        <v/>
      </c>
      <c r="H4" s="82">
        <f>VLOOKUP(F4,PLAN,3,FALSE)</f>
        <v/>
      </c>
      <c r="I4" s="37" t="inlineStr">
        <is>
          <t>ACTIVO</t>
        </is>
      </c>
      <c r="J4" s="37">
        <f>VLOOKUP(F4,PLAN,4,FALSE)</f>
        <v/>
      </c>
      <c r="K4" s="38" t="n">
        <v>34.99</v>
      </c>
      <c r="L4" s="39" t="n">
        <v>34.99</v>
      </c>
      <c r="M4" s="39" t="n">
        <v>34.99</v>
      </c>
      <c r="N4" s="39">
        <f>L4=M4</f>
        <v/>
      </c>
      <c r="O4" s="40" t="n">
        <v>36</v>
      </c>
      <c r="P4" s="96" t="inlineStr">
        <is>
          <t>SAMSUNG A52</t>
        </is>
      </c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</row>
    <row r="5" ht="14.25" customFormat="1" customHeight="1" s="225">
      <c r="A5" s="216" t="n">
        <v>4</v>
      </c>
      <c r="B5" s="232" t="inlineStr">
        <is>
          <t>Alejandro Malespin</t>
        </is>
      </c>
      <c r="C5" s="227" t="inlineStr">
        <is>
          <t>Taller de Equipos</t>
        </is>
      </c>
      <c r="D5" s="227" t="inlineStr">
        <is>
          <t>Taller Ciudad Doral</t>
        </is>
      </c>
      <c r="E5" s="218" t="n">
        <v>58708063</v>
      </c>
      <c r="F5" s="229" t="n">
        <v>50558708063</v>
      </c>
      <c r="G5" s="229">
        <f>VLOOKUP(F5,PLAN,2,FALSE)</f>
        <v/>
      </c>
      <c r="H5" s="229">
        <f>VLOOKUP(F5,PLAN,3,FALSE)</f>
        <v/>
      </c>
      <c r="I5" s="214" t="inlineStr">
        <is>
          <t>ACTIVO</t>
        </is>
      </c>
      <c r="J5" s="214">
        <f>VLOOKUP(F5,PLAN,4,FALSE)</f>
        <v/>
      </c>
      <c r="K5" s="215" t="n">
        <v>34.99</v>
      </c>
      <c r="L5" s="230" t="n">
        <v>34.99</v>
      </c>
      <c r="M5" s="230" t="n">
        <v>25.99</v>
      </c>
      <c r="N5" s="230">
        <f>L5=M5</f>
        <v/>
      </c>
      <c r="O5" s="231" t="n">
        <v>30</v>
      </c>
      <c r="P5" s="215" t="inlineStr">
        <is>
          <t>SAMSUNG A23</t>
        </is>
      </c>
      <c r="Q5" s="233" t="n"/>
      <c r="R5" s="233" t="n"/>
      <c r="S5" s="233" t="n"/>
      <c r="T5" s="233" t="n"/>
      <c r="U5" s="233" t="n"/>
      <c r="V5" s="233" t="n"/>
      <c r="W5" s="233" t="n"/>
      <c r="X5" s="233" t="n"/>
      <c r="Y5" s="233" t="n"/>
    </row>
    <row r="6" ht="14.25" customHeight="1">
      <c r="A6" s="32" t="n">
        <v>5</v>
      </c>
      <c r="B6" s="163" t="inlineStr">
        <is>
          <t>Gary López</t>
        </is>
      </c>
      <c r="C6" s="42" t="inlineStr">
        <is>
          <t>Coordinador Campuzano</t>
        </is>
      </c>
      <c r="D6" s="42" t="inlineStr">
        <is>
          <t>Campuzano</t>
        </is>
      </c>
      <c r="E6" s="81" t="n">
        <v>58708065</v>
      </c>
      <c r="F6" s="82" t="n">
        <v>50558708065</v>
      </c>
      <c r="G6" s="82">
        <f>VLOOKUP(F6,PLAN,2,FALSE)</f>
        <v/>
      </c>
      <c r="H6" s="82">
        <f>VLOOKUP(F6,PLAN,3,FALSE)</f>
        <v/>
      </c>
      <c r="I6" s="37" t="inlineStr">
        <is>
          <t>ACTIVO</t>
        </is>
      </c>
      <c r="J6" s="37">
        <f>VLOOKUP(F6,PLAN,4,FALSE)</f>
        <v/>
      </c>
      <c r="K6" s="38" t="n">
        <v>34.99</v>
      </c>
      <c r="L6" s="58" t="n">
        <v>34.99</v>
      </c>
      <c r="M6" s="58" t="n">
        <v>34.99</v>
      </c>
      <c r="N6" s="58">
        <f>L6=M6</f>
        <v/>
      </c>
      <c r="O6" s="65" t="n">
        <v>36</v>
      </c>
      <c r="P6" s="38" t="inlineStr">
        <is>
          <t>SAMSUNG A35</t>
        </is>
      </c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</row>
    <row r="7" ht="14.25" customHeight="1">
      <c r="A7" s="32" t="n">
        <v>6</v>
      </c>
      <c r="B7" s="163" t="inlineStr">
        <is>
          <t>Gabriel Fonseca</t>
        </is>
      </c>
      <c r="C7" s="42" t="inlineStr">
        <is>
          <t>Responsable de Contabilidad</t>
        </is>
      </c>
      <c r="D7" s="42" t="inlineStr">
        <is>
          <t>Contabilidad</t>
        </is>
      </c>
      <c r="E7" s="81" t="n">
        <v>58710844</v>
      </c>
      <c r="F7" s="82" t="n">
        <v>50558710844</v>
      </c>
      <c r="G7" s="82">
        <f>VLOOKUP(F7,PLAN,2,FALSE)</f>
        <v/>
      </c>
      <c r="H7" s="82">
        <f>VLOOKUP(F7,PLAN,3,FALSE)</f>
        <v/>
      </c>
      <c r="I7" s="37" t="inlineStr">
        <is>
          <t>ACTIVO</t>
        </is>
      </c>
      <c r="J7" s="37">
        <f>VLOOKUP(F7,PLAN,4,FALSE)</f>
        <v/>
      </c>
      <c r="K7" s="38" t="n">
        <v>34.99</v>
      </c>
      <c r="L7" s="39" t="n">
        <v>34.99</v>
      </c>
      <c r="M7" s="39" t="n">
        <v>11.99</v>
      </c>
      <c r="N7" s="39">
        <f>L7=M7</f>
        <v/>
      </c>
      <c r="O7" s="40" t="n">
        <v>53.52</v>
      </c>
      <c r="P7" s="38" t="inlineStr">
        <is>
          <t>SAMSUNG S24+</t>
        </is>
      </c>
      <c r="Q7" s="31" t="n"/>
      <c r="R7" s="31" t="n"/>
      <c r="S7" s="31" t="n"/>
      <c r="T7" s="31" t="n"/>
      <c r="U7" s="31" t="n"/>
      <c r="V7" s="31" t="n"/>
      <c r="W7" s="31" t="n"/>
      <c r="X7" s="31" t="n"/>
      <c r="Y7" s="31" t="n"/>
    </row>
    <row r="8" ht="14.25" customFormat="1" customHeight="1" s="264">
      <c r="A8" s="260" t="n">
        <v>7</v>
      </c>
      <c r="B8" s="278" t="inlineStr">
        <is>
          <t>Norma Barquero</t>
        </is>
      </c>
      <c r="C8" s="261" t="inlineStr">
        <is>
          <t>Jefe de Compras</t>
        </is>
      </c>
      <c r="D8" s="261" t="inlineStr">
        <is>
          <t>Compras CED</t>
        </is>
      </c>
      <c r="E8" s="279" t="n">
        <v>58710882</v>
      </c>
      <c r="F8" s="280" t="n">
        <v>50558710882</v>
      </c>
      <c r="G8" s="280">
        <f>VLOOKUP(F8,PLAN,2,FALSE)</f>
        <v/>
      </c>
      <c r="H8" s="280">
        <f>VLOOKUP(F8,PLAN,3,FALSE)</f>
        <v/>
      </c>
      <c r="I8" s="262" t="inlineStr">
        <is>
          <t>ACTIVO</t>
        </is>
      </c>
      <c r="J8" s="262">
        <f>VLOOKUP(F8,PLAN,4,FALSE)</f>
        <v/>
      </c>
      <c r="K8" s="263" t="n">
        <v>34.99</v>
      </c>
      <c r="L8" s="281" t="n">
        <v>34.99</v>
      </c>
      <c r="M8" s="281" t="n">
        <v>34.99</v>
      </c>
      <c r="N8" s="282">
        <f>L8=M8</f>
        <v/>
      </c>
      <c r="O8" s="283" t="n">
        <v>36</v>
      </c>
      <c r="P8" s="263" t="inlineStr">
        <is>
          <t>SAMSUNG A23</t>
        </is>
      </c>
      <c r="Q8" s="265" t="n"/>
      <c r="R8" s="265" t="n"/>
      <c r="S8" s="265" t="n"/>
      <c r="T8" s="265" t="n"/>
      <c r="U8" s="265" t="n"/>
      <c r="V8" s="265" t="n"/>
      <c r="W8" s="265" t="n"/>
      <c r="X8" s="265" t="n"/>
      <c r="Y8" s="265" t="n"/>
    </row>
    <row r="9" ht="14.25" customHeight="1">
      <c r="A9" s="32" t="n">
        <v>8</v>
      </c>
      <c r="B9" s="163" t="inlineStr">
        <is>
          <t>Jessica del C. Palma González</t>
        </is>
      </c>
      <c r="C9" s="42" t="inlineStr">
        <is>
          <t>FORMALIZACION</t>
        </is>
      </c>
      <c r="D9" s="42" t="inlineStr">
        <is>
          <t>Formalizaciones</t>
        </is>
      </c>
      <c r="E9" s="81" t="n">
        <v>58710889</v>
      </c>
      <c r="F9" s="82" t="n">
        <v>50558710889</v>
      </c>
      <c r="G9" s="82">
        <f>VLOOKUP(F9,PLAN,2,FALSE)</f>
        <v/>
      </c>
      <c r="H9" s="82">
        <f>VLOOKUP(F9,PLAN,3,FALSE)</f>
        <v/>
      </c>
      <c r="I9" s="37" t="inlineStr">
        <is>
          <t>ACTIVO</t>
        </is>
      </c>
      <c r="J9" s="37">
        <f>VLOOKUP(F9,PLAN,4,FALSE)</f>
        <v/>
      </c>
      <c r="K9" s="38" t="n">
        <v>34.99</v>
      </c>
      <c r="L9" s="52" t="n">
        <v>50.99</v>
      </c>
      <c r="M9" s="52" t="n">
        <v>50.99</v>
      </c>
      <c r="N9" s="52">
        <f>L9=M9</f>
        <v/>
      </c>
      <c r="O9" s="53" t="n">
        <v>46</v>
      </c>
      <c r="P9" s="38" t="inlineStr">
        <is>
          <t>IPHONE 8 PLUS</t>
        </is>
      </c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</row>
    <row r="10" ht="16.5" customHeight="1">
      <c r="A10" s="32" t="n">
        <v>9</v>
      </c>
      <c r="B10" s="163" t="inlineStr">
        <is>
          <t>Ligia Dinarte Mendoza</t>
        </is>
      </c>
      <c r="C10" s="42" t="inlineStr">
        <is>
          <t>Responsable de Gestión Bancaria</t>
        </is>
      </c>
      <c r="D10" s="42" t="inlineStr">
        <is>
          <t>Formalizaciones</t>
        </is>
      </c>
      <c r="E10" s="81" t="n">
        <v>58710910</v>
      </c>
      <c r="F10" s="82" t="n">
        <v>50558710910</v>
      </c>
      <c r="G10" s="82">
        <f>VLOOKUP(F10,PLAN,2,FALSE)</f>
        <v/>
      </c>
      <c r="H10" s="82">
        <f>VLOOKUP(F10,PLAN,3,FALSE)</f>
        <v/>
      </c>
      <c r="I10" s="37" t="inlineStr">
        <is>
          <t>ACTIVO</t>
        </is>
      </c>
      <c r="J10" s="37">
        <f>VLOOKUP(F10,PLAN,4,FALSE)</f>
        <v/>
      </c>
      <c r="K10" s="38" t="n">
        <v>34.99</v>
      </c>
      <c r="L10" s="29" t="n"/>
      <c r="M10" s="164" t="n"/>
      <c r="N10" s="29" t="n"/>
      <c r="O10" s="46" t="n"/>
      <c r="P10" s="38" t="inlineStr">
        <is>
          <t>SAMSUNG S24+</t>
        </is>
      </c>
      <c r="Q10" s="31" t="n"/>
      <c r="R10" s="31" t="n"/>
      <c r="S10" s="31" t="n"/>
      <c r="T10" s="31" t="n"/>
      <c r="U10" s="31" t="n"/>
      <c r="V10" s="31" t="n"/>
      <c r="W10" s="31" t="n"/>
      <c r="X10" s="31" t="n"/>
      <c r="Y10" s="31" t="n"/>
    </row>
    <row r="11" ht="16.5" customFormat="1" customHeight="1" s="225">
      <c r="A11" s="216" t="n">
        <v>10</v>
      </c>
      <c r="B11" s="232" t="inlineStr">
        <is>
          <t>Yadira Garmendia</t>
        </is>
      </c>
      <c r="C11" s="227" t="inlineStr">
        <is>
          <t>Ing. Servicio al Cliente</t>
        </is>
      </c>
      <c r="D11" s="227" t="inlineStr">
        <is>
          <t>G66/CED</t>
        </is>
      </c>
      <c r="E11" s="218" t="n">
        <v>58710913</v>
      </c>
      <c r="F11" s="214" t="n">
        <v>50558710913</v>
      </c>
      <c r="G11" s="229">
        <f>VLOOKUP(F11,PLAN,2,FALSE)</f>
        <v/>
      </c>
      <c r="H11" s="229">
        <f>VLOOKUP(F11,PLAN,3,FALSE)</f>
        <v/>
      </c>
      <c r="I11" s="214" t="inlineStr">
        <is>
          <t>ACTIVO</t>
        </is>
      </c>
      <c r="J11" s="214">
        <f>VLOOKUP(F11,PLAN,4,FALSE)</f>
        <v/>
      </c>
      <c r="K11" s="215" t="n">
        <v>34.99</v>
      </c>
      <c r="L11" s="222" t="n"/>
      <c r="M11" s="234" t="n"/>
      <c r="N11" s="222" t="n"/>
      <c r="O11" s="223" t="n"/>
      <c r="P11" s="215" t="inlineStr">
        <is>
          <t>SAMSUNG A03</t>
        </is>
      </c>
      <c r="Q11" s="224" t="n"/>
      <c r="R11" s="224" t="n"/>
      <c r="S11" s="224" t="n"/>
      <c r="T11" s="224" t="n"/>
      <c r="U11" s="224" t="n"/>
      <c r="V11" s="224" t="n"/>
      <c r="W11" s="224" t="n"/>
      <c r="X11" s="224" t="n"/>
      <c r="Y11" s="224" t="n"/>
    </row>
    <row r="12" ht="14.25" customFormat="1" customHeight="1" s="225">
      <c r="A12" s="216" t="n">
        <v>11</v>
      </c>
      <c r="B12" s="228" t="inlineStr">
        <is>
          <t>Elmer Baltodano</t>
        </is>
      </c>
      <c r="C12" s="227" t="inlineStr">
        <is>
          <t>Ingeniero Residente</t>
        </is>
      </c>
      <c r="D12" s="227" t="inlineStr">
        <is>
          <t>Campuzano</t>
        </is>
      </c>
      <c r="E12" s="218" t="n">
        <v>58710930</v>
      </c>
      <c r="F12" s="229" t="n">
        <v>50558710930</v>
      </c>
      <c r="G12" s="229">
        <f>VLOOKUP(F12,PLAN,2,FALSE)</f>
        <v/>
      </c>
      <c r="H12" s="229">
        <f>VLOOKUP(F12,PLAN,3,FALSE)</f>
        <v/>
      </c>
      <c r="I12" s="214" t="inlineStr">
        <is>
          <t>ACTIVO</t>
        </is>
      </c>
      <c r="J12" s="214">
        <f>VLOOKUP(F12,PLAN,4,FALSE)</f>
        <v/>
      </c>
      <c r="K12" s="215" t="n">
        <v>34.99</v>
      </c>
      <c r="L12" s="222" t="n"/>
      <c r="M12" s="234" t="n"/>
      <c r="N12" s="222" t="n"/>
      <c r="O12" s="223" t="n"/>
      <c r="P12" s="215" t="inlineStr">
        <is>
          <t>SAMSUNG A15</t>
        </is>
      </c>
      <c r="Q12" s="224" t="n"/>
      <c r="R12" s="224" t="n"/>
      <c r="S12" s="224" t="n"/>
      <c r="T12" s="224" t="n"/>
      <c r="U12" s="224" t="n"/>
      <c r="V12" s="224" t="n"/>
      <c r="W12" s="224" t="n"/>
      <c r="X12" s="224" t="n"/>
      <c r="Y12" s="224" t="n"/>
    </row>
    <row r="13" ht="14.25" customFormat="1" customHeight="1" s="225">
      <c r="A13" s="216" t="n">
        <v>12</v>
      </c>
      <c r="B13" s="251" t="inlineStr">
        <is>
          <t>Martha Flores</t>
        </is>
      </c>
      <c r="C13" s="217" t="inlineStr">
        <is>
          <t>Entrega de Viviendas</t>
        </is>
      </c>
      <c r="D13" s="217" t="inlineStr">
        <is>
          <t>G66/CED</t>
        </is>
      </c>
      <c r="E13" s="213" t="inlineStr">
        <is>
          <t>58710951</t>
        </is>
      </c>
      <c r="F13" s="229" t="n">
        <v>50558710951</v>
      </c>
      <c r="G13" s="229">
        <f>VLOOKUP(F13,PLAN,2,FALSE)</f>
        <v/>
      </c>
      <c r="H13" s="229">
        <f>VLOOKUP(F13,PLAN,3,FALSE)</f>
        <v/>
      </c>
      <c r="I13" s="220" t="inlineStr">
        <is>
          <t>ACTIVO</t>
        </is>
      </c>
      <c r="J13" s="214">
        <f>VLOOKUP(F13,PLAN,4,FALSE)</f>
        <v/>
      </c>
      <c r="K13" s="215" t="n">
        <v>34.99</v>
      </c>
      <c r="L13" s="236" t="n"/>
      <c r="M13" s="252" t="n"/>
      <c r="N13" s="236" t="n"/>
      <c r="O13" s="236" t="n"/>
      <c r="P13" s="215" t="inlineStr">
        <is>
          <t>SAMSUNG A15</t>
        </is>
      </c>
      <c r="Q13" s="224" t="n"/>
      <c r="R13" s="224" t="n"/>
      <c r="S13" s="224" t="n"/>
      <c r="T13" s="224" t="n"/>
      <c r="U13" s="224" t="n"/>
      <c r="V13" s="224" t="n"/>
      <c r="W13" s="224" t="n"/>
      <c r="X13" s="224" t="n"/>
      <c r="Y13" s="224" t="n"/>
    </row>
    <row r="14" ht="14.25" customFormat="1" customHeight="1" s="225">
      <c r="A14" s="216" t="n">
        <v>13</v>
      </c>
      <c r="B14" s="232" t="inlineStr">
        <is>
          <t>Marta Alemán</t>
        </is>
      </c>
      <c r="C14" s="253" t="inlineStr">
        <is>
          <t>Analista de Credito (COBIRSA)</t>
        </is>
      </c>
      <c r="D14" s="253" t="inlineStr">
        <is>
          <t>Ventas Cobirsa</t>
        </is>
      </c>
      <c r="E14" s="254" t="n">
        <v>58711022</v>
      </c>
      <c r="F14" s="229" t="n">
        <v>50558711022</v>
      </c>
      <c r="G14" s="229">
        <f>VLOOKUP(F14,PLAN,2,FALSE)</f>
        <v/>
      </c>
      <c r="H14" s="229">
        <f>VLOOKUP(F14,PLAN,3,FALSE)</f>
        <v/>
      </c>
      <c r="I14" s="214" t="inlineStr">
        <is>
          <t>ACTIVO</t>
        </is>
      </c>
      <c r="J14" s="214">
        <f>VLOOKUP(F14,PLAN,4,FALSE)</f>
        <v/>
      </c>
      <c r="K14" s="255" t="n">
        <v>34.99</v>
      </c>
      <c r="M14" s="234" t="n"/>
      <c r="P14" s="255" t="inlineStr">
        <is>
          <t>SAMSUNG S22</t>
        </is>
      </c>
      <c r="Q14" s="224" t="n"/>
      <c r="R14" s="224" t="n"/>
      <c r="S14" s="224" t="n"/>
      <c r="T14" s="224" t="n"/>
      <c r="U14" s="224" t="n"/>
      <c r="V14" s="224" t="n"/>
      <c r="W14" s="224" t="n"/>
      <c r="X14" s="224" t="n"/>
      <c r="Y14" s="224" t="n"/>
    </row>
    <row r="15" ht="14.25" customFormat="1" customHeight="1" s="225">
      <c r="A15" s="216" t="n">
        <v>14</v>
      </c>
      <c r="B15" s="232" t="inlineStr">
        <is>
          <t>Blanca Lopez</t>
        </is>
      </c>
      <c r="C15" s="227" t="inlineStr">
        <is>
          <t>Atencion Cliente Devoluciones (Formalización)</t>
        </is>
      </c>
      <c r="D15" s="227" t="inlineStr">
        <is>
          <t>Formalizaciones</t>
        </is>
      </c>
      <c r="E15" s="218" t="n">
        <v>58711075</v>
      </c>
      <c r="F15" s="244" t="n">
        <v>50558711075</v>
      </c>
      <c r="G15" s="229">
        <f>VLOOKUP(F15,PLAN,2,FALSE)</f>
        <v/>
      </c>
      <c r="H15" s="229">
        <f>VLOOKUP(F15,PLAN,3,FALSE)</f>
        <v/>
      </c>
      <c r="I15" s="214" t="inlineStr">
        <is>
          <t>ACTIVO</t>
        </is>
      </c>
      <c r="J15" s="214">
        <f>VLOOKUP(F15,PLAN,4,FALSE)</f>
        <v/>
      </c>
      <c r="K15" s="215" t="n">
        <v>34.99</v>
      </c>
      <c r="M15" s="234" t="n"/>
      <c r="P15" s="255" t="inlineStr">
        <is>
          <t>SAMSUNG A03</t>
        </is>
      </c>
      <c r="Q15" s="224" t="n"/>
      <c r="R15" s="224" t="n"/>
      <c r="S15" s="224" t="n"/>
      <c r="T15" s="224" t="n"/>
      <c r="U15" s="224" t="n"/>
      <c r="V15" s="224" t="n"/>
      <c r="W15" s="224" t="n"/>
      <c r="X15" s="224" t="n"/>
      <c r="Y15" s="224" t="n"/>
    </row>
    <row r="16" ht="14.25" customHeight="1">
      <c r="A16" s="32" t="n">
        <v>15</v>
      </c>
      <c r="B16" s="101" t="inlineStr">
        <is>
          <t>Marcelo Martinez</t>
        </is>
      </c>
      <c r="C16" s="42" t="inlineStr">
        <is>
          <t>Responsable de Informática</t>
        </is>
      </c>
      <c r="D16" s="42" t="inlineStr">
        <is>
          <t>Informatica</t>
        </is>
      </c>
      <c r="E16" s="81" t="n">
        <v>58711106</v>
      </c>
      <c r="F16" s="36" t="n">
        <v>50558711106</v>
      </c>
      <c r="G16" s="82">
        <f>VLOOKUP(F16,PLAN,2,FALSE)</f>
        <v/>
      </c>
      <c r="H16" s="82">
        <f>VLOOKUP(F16,PLAN,3,FALSE)</f>
        <v/>
      </c>
      <c r="I16" s="37" t="inlineStr">
        <is>
          <t>ACTIVO</t>
        </is>
      </c>
      <c r="J16" s="37">
        <f>VLOOKUP(F16,PLAN,4,FALSE)</f>
        <v/>
      </c>
      <c r="K16" s="38" t="n">
        <v>34.99</v>
      </c>
      <c r="M16" s="164" t="n"/>
      <c r="P16" s="38" t="inlineStr">
        <is>
          <t>SAMSUNG S24+</t>
        </is>
      </c>
      <c r="Q16" s="31" t="n"/>
      <c r="R16" s="31" t="n"/>
      <c r="S16" s="31" t="n"/>
      <c r="T16" s="31" t="n"/>
      <c r="U16" s="31" t="n"/>
      <c r="V16" s="31" t="n"/>
      <c r="W16" s="31" t="n"/>
      <c r="X16" s="31" t="n"/>
      <c r="Y16" s="31" t="n"/>
    </row>
    <row r="17" ht="12.75" customHeight="1">
      <c r="A17" s="32" t="n">
        <v>16</v>
      </c>
      <c r="B17" s="101" t="inlineStr">
        <is>
          <t xml:space="preserve">Stephanie Karolina Hernandez  Solórzano </t>
        </is>
      </c>
      <c r="C17" s="42" t="inlineStr">
        <is>
          <t>Q88</t>
        </is>
      </c>
      <c r="D17" s="42" t="inlineStr">
        <is>
          <t>G66/CED</t>
        </is>
      </c>
      <c r="E17" s="35" t="inlineStr">
        <is>
          <t>86064779</t>
        </is>
      </c>
      <c r="F17" s="36" t="n">
        <v>50586064779</v>
      </c>
      <c r="G17" s="82">
        <f>VLOOKUP(F17,PLAN,2,FALSE)</f>
        <v/>
      </c>
      <c r="H17" s="82">
        <f>VLOOKUP(F17,PLAN,3,FALSE)</f>
        <v/>
      </c>
      <c r="I17" s="37" t="inlineStr">
        <is>
          <t>ACTIVO</t>
        </is>
      </c>
      <c r="J17" s="37">
        <f>VLOOKUP(F17,PLAN,4,FALSE)</f>
        <v/>
      </c>
      <c r="K17" s="38" t="n">
        <v>34.99</v>
      </c>
      <c r="L17" s="165" t="n"/>
      <c r="M17" s="166" t="n"/>
      <c r="N17" s="165" t="n"/>
      <c r="O17" s="165" t="n"/>
      <c r="P17" s="38" t="inlineStr">
        <is>
          <t>SAMSUNG S24+</t>
        </is>
      </c>
      <c r="Q17" s="31" t="n"/>
      <c r="R17" s="31" t="n"/>
      <c r="S17" s="31" t="n"/>
      <c r="T17" s="31" t="n"/>
      <c r="U17" s="31" t="n"/>
      <c r="V17" s="31" t="n"/>
      <c r="W17" s="31" t="n"/>
      <c r="X17" s="31" t="n"/>
      <c r="Y17" s="31" t="n"/>
    </row>
    <row r="18" ht="12" customFormat="1" customHeight="1" s="225">
      <c r="A18" s="216" t="n">
        <v>17</v>
      </c>
      <c r="B18" s="232" t="inlineStr">
        <is>
          <t>Ian Lopez Corea</t>
        </is>
      </c>
      <c r="C18" s="227" t="inlineStr">
        <is>
          <t>Subcontratos</t>
        </is>
      </c>
      <c r="D18" s="227" t="inlineStr">
        <is>
          <t>Operaciones</t>
        </is>
      </c>
      <c r="E18" s="213" t="inlineStr">
        <is>
          <t>86065021</t>
        </is>
      </c>
      <c r="F18" s="235" t="n">
        <v>50586065021</v>
      </c>
      <c r="G18" s="229">
        <f>VLOOKUP(F18,PLAN,2,FALSE)</f>
        <v/>
      </c>
      <c r="H18" s="229">
        <f>VLOOKUP(F18,PLAN,3,FALSE)</f>
        <v/>
      </c>
      <c r="I18" s="214" t="inlineStr">
        <is>
          <t>ACTIVO</t>
        </is>
      </c>
      <c r="J18" s="214">
        <f>VLOOKUP(F18,PLAN,4,FALSE)</f>
        <v/>
      </c>
      <c r="K18" s="214" t="n">
        <v>34.99</v>
      </c>
      <c r="L18" s="236" t="n"/>
      <c r="M18" s="237" t="n"/>
      <c r="N18" s="236" t="n"/>
      <c r="O18" s="236">
        <f>+SUM(O2:O17)</f>
        <v/>
      </c>
      <c r="P18" s="215" t="inlineStr">
        <is>
          <t>SAMSUNG A34</t>
        </is>
      </c>
      <c r="Q18" s="224" t="n"/>
      <c r="R18" s="224" t="n"/>
      <c r="S18" s="224" t="n"/>
      <c r="T18" s="224" t="n"/>
      <c r="U18" s="224" t="n"/>
      <c r="V18" s="224" t="n"/>
      <c r="W18" s="224" t="n"/>
      <c r="X18" s="224" t="n"/>
      <c r="Y18" s="224" t="n"/>
    </row>
    <row r="19" ht="13.5" customHeight="1">
      <c r="A19" s="32" t="n">
        <v>18</v>
      </c>
      <c r="B19" s="101" t="inlineStr">
        <is>
          <t>Gabriela Blandon</t>
        </is>
      </c>
      <c r="C19" s="42" t="inlineStr">
        <is>
          <t>Directora Comercial</t>
        </is>
      </c>
      <c r="D19" s="42" t="inlineStr">
        <is>
          <t>Ventas Cobirsa</t>
        </is>
      </c>
      <c r="E19" s="35" t="inlineStr">
        <is>
          <t>86065034</t>
        </is>
      </c>
      <c r="F19" s="36" t="n">
        <v>50586065034</v>
      </c>
      <c r="G19" s="82">
        <f>VLOOKUP(F19,PLAN,2,FALSE)</f>
        <v/>
      </c>
      <c r="H19" s="82">
        <f>VLOOKUP(F19,PLAN,3,FALSE)</f>
        <v/>
      </c>
      <c r="I19" s="37" t="inlineStr">
        <is>
          <t>ACTIVO</t>
        </is>
      </c>
      <c r="J19" s="37">
        <f>VLOOKUP(F19,PLAN,4,FALSE)</f>
        <v/>
      </c>
      <c r="K19" s="38" t="n">
        <v>34.99</v>
      </c>
      <c r="L19" s="165" t="n"/>
      <c r="M19" s="165" t="n"/>
      <c r="N19" s="165" t="n"/>
      <c r="O19" s="165" t="n"/>
      <c r="P19" s="37" t="inlineStr">
        <is>
          <t>SAMSUNG S24+</t>
        </is>
      </c>
      <c r="Q19" s="31" t="n"/>
      <c r="R19" s="31" t="n"/>
      <c r="S19" s="31" t="n"/>
      <c r="T19" s="31" t="n"/>
      <c r="U19" s="31" t="n"/>
      <c r="V19" s="31" t="n"/>
      <c r="W19" s="31" t="n"/>
      <c r="X19" s="31" t="n"/>
      <c r="Y19" s="31" t="n"/>
    </row>
    <row r="20" ht="13.5" customHeight="1">
      <c r="A20" s="32" t="n">
        <v>19</v>
      </c>
      <c r="B20" s="167" t="inlineStr">
        <is>
          <t>Carlos Mungia</t>
        </is>
      </c>
      <c r="C20" s="45" t="inlineStr">
        <is>
          <t>Security</t>
        </is>
      </c>
      <c r="D20" s="45" t="inlineStr">
        <is>
          <t>Security</t>
        </is>
      </c>
      <c r="E20" s="35" t="inlineStr">
        <is>
          <t>89423282</t>
        </is>
      </c>
      <c r="F20" s="36" t="n">
        <v>50589423282</v>
      </c>
      <c r="G20" s="82">
        <f>VLOOKUP(F20,PLAN,2,FALSE)</f>
        <v/>
      </c>
      <c r="H20" s="82">
        <f>VLOOKUP(F20,PLAN,3,FALSE)</f>
        <v/>
      </c>
      <c r="I20" s="37" t="inlineStr">
        <is>
          <t>ACTIVO</t>
        </is>
      </c>
      <c r="J20" s="37">
        <f>VLOOKUP(F20,PLAN,4,FALSE)</f>
        <v/>
      </c>
      <c r="K20" s="38" t="n">
        <v>34.99</v>
      </c>
      <c r="P20" s="38" t="inlineStr">
        <is>
          <t>SAMSUNG A12</t>
        </is>
      </c>
      <c r="Q20" s="31" t="n"/>
      <c r="R20" s="31" t="n"/>
      <c r="S20" s="31" t="n"/>
      <c r="T20" s="31" t="n"/>
      <c r="U20" s="31" t="n"/>
      <c r="V20" s="31" t="n"/>
      <c r="W20" s="31" t="n"/>
      <c r="X20" s="31" t="n"/>
      <c r="Y20" s="31" t="n"/>
    </row>
    <row r="21" ht="12" customHeight="1">
      <c r="A21" s="32" t="n">
        <v>20</v>
      </c>
      <c r="B21" s="167" t="inlineStr">
        <is>
          <t>Mirabel Calero Olivarres</t>
        </is>
      </c>
      <c r="C21" s="45" t="inlineStr">
        <is>
          <t>Security</t>
        </is>
      </c>
      <c r="D21" s="45" t="inlineStr">
        <is>
          <t>Security</t>
        </is>
      </c>
      <c r="E21" s="35" t="inlineStr">
        <is>
          <t>89423292</t>
        </is>
      </c>
      <c r="F21" s="36" t="n">
        <v>50589423292</v>
      </c>
      <c r="G21" s="82">
        <f>VLOOKUP(F21,PLAN,2,FALSE)</f>
        <v/>
      </c>
      <c r="H21" s="82">
        <f>VLOOKUP(F21,PLAN,3,FALSE)</f>
        <v/>
      </c>
      <c r="I21" s="37" t="inlineStr">
        <is>
          <t>ACTIVO</t>
        </is>
      </c>
      <c r="J21" s="37">
        <f>VLOOKUP(F21,PLAN,4,FALSE)</f>
        <v/>
      </c>
      <c r="K21" s="38" t="n">
        <v>34.99</v>
      </c>
      <c r="P21" s="38" t="inlineStr">
        <is>
          <t>SAMSUNG A33</t>
        </is>
      </c>
      <c r="Q21" s="31" t="n"/>
      <c r="R21" s="31" t="n"/>
      <c r="S21" s="31" t="n"/>
      <c r="T21" s="31" t="n"/>
      <c r="U21" s="31" t="n"/>
      <c r="V21" s="31" t="n"/>
      <c r="W21" s="31" t="n"/>
      <c r="X21" s="31" t="n"/>
      <c r="Y21" s="31" t="n"/>
    </row>
    <row r="22" ht="14.25" customHeight="1">
      <c r="A22" s="32" t="n">
        <v>21</v>
      </c>
      <c r="B22" s="101" t="inlineStr">
        <is>
          <t>Isaac Boza</t>
        </is>
      </c>
      <c r="C22" s="42" t="inlineStr">
        <is>
          <t>Gerente de Proyecto</t>
        </is>
      </c>
      <c r="D22" s="42" t="inlineStr">
        <is>
          <t>Operaciones</t>
        </is>
      </c>
      <c r="E22" s="81" t="n">
        <v>58711040</v>
      </c>
      <c r="F22" s="168" t="n">
        <v>50558711040</v>
      </c>
      <c r="G22" s="82">
        <f>VLOOKUP(F22,PLAN,2,FALSE)</f>
        <v/>
      </c>
      <c r="H22" s="82">
        <f>VLOOKUP(F22,PLAN,3,FALSE)</f>
        <v/>
      </c>
      <c r="I22" s="37" t="inlineStr">
        <is>
          <t>ACTIVO</t>
        </is>
      </c>
      <c r="J22" s="37">
        <f>VLOOKUP(F22,PLAN,4,FALSE)</f>
        <v/>
      </c>
      <c r="K22" s="38" t="n">
        <v>34.99</v>
      </c>
      <c r="P22" s="38" t="inlineStr">
        <is>
          <t>SAMSUNG S244+</t>
        </is>
      </c>
      <c r="Q22" s="31" t="n"/>
      <c r="R22" s="31" t="n"/>
      <c r="S22" s="31" t="n"/>
      <c r="T22" s="31" t="n"/>
      <c r="U22" s="31" t="n"/>
      <c r="V22" s="31" t="n"/>
      <c r="W22" s="31" t="n"/>
      <c r="X22" s="31" t="n"/>
      <c r="Y22" s="31" t="n"/>
    </row>
    <row r="23" ht="14.25" customFormat="1" customHeight="1" s="225">
      <c r="A23" s="216" t="n">
        <v>22</v>
      </c>
      <c r="B23" s="232" t="inlineStr">
        <is>
          <t>Leo Hoey Tinoco</t>
        </is>
      </c>
      <c r="C23" s="227" t="inlineStr">
        <is>
          <t>Asesor</t>
        </is>
      </c>
      <c r="D23" s="227" t="inlineStr">
        <is>
          <t>Conaser</t>
        </is>
      </c>
      <c r="E23" s="218" t="n">
        <v>58707984</v>
      </c>
      <c r="F23" s="229" t="n">
        <v>50558707984</v>
      </c>
      <c r="G23" s="229">
        <f>VLOOKUP(F23,PLAN,2,FALSE)</f>
        <v/>
      </c>
      <c r="H23" s="229">
        <f>VLOOKUP(F23,PLAN,3,FALSE)</f>
        <v/>
      </c>
      <c r="I23" s="214" t="inlineStr">
        <is>
          <t>ACTIVO</t>
        </is>
      </c>
      <c r="J23" s="214">
        <f>VLOOKUP(F23,PLAN,4,FALSE)</f>
        <v/>
      </c>
      <c r="K23" s="215" t="n">
        <v>34.99</v>
      </c>
      <c r="P23" s="215" t="inlineStr">
        <is>
          <t>SAMSUNG A15</t>
        </is>
      </c>
      <c r="Q23" s="224" t="n"/>
      <c r="R23" s="224" t="n"/>
      <c r="S23" s="224" t="n"/>
      <c r="T23" s="224" t="n"/>
      <c r="U23" s="224" t="n"/>
      <c r="V23" s="224" t="n"/>
      <c r="W23" s="224" t="n"/>
      <c r="X23" s="224" t="n"/>
      <c r="Y23" s="224" t="n"/>
    </row>
    <row r="24" ht="14.25" customHeight="1">
      <c r="A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</row>
    <row r="25" ht="14.25" customHeight="1">
      <c r="A25" s="31" t="n"/>
      <c r="B25" s="108" t="inlineStr">
        <is>
          <t>Asignados</t>
        </is>
      </c>
      <c r="C25" s="108">
        <f>+(C27-C26)</f>
        <v/>
      </c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</row>
    <row r="26" ht="14.25" customHeight="1">
      <c r="A26" s="31" t="n"/>
      <c r="B26" s="138" t="inlineStr">
        <is>
          <t>Disponibles</t>
        </is>
      </c>
      <c r="C26" s="138">
        <f>COUNTBLANK(B2:B23)</f>
        <v/>
      </c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</row>
    <row r="27" ht="14.25" customHeight="1">
      <c r="A27" s="31" t="n"/>
      <c r="B27" s="111" t="inlineStr">
        <is>
          <t xml:space="preserve">Total </t>
        </is>
      </c>
      <c r="C27" s="111">
        <f>+COUNT(A2:A23)</f>
        <v/>
      </c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</row>
    <row r="28" ht="14.25" customHeight="1">
      <c r="A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</row>
    <row r="29" ht="14.25" customHeight="1">
      <c r="A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</row>
    <row r="30" ht="14.25" customHeight="1">
      <c r="A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</row>
    <row r="31" ht="14.25" customHeight="1">
      <c r="A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</row>
    <row r="32" ht="14.25" customHeight="1">
      <c r="A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</row>
    <row r="33" ht="14.25" customHeight="1">
      <c r="A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</row>
    <row r="34" ht="14.25" customHeight="1">
      <c r="A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</row>
    <row r="35" ht="14.25" customHeight="1">
      <c r="A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</row>
    <row r="36" ht="14.25" customHeight="1">
      <c r="A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</row>
    <row r="37" ht="14.25" customHeight="1">
      <c r="A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</row>
    <row r="38" ht="14.25" customHeight="1">
      <c r="A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</row>
    <row r="39" ht="14.25" customHeight="1">
      <c r="A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</row>
    <row r="40" ht="14.25" customHeight="1">
      <c r="A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</row>
    <row r="41" ht="14.25" customHeight="1">
      <c r="A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</row>
    <row r="42" ht="14.25" customHeight="1">
      <c r="A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</row>
    <row r="43" ht="14.25" customHeight="1">
      <c r="A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</row>
    <row r="44" ht="14.25" customHeight="1">
      <c r="A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</row>
    <row r="45" ht="14.25" customHeight="1">
      <c r="A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</row>
    <row r="46" ht="14.25" customHeight="1">
      <c r="A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</row>
    <row r="47" ht="14.25" customHeight="1">
      <c r="A47" s="31" t="n"/>
      <c r="P47" s="31" t="n"/>
      <c r="Q47" s="31" t="n"/>
      <c r="R47" s="31" t="n"/>
      <c r="S47" s="31" t="n"/>
      <c r="T47" s="31" t="n"/>
      <c r="U47" s="31" t="n"/>
      <c r="V47" s="31" t="n"/>
      <c r="W47" s="31" t="n"/>
      <c r="X47" s="31" t="n"/>
      <c r="Y47" s="31" t="n"/>
    </row>
    <row r="48" ht="14.25" customHeight="1">
      <c r="A48" s="31" t="n"/>
      <c r="P48" s="31" t="n"/>
      <c r="Q48" s="31" t="n"/>
      <c r="R48" s="31" t="n"/>
      <c r="S48" s="31" t="n"/>
      <c r="T48" s="31" t="n"/>
      <c r="U48" s="31" t="n"/>
      <c r="V48" s="31" t="n"/>
      <c r="W48" s="31" t="n"/>
      <c r="X48" s="31" t="n"/>
      <c r="Y48" s="31" t="n"/>
    </row>
    <row r="49" ht="14.25" customHeight="1">
      <c r="A49" s="31" t="n"/>
      <c r="P49" s="31" t="n"/>
      <c r="Q49" s="31" t="n"/>
      <c r="R49" s="31" t="n"/>
      <c r="S49" s="31" t="n"/>
      <c r="T49" s="31" t="n"/>
      <c r="U49" s="31" t="n"/>
      <c r="V49" s="31" t="n"/>
      <c r="W49" s="31" t="n"/>
      <c r="X49" s="31" t="n"/>
      <c r="Y49" s="31" t="n"/>
    </row>
    <row r="50" ht="14.25" customHeight="1">
      <c r="A50" s="31" t="n"/>
      <c r="P50" s="31" t="n"/>
      <c r="Q50" s="31" t="n"/>
      <c r="R50" s="31" t="n"/>
      <c r="S50" s="31" t="n"/>
      <c r="T50" s="31" t="n"/>
      <c r="U50" s="31" t="n"/>
      <c r="V50" s="31" t="n"/>
      <c r="W50" s="31" t="n"/>
      <c r="X50" s="31" t="n"/>
      <c r="Y50" s="31" t="n"/>
    </row>
    <row r="51" ht="14.25" customHeight="1">
      <c r="A51" s="31" t="n"/>
      <c r="P51" s="31" t="n"/>
      <c r="Q51" s="31" t="n"/>
      <c r="R51" s="31" t="n"/>
      <c r="S51" s="31" t="n"/>
      <c r="T51" s="31" t="n"/>
      <c r="U51" s="31" t="n"/>
      <c r="V51" s="31" t="n"/>
      <c r="W51" s="31" t="n"/>
      <c r="X51" s="31" t="n"/>
      <c r="Y51" s="31" t="n"/>
    </row>
    <row r="52" ht="14.25" customHeight="1">
      <c r="A52" s="31" t="n"/>
      <c r="P52" s="31" t="n"/>
      <c r="Q52" s="31" t="n"/>
      <c r="R52" s="31" t="n"/>
      <c r="S52" s="31" t="n"/>
      <c r="T52" s="31" t="n"/>
      <c r="U52" s="31" t="n"/>
      <c r="V52" s="31" t="n"/>
      <c r="W52" s="31" t="n"/>
      <c r="X52" s="31" t="n"/>
      <c r="Y52" s="31" t="n"/>
    </row>
    <row r="53" ht="14.25" customHeight="1">
      <c r="A53" s="31" t="n"/>
      <c r="P53" s="31" t="n"/>
      <c r="Q53" s="31" t="n"/>
      <c r="R53" s="31" t="n"/>
      <c r="S53" s="31" t="n"/>
      <c r="T53" s="31" t="n"/>
      <c r="U53" s="31" t="n"/>
      <c r="V53" s="31" t="n"/>
      <c r="W53" s="31" t="n"/>
      <c r="X53" s="31" t="n"/>
      <c r="Y53" s="31" t="n"/>
    </row>
    <row r="54" ht="14.25" customHeight="1">
      <c r="A54" s="31" t="n"/>
      <c r="P54" s="31" t="n"/>
      <c r="Q54" s="31" t="n"/>
      <c r="R54" s="31" t="n"/>
      <c r="S54" s="31" t="n"/>
      <c r="T54" s="31" t="n"/>
      <c r="U54" s="31" t="n"/>
      <c r="V54" s="31" t="n"/>
      <c r="W54" s="31" t="n"/>
      <c r="X54" s="31" t="n"/>
      <c r="Y54" s="31" t="n"/>
    </row>
    <row r="55" ht="14.25" customHeight="1">
      <c r="A55" s="31" t="n"/>
      <c r="P55" s="31" t="n"/>
      <c r="Q55" s="31" t="n"/>
      <c r="R55" s="31" t="n"/>
      <c r="S55" s="31" t="n"/>
      <c r="T55" s="31" t="n"/>
      <c r="U55" s="31" t="n"/>
      <c r="V55" s="31" t="n"/>
      <c r="W55" s="31" t="n"/>
      <c r="X55" s="31" t="n"/>
      <c r="Y55" s="31" t="n"/>
    </row>
    <row r="56" ht="14.25" customHeight="1">
      <c r="A56" s="31" t="n"/>
      <c r="P56" s="31" t="n"/>
      <c r="Q56" s="31" t="n"/>
      <c r="R56" s="31" t="n"/>
      <c r="S56" s="31" t="n"/>
      <c r="T56" s="31" t="n"/>
      <c r="U56" s="31" t="n"/>
      <c r="V56" s="31" t="n"/>
      <c r="W56" s="31" t="n"/>
      <c r="X56" s="31" t="n"/>
      <c r="Y56" s="31" t="n"/>
    </row>
    <row r="57" ht="14.25" customHeight="1">
      <c r="A57" s="31" t="n"/>
      <c r="P57" s="31" t="n"/>
      <c r="Q57" s="31" t="n"/>
      <c r="R57" s="31" t="n"/>
      <c r="S57" s="31" t="n"/>
      <c r="T57" s="31" t="n"/>
      <c r="U57" s="31" t="n"/>
      <c r="V57" s="31" t="n"/>
      <c r="W57" s="31" t="n"/>
      <c r="X57" s="31" t="n"/>
      <c r="Y57" s="31" t="n"/>
    </row>
    <row r="58" ht="14.25" customHeight="1">
      <c r="A58" s="31" t="n"/>
      <c r="P58" s="31" t="n"/>
      <c r="Q58" s="31" t="n"/>
      <c r="R58" s="31" t="n"/>
      <c r="S58" s="31" t="n"/>
      <c r="T58" s="31" t="n"/>
      <c r="U58" s="31" t="n"/>
      <c r="V58" s="31" t="n"/>
      <c r="W58" s="31" t="n"/>
      <c r="X58" s="31" t="n"/>
      <c r="Y58" s="31" t="n"/>
    </row>
    <row r="59" ht="14.25" customHeight="1">
      <c r="A59" s="31" t="n"/>
      <c r="P59" s="31" t="n"/>
      <c r="Q59" s="31" t="n"/>
      <c r="R59" s="31" t="n"/>
      <c r="S59" s="31" t="n"/>
      <c r="T59" s="31" t="n"/>
      <c r="U59" s="31" t="n"/>
      <c r="V59" s="31" t="n"/>
      <c r="W59" s="31" t="n"/>
      <c r="X59" s="31" t="n"/>
      <c r="Y59" s="31" t="n"/>
    </row>
    <row r="60" ht="14.25" customHeight="1">
      <c r="A60" s="31" t="n"/>
      <c r="P60" s="31" t="n"/>
      <c r="Q60" s="31" t="n"/>
      <c r="R60" s="31" t="n"/>
      <c r="S60" s="31" t="n"/>
      <c r="T60" s="31" t="n"/>
      <c r="U60" s="31" t="n"/>
      <c r="V60" s="31" t="n"/>
      <c r="W60" s="31" t="n"/>
      <c r="X60" s="31" t="n"/>
      <c r="Y60" s="31" t="n"/>
    </row>
    <row r="61" ht="14.25" customHeight="1">
      <c r="A61" s="31" t="n"/>
      <c r="P61" s="31" t="n"/>
      <c r="Q61" s="31" t="n"/>
      <c r="R61" s="31" t="n"/>
      <c r="S61" s="31" t="n"/>
      <c r="T61" s="31" t="n"/>
      <c r="U61" s="31" t="n"/>
      <c r="V61" s="31" t="n"/>
      <c r="W61" s="31" t="n"/>
      <c r="X61" s="31" t="n"/>
      <c r="Y61" s="31" t="n"/>
    </row>
    <row r="62" ht="14.25" customHeight="1">
      <c r="A62" s="31" t="n"/>
      <c r="P62" s="31" t="n"/>
      <c r="Q62" s="31" t="n"/>
      <c r="R62" s="31" t="n"/>
      <c r="S62" s="31" t="n"/>
      <c r="T62" s="31" t="n"/>
      <c r="U62" s="31" t="n"/>
      <c r="V62" s="31" t="n"/>
      <c r="W62" s="31" t="n"/>
      <c r="X62" s="31" t="n"/>
      <c r="Y62" s="31" t="n"/>
    </row>
    <row r="63" ht="14.25" customHeight="1">
      <c r="A63" s="31" t="n"/>
      <c r="P63" s="31" t="n"/>
      <c r="Q63" s="31" t="n"/>
      <c r="R63" s="31" t="n"/>
      <c r="S63" s="31" t="n"/>
      <c r="T63" s="31" t="n"/>
      <c r="U63" s="31" t="n"/>
      <c r="V63" s="31" t="n"/>
      <c r="W63" s="31" t="n"/>
      <c r="X63" s="31" t="n"/>
      <c r="Y63" s="31" t="n"/>
    </row>
    <row r="64" ht="14.25" customHeight="1">
      <c r="A64" s="31" t="n"/>
      <c r="P64" s="31" t="n"/>
      <c r="Q64" s="31" t="n"/>
      <c r="R64" s="31" t="n"/>
      <c r="S64" s="31" t="n"/>
      <c r="T64" s="31" t="n"/>
      <c r="U64" s="31" t="n"/>
      <c r="V64" s="31" t="n"/>
      <c r="W64" s="31" t="n"/>
      <c r="X64" s="31" t="n"/>
      <c r="Y64" s="31" t="n"/>
    </row>
    <row r="65" ht="14.25" customHeight="1">
      <c r="A65" s="31" t="n"/>
      <c r="P65" s="31" t="n"/>
      <c r="Q65" s="31" t="n"/>
      <c r="R65" s="31" t="n"/>
      <c r="S65" s="31" t="n"/>
      <c r="T65" s="31" t="n"/>
      <c r="U65" s="31" t="n"/>
      <c r="V65" s="31" t="n"/>
      <c r="W65" s="31" t="n"/>
      <c r="X65" s="31" t="n"/>
      <c r="Y65" s="31" t="n"/>
    </row>
    <row r="66" ht="14.25" customHeight="1">
      <c r="A66" s="31" t="n"/>
      <c r="P66" s="31" t="n"/>
      <c r="Q66" s="31" t="n"/>
      <c r="R66" s="31" t="n"/>
      <c r="S66" s="31" t="n"/>
      <c r="T66" s="31" t="n"/>
      <c r="U66" s="31" t="n"/>
      <c r="V66" s="31" t="n"/>
      <c r="W66" s="31" t="n"/>
      <c r="X66" s="31" t="n"/>
      <c r="Y66" s="31" t="n"/>
    </row>
    <row r="67" ht="14.25" customHeight="1">
      <c r="A67" s="31" t="n"/>
      <c r="P67" s="31" t="n"/>
      <c r="Q67" s="31" t="n"/>
      <c r="R67" s="31" t="n"/>
      <c r="S67" s="31" t="n"/>
      <c r="T67" s="31" t="n"/>
      <c r="U67" s="31" t="n"/>
      <c r="V67" s="31" t="n"/>
      <c r="W67" s="31" t="n"/>
      <c r="X67" s="31" t="n"/>
      <c r="Y67" s="31" t="n"/>
    </row>
    <row r="68" ht="14.25" customHeight="1">
      <c r="A68" s="31" t="n"/>
      <c r="P68" s="31" t="n"/>
      <c r="Q68" s="31" t="n"/>
      <c r="R68" s="31" t="n"/>
      <c r="S68" s="31" t="n"/>
      <c r="T68" s="31" t="n"/>
      <c r="U68" s="31" t="n"/>
      <c r="V68" s="31" t="n"/>
      <c r="W68" s="31" t="n"/>
      <c r="X68" s="31" t="n"/>
      <c r="Y68" s="31" t="n"/>
    </row>
    <row r="69" ht="14.25" customHeight="1">
      <c r="A69" s="31" t="n"/>
      <c r="P69" s="31" t="n"/>
      <c r="Q69" s="31" t="n"/>
      <c r="R69" s="31" t="n"/>
      <c r="S69" s="31" t="n"/>
      <c r="T69" s="31" t="n"/>
      <c r="U69" s="31" t="n"/>
      <c r="V69" s="31" t="n"/>
      <c r="W69" s="31" t="n"/>
      <c r="X69" s="31" t="n"/>
      <c r="Y69" s="31" t="n"/>
    </row>
    <row r="70" ht="14.25" customHeight="1">
      <c r="A70" s="31" t="n"/>
      <c r="P70" s="31" t="n"/>
      <c r="Q70" s="31" t="n"/>
      <c r="R70" s="31" t="n"/>
      <c r="S70" s="31" t="n"/>
      <c r="T70" s="31" t="n"/>
      <c r="U70" s="31" t="n"/>
      <c r="V70" s="31" t="n"/>
      <c r="W70" s="31" t="n"/>
      <c r="X70" s="31" t="n"/>
      <c r="Y70" s="31" t="n"/>
    </row>
    <row r="71" ht="14.25" customHeight="1">
      <c r="A71" s="31" t="n"/>
      <c r="P71" s="31" t="n"/>
      <c r="Q71" s="31" t="n"/>
      <c r="R71" s="31" t="n"/>
      <c r="S71" s="31" t="n"/>
      <c r="T71" s="31" t="n"/>
      <c r="U71" s="31" t="n"/>
      <c r="V71" s="31" t="n"/>
      <c r="W71" s="31" t="n"/>
      <c r="X71" s="31" t="n"/>
      <c r="Y71" s="31" t="n"/>
    </row>
    <row r="72" ht="14.25" customHeight="1">
      <c r="A72" s="31" t="n"/>
      <c r="P72" s="31" t="n"/>
      <c r="Q72" s="31" t="n"/>
      <c r="R72" s="31" t="n"/>
      <c r="S72" s="31" t="n"/>
      <c r="T72" s="31" t="n"/>
      <c r="U72" s="31" t="n"/>
      <c r="V72" s="31" t="n"/>
      <c r="W72" s="31" t="n"/>
      <c r="X72" s="31" t="n"/>
      <c r="Y72" s="31" t="n"/>
    </row>
    <row r="73" ht="14.25" customHeight="1">
      <c r="A73" s="31" t="n"/>
      <c r="P73" s="31" t="n"/>
      <c r="Q73" s="31" t="n"/>
      <c r="R73" s="31" t="n"/>
      <c r="S73" s="31" t="n"/>
      <c r="T73" s="31" t="n"/>
      <c r="U73" s="31" t="n"/>
      <c r="V73" s="31" t="n"/>
      <c r="W73" s="31" t="n"/>
      <c r="X73" s="31" t="n"/>
      <c r="Y73" s="31" t="n"/>
    </row>
    <row r="74" ht="14.25" customHeight="1">
      <c r="A74" s="31" t="n"/>
      <c r="P74" s="31" t="n"/>
      <c r="Q74" s="31" t="n"/>
      <c r="R74" s="31" t="n"/>
      <c r="S74" s="31" t="n"/>
      <c r="T74" s="31" t="n"/>
      <c r="U74" s="31" t="n"/>
      <c r="V74" s="31" t="n"/>
      <c r="W74" s="31" t="n"/>
      <c r="X74" s="31" t="n"/>
      <c r="Y74" s="31" t="n"/>
    </row>
    <row r="75" ht="14.25" customHeight="1">
      <c r="A75" s="31" t="n"/>
      <c r="P75" s="31" t="n"/>
      <c r="Q75" s="31" t="n"/>
      <c r="R75" s="31" t="n"/>
      <c r="S75" s="31" t="n"/>
      <c r="T75" s="31" t="n"/>
      <c r="U75" s="31" t="n"/>
      <c r="V75" s="31" t="n"/>
      <c r="W75" s="31" t="n"/>
      <c r="X75" s="31" t="n"/>
      <c r="Y75" s="31" t="n"/>
    </row>
    <row r="76" ht="14.25" customHeight="1">
      <c r="A76" s="31" t="n"/>
      <c r="P76" s="31" t="n"/>
      <c r="Q76" s="31" t="n"/>
      <c r="R76" s="31" t="n"/>
      <c r="S76" s="31" t="n"/>
      <c r="T76" s="31" t="n"/>
      <c r="U76" s="31" t="n"/>
      <c r="V76" s="31" t="n"/>
      <c r="W76" s="31" t="n"/>
      <c r="X76" s="31" t="n"/>
      <c r="Y76" s="31" t="n"/>
    </row>
    <row r="77" ht="14.25" customHeight="1">
      <c r="A77" s="31" t="n"/>
      <c r="P77" s="31" t="n"/>
      <c r="Q77" s="31" t="n"/>
      <c r="R77" s="31" t="n"/>
      <c r="S77" s="31" t="n"/>
      <c r="T77" s="31" t="n"/>
      <c r="U77" s="31" t="n"/>
      <c r="V77" s="31" t="n"/>
      <c r="W77" s="31" t="n"/>
      <c r="X77" s="31" t="n"/>
      <c r="Y77" s="31" t="n"/>
    </row>
    <row r="78" ht="14.25" customHeight="1">
      <c r="A78" s="31" t="n"/>
      <c r="P78" s="31" t="n"/>
      <c r="Q78" s="31" t="n"/>
      <c r="R78" s="31" t="n"/>
      <c r="S78" s="31" t="n"/>
      <c r="T78" s="31" t="n"/>
      <c r="U78" s="31" t="n"/>
      <c r="V78" s="31" t="n"/>
      <c r="W78" s="31" t="n"/>
      <c r="X78" s="31" t="n"/>
      <c r="Y78" s="31" t="n"/>
    </row>
    <row r="79" ht="14.25" customHeight="1">
      <c r="A79" s="31" t="n"/>
      <c r="P79" s="31" t="n"/>
      <c r="Q79" s="31" t="n"/>
      <c r="R79" s="31" t="n"/>
      <c r="S79" s="31" t="n"/>
      <c r="T79" s="31" t="n"/>
      <c r="U79" s="31" t="n"/>
      <c r="V79" s="31" t="n"/>
      <c r="W79" s="31" t="n"/>
      <c r="X79" s="31" t="n"/>
      <c r="Y79" s="31" t="n"/>
    </row>
    <row r="80" ht="14.25" customHeight="1">
      <c r="A80" s="31" t="n"/>
      <c r="P80" s="31" t="n"/>
      <c r="Q80" s="31" t="n"/>
      <c r="R80" s="31" t="n"/>
      <c r="S80" s="31" t="n"/>
      <c r="T80" s="31" t="n"/>
      <c r="U80" s="31" t="n"/>
      <c r="V80" s="31" t="n"/>
      <c r="W80" s="31" t="n"/>
      <c r="X80" s="31" t="n"/>
      <c r="Y80" s="31" t="n"/>
    </row>
    <row r="81" ht="14.25" customHeight="1">
      <c r="A81" s="31" t="n"/>
      <c r="P81" s="31" t="n"/>
      <c r="Q81" s="31" t="n"/>
      <c r="R81" s="31" t="n"/>
      <c r="S81" s="31" t="n"/>
      <c r="T81" s="31" t="n"/>
      <c r="U81" s="31" t="n"/>
      <c r="V81" s="31" t="n"/>
      <c r="W81" s="31" t="n"/>
      <c r="X81" s="31" t="n"/>
      <c r="Y81" s="31" t="n"/>
    </row>
    <row r="82" ht="14.25" customHeight="1">
      <c r="A82" s="31" t="n"/>
      <c r="P82" s="31" t="n"/>
      <c r="Q82" s="31" t="n"/>
      <c r="R82" s="31" t="n"/>
      <c r="S82" s="31" t="n"/>
      <c r="T82" s="31" t="n"/>
      <c r="U82" s="31" t="n"/>
      <c r="V82" s="31" t="n"/>
      <c r="W82" s="31" t="n"/>
      <c r="X82" s="31" t="n"/>
      <c r="Y82" s="31" t="n"/>
    </row>
    <row r="83" ht="14.25" customHeight="1">
      <c r="A83" s="31" t="n"/>
      <c r="P83" s="31" t="n"/>
      <c r="Q83" s="31" t="n"/>
      <c r="R83" s="31" t="n"/>
      <c r="S83" s="31" t="n"/>
      <c r="T83" s="31" t="n"/>
      <c r="U83" s="31" t="n"/>
      <c r="V83" s="31" t="n"/>
      <c r="W83" s="31" t="n"/>
      <c r="X83" s="31" t="n"/>
      <c r="Y83" s="31" t="n"/>
    </row>
    <row r="84" ht="14.25" customHeight="1">
      <c r="A84" s="31" t="n"/>
      <c r="P84" s="31" t="n"/>
      <c r="Q84" s="31" t="n"/>
      <c r="R84" s="31" t="n"/>
      <c r="S84" s="31" t="n"/>
      <c r="T84" s="31" t="n"/>
      <c r="U84" s="31" t="n"/>
      <c r="V84" s="31" t="n"/>
      <c r="W84" s="31" t="n"/>
      <c r="X84" s="31" t="n"/>
      <c r="Y84" s="31" t="n"/>
    </row>
    <row r="85" ht="14.25" customHeight="1">
      <c r="A85" s="31" t="n"/>
      <c r="P85" s="31" t="n"/>
      <c r="Q85" s="31" t="n"/>
      <c r="R85" s="31" t="n"/>
      <c r="S85" s="31" t="n"/>
      <c r="T85" s="31" t="n"/>
      <c r="U85" s="31" t="n"/>
      <c r="V85" s="31" t="n"/>
      <c r="W85" s="31" t="n"/>
      <c r="X85" s="31" t="n"/>
      <c r="Y85" s="31" t="n"/>
    </row>
    <row r="86" ht="14.25" customHeight="1">
      <c r="A86" s="31" t="n"/>
      <c r="P86" s="31" t="n"/>
      <c r="Q86" s="31" t="n"/>
      <c r="R86" s="31" t="n"/>
      <c r="S86" s="31" t="n"/>
      <c r="T86" s="31" t="n"/>
      <c r="U86" s="31" t="n"/>
      <c r="V86" s="31" t="n"/>
      <c r="W86" s="31" t="n"/>
      <c r="X86" s="31" t="n"/>
      <c r="Y86" s="31" t="n"/>
    </row>
    <row r="87" ht="14.25" customHeight="1">
      <c r="A87" s="31" t="n"/>
      <c r="P87" s="31" t="n"/>
      <c r="Q87" s="31" t="n"/>
      <c r="R87" s="31" t="n"/>
      <c r="S87" s="31" t="n"/>
      <c r="T87" s="31" t="n"/>
      <c r="U87" s="31" t="n"/>
      <c r="V87" s="31" t="n"/>
      <c r="W87" s="31" t="n"/>
      <c r="X87" s="31" t="n"/>
      <c r="Y87" s="31" t="n"/>
    </row>
    <row r="88" ht="14.25" customHeight="1">
      <c r="A88" s="31" t="n"/>
      <c r="P88" s="31" t="n"/>
      <c r="Q88" s="31" t="n"/>
      <c r="R88" s="31" t="n"/>
      <c r="S88" s="31" t="n"/>
      <c r="T88" s="31" t="n"/>
      <c r="U88" s="31" t="n"/>
      <c r="V88" s="31" t="n"/>
      <c r="W88" s="31" t="n"/>
      <c r="X88" s="31" t="n"/>
      <c r="Y88" s="31" t="n"/>
    </row>
    <row r="89" ht="14.25" customHeight="1">
      <c r="A89" s="31" t="n"/>
      <c r="P89" s="31" t="n"/>
      <c r="Q89" s="31" t="n"/>
      <c r="R89" s="31" t="n"/>
      <c r="S89" s="31" t="n"/>
      <c r="T89" s="31" t="n"/>
      <c r="U89" s="31" t="n"/>
      <c r="V89" s="31" t="n"/>
      <c r="W89" s="31" t="n"/>
      <c r="X89" s="31" t="n"/>
      <c r="Y89" s="31" t="n"/>
    </row>
    <row r="90" ht="14.25" customHeight="1">
      <c r="A90" s="31" t="n"/>
      <c r="P90" s="31" t="n"/>
      <c r="Q90" s="31" t="n"/>
      <c r="R90" s="31" t="n"/>
      <c r="S90" s="31" t="n"/>
      <c r="T90" s="31" t="n"/>
      <c r="U90" s="31" t="n"/>
      <c r="V90" s="31" t="n"/>
      <c r="W90" s="31" t="n"/>
      <c r="X90" s="31" t="n"/>
      <c r="Y90" s="31" t="n"/>
    </row>
    <row r="91" ht="14.25" customHeight="1">
      <c r="A91" s="31" t="n"/>
      <c r="P91" s="31" t="n"/>
      <c r="Q91" s="31" t="n"/>
      <c r="R91" s="31" t="n"/>
      <c r="S91" s="31" t="n"/>
      <c r="T91" s="31" t="n"/>
      <c r="U91" s="31" t="n"/>
      <c r="V91" s="31" t="n"/>
      <c r="W91" s="31" t="n"/>
      <c r="X91" s="31" t="n"/>
      <c r="Y91" s="31" t="n"/>
    </row>
    <row r="92" ht="14.25" customHeight="1">
      <c r="A92" s="31" t="n"/>
      <c r="P92" s="31" t="n"/>
      <c r="Q92" s="31" t="n"/>
      <c r="R92" s="31" t="n"/>
      <c r="S92" s="31" t="n"/>
      <c r="T92" s="31" t="n"/>
      <c r="U92" s="31" t="n"/>
      <c r="V92" s="31" t="n"/>
      <c r="W92" s="31" t="n"/>
      <c r="X92" s="31" t="n"/>
      <c r="Y92" s="31" t="n"/>
    </row>
    <row r="93" ht="14.25" customHeight="1">
      <c r="A93" s="31" t="n"/>
      <c r="P93" s="31" t="n"/>
      <c r="Q93" s="31" t="n"/>
      <c r="R93" s="31" t="n"/>
      <c r="S93" s="31" t="n"/>
      <c r="T93" s="31" t="n"/>
      <c r="U93" s="31" t="n"/>
      <c r="V93" s="31" t="n"/>
      <c r="W93" s="31" t="n"/>
      <c r="X93" s="31" t="n"/>
      <c r="Y93" s="31" t="n"/>
    </row>
    <row r="94" ht="14.25" customHeight="1">
      <c r="A94" s="31" t="n"/>
      <c r="P94" s="31" t="n"/>
      <c r="Q94" s="31" t="n"/>
      <c r="R94" s="31" t="n"/>
      <c r="S94" s="31" t="n"/>
      <c r="T94" s="31" t="n"/>
      <c r="U94" s="31" t="n"/>
      <c r="V94" s="31" t="n"/>
      <c r="W94" s="31" t="n"/>
      <c r="X94" s="31" t="n"/>
      <c r="Y94" s="31" t="n"/>
    </row>
    <row r="95" ht="14.25" customHeight="1">
      <c r="A95" s="31" t="n"/>
      <c r="P95" s="31" t="n"/>
      <c r="Q95" s="31" t="n"/>
      <c r="R95" s="31" t="n"/>
      <c r="S95" s="31" t="n"/>
      <c r="T95" s="31" t="n"/>
      <c r="U95" s="31" t="n"/>
      <c r="V95" s="31" t="n"/>
      <c r="W95" s="31" t="n"/>
      <c r="X95" s="31" t="n"/>
      <c r="Y95" s="31" t="n"/>
    </row>
    <row r="96" ht="14.25" customHeight="1">
      <c r="A96" s="31" t="n"/>
      <c r="P96" s="31" t="n"/>
      <c r="Q96" s="31" t="n"/>
      <c r="R96" s="31" t="n"/>
      <c r="S96" s="31" t="n"/>
      <c r="T96" s="31" t="n"/>
      <c r="U96" s="31" t="n"/>
      <c r="V96" s="31" t="n"/>
      <c r="W96" s="31" t="n"/>
      <c r="X96" s="31" t="n"/>
      <c r="Y96" s="31" t="n"/>
    </row>
    <row r="97" ht="14.25" customHeight="1">
      <c r="A97" s="31" t="n"/>
      <c r="P97" s="31" t="n"/>
      <c r="Q97" s="31" t="n"/>
      <c r="R97" s="31" t="n"/>
      <c r="S97" s="31" t="n"/>
      <c r="T97" s="31" t="n"/>
      <c r="U97" s="31" t="n"/>
      <c r="V97" s="31" t="n"/>
      <c r="W97" s="31" t="n"/>
      <c r="X97" s="31" t="n"/>
      <c r="Y97" s="31" t="n"/>
    </row>
    <row r="98" ht="14.25" customHeight="1">
      <c r="A98" s="31" t="n"/>
      <c r="P98" s="31" t="n"/>
      <c r="Q98" s="31" t="n"/>
      <c r="R98" s="31" t="n"/>
      <c r="S98" s="31" t="n"/>
      <c r="T98" s="31" t="n"/>
      <c r="U98" s="31" t="n"/>
      <c r="V98" s="31" t="n"/>
      <c r="W98" s="31" t="n"/>
      <c r="X98" s="31" t="n"/>
      <c r="Y98" s="31" t="n"/>
    </row>
    <row r="99" ht="14.25" customHeight="1">
      <c r="A99" s="31" t="n"/>
      <c r="P99" s="31" t="n"/>
      <c r="Q99" s="31" t="n"/>
      <c r="R99" s="31" t="n"/>
      <c r="S99" s="31" t="n"/>
      <c r="T99" s="31" t="n"/>
      <c r="U99" s="31" t="n"/>
      <c r="V99" s="31" t="n"/>
      <c r="W99" s="31" t="n"/>
      <c r="X99" s="31" t="n"/>
      <c r="Y99" s="31" t="n"/>
    </row>
    <row r="100" ht="14.25" customHeight="1">
      <c r="A100" s="31" t="n"/>
      <c r="P100" s="31" t="n"/>
      <c r="Q100" s="31" t="n"/>
      <c r="R100" s="31" t="n"/>
      <c r="S100" s="31" t="n"/>
      <c r="T100" s="31" t="n"/>
      <c r="U100" s="31" t="n"/>
      <c r="V100" s="31" t="n"/>
      <c r="W100" s="31" t="n"/>
      <c r="X100" s="31" t="n"/>
      <c r="Y100" s="31" t="n"/>
    </row>
    <row r="101" ht="14.25" customHeight="1">
      <c r="A101" s="31" t="n"/>
      <c r="P101" s="31" t="n"/>
      <c r="Q101" s="31" t="n"/>
      <c r="R101" s="31" t="n"/>
      <c r="S101" s="31" t="n"/>
      <c r="T101" s="31" t="n"/>
      <c r="U101" s="31" t="n"/>
      <c r="V101" s="31" t="n"/>
      <c r="W101" s="31" t="n"/>
      <c r="X101" s="31" t="n"/>
      <c r="Y101" s="31" t="n"/>
    </row>
    <row r="102" ht="14.25" customHeight="1">
      <c r="A102" s="31" t="n"/>
      <c r="P102" s="31" t="n"/>
      <c r="Q102" s="31" t="n"/>
      <c r="R102" s="31" t="n"/>
      <c r="S102" s="31" t="n"/>
      <c r="T102" s="31" t="n"/>
      <c r="U102" s="31" t="n"/>
      <c r="V102" s="31" t="n"/>
      <c r="W102" s="31" t="n"/>
      <c r="X102" s="31" t="n"/>
      <c r="Y102" s="31" t="n"/>
    </row>
    <row r="103" ht="14.25" customHeight="1">
      <c r="A103" s="31" t="n"/>
      <c r="P103" s="31" t="n"/>
      <c r="Q103" s="31" t="n"/>
      <c r="R103" s="31" t="n"/>
      <c r="S103" s="31" t="n"/>
      <c r="T103" s="31" t="n"/>
      <c r="U103" s="31" t="n"/>
      <c r="V103" s="31" t="n"/>
      <c r="W103" s="31" t="n"/>
      <c r="X103" s="31" t="n"/>
      <c r="Y103" s="31" t="n"/>
    </row>
    <row r="104" ht="14.25" customHeight="1">
      <c r="A104" s="31" t="n"/>
      <c r="P104" s="31" t="n"/>
      <c r="Q104" s="31" t="n"/>
      <c r="R104" s="31" t="n"/>
      <c r="S104" s="31" t="n"/>
      <c r="T104" s="31" t="n"/>
      <c r="U104" s="31" t="n"/>
      <c r="V104" s="31" t="n"/>
      <c r="W104" s="31" t="n"/>
      <c r="X104" s="31" t="n"/>
      <c r="Y104" s="31" t="n"/>
    </row>
    <row r="105" ht="14.25" customHeight="1">
      <c r="A105" s="31" t="n"/>
      <c r="P105" s="31" t="n"/>
      <c r="Q105" s="31" t="n"/>
      <c r="R105" s="31" t="n"/>
      <c r="S105" s="31" t="n"/>
      <c r="T105" s="31" t="n"/>
      <c r="U105" s="31" t="n"/>
      <c r="V105" s="31" t="n"/>
      <c r="W105" s="31" t="n"/>
      <c r="X105" s="31" t="n"/>
      <c r="Y105" s="31" t="n"/>
    </row>
    <row r="106" ht="14.25" customHeight="1">
      <c r="A106" s="31" t="n"/>
      <c r="P106" s="31" t="n"/>
      <c r="Q106" s="31" t="n"/>
      <c r="R106" s="31" t="n"/>
      <c r="S106" s="31" t="n"/>
      <c r="T106" s="31" t="n"/>
      <c r="U106" s="31" t="n"/>
      <c r="V106" s="31" t="n"/>
      <c r="W106" s="31" t="n"/>
      <c r="X106" s="31" t="n"/>
      <c r="Y106" s="31" t="n"/>
    </row>
    <row r="107" ht="14.25" customHeight="1">
      <c r="A107" s="31" t="n"/>
      <c r="P107" s="31" t="n"/>
      <c r="Q107" s="31" t="n"/>
      <c r="R107" s="31" t="n"/>
      <c r="S107" s="31" t="n"/>
      <c r="T107" s="31" t="n"/>
      <c r="U107" s="31" t="n"/>
      <c r="V107" s="31" t="n"/>
      <c r="W107" s="31" t="n"/>
      <c r="X107" s="31" t="n"/>
      <c r="Y107" s="31" t="n"/>
    </row>
    <row r="108" ht="14.25" customHeight="1">
      <c r="A108" s="31" t="n"/>
      <c r="P108" s="31" t="n"/>
      <c r="Q108" s="31" t="n"/>
      <c r="R108" s="31" t="n"/>
      <c r="S108" s="31" t="n"/>
      <c r="T108" s="31" t="n"/>
      <c r="U108" s="31" t="n"/>
      <c r="V108" s="31" t="n"/>
      <c r="W108" s="31" t="n"/>
      <c r="X108" s="31" t="n"/>
      <c r="Y108" s="31" t="n"/>
    </row>
    <row r="109" ht="14.25" customHeight="1">
      <c r="A109" s="31" t="n"/>
      <c r="P109" s="31" t="n"/>
      <c r="Q109" s="31" t="n"/>
      <c r="R109" s="31" t="n"/>
      <c r="S109" s="31" t="n"/>
      <c r="T109" s="31" t="n"/>
      <c r="U109" s="31" t="n"/>
      <c r="V109" s="31" t="n"/>
      <c r="W109" s="31" t="n"/>
      <c r="X109" s="31" t="n"/>
      <c r="Y109" s="31" t="n"/>
    </row>
    <row r="110" ht="14.25" customHeight="1">
      <c r="A110" s="31" t="n"/>
      <c r="P110" s="31" t="n"/>
      <c r="Q110" s="31" t="n"/>
      <c r="R110" s="31" t="n"/>
      <c r="S110" s="31" t="n"/>
      <c r="T110" s="31" t="n"/>
      <c r="U110" s="31" t="n"/>
      <c r="V110" s="31" t="n"/>
      <c r="W110" s="31" t="n"/>
      <c r="X110" s="31" t="n"/>
      <c r="Y110" s="31" t="n"/>
    </row>
    <row r="111" ht="14.25" customHeight="1">
      <c r="A111" s="31" t="n"/>
      <c r="P111" s="31" t="n"/>
      <c r="Q111" s="31" t="n"/>
      <c r="R111" s="31" t="n"/>
      <c r="S111" s="31" t="n"/>
      <c r="T111" s="31" t="n"/>
      <c r="U111" s="31" t="n"/>
      <c r="V111" s="31" t="n"/>
      <c r="W111" s="31" t="n"/>
      <c r="X111" s="31" t="n"/>
      <c r="Y111" s="31" t="n"/>
    </row>
    <row r="112" ht="14.25" customHeight="1">
      <c r="A112" s="31" t="n"/>
      <c r="P112" s="31" t="n"/>
      <c r="Q112" s="31" t="n"/>
      <c r="R112" s="31" t="n"/>
      <c r="S112" s="31" t="n"/>
      <c r="T112" s="31" t="n"/>
      <c r="U112" s="31" t="n"/>
      <c r="V112" s="31" t="n"/>
      <c r="W112" s="31" t="n"/>
      <c r="X112" s="31" t="n"/>
      <c r="Y112" s="31" t="n"/>
    </row>
    <row r="113" ht="14.25" customHeight="1">
      <c r="A113" s="31" t="n"/>
      <c r="P113" s="31" t="n"/>
      <c r="Q113" s="31" t="n"/>
      <c r="R113" s="31" t="n"/>
      <c r="S113" s="31" t="n"/>
      <c r="T113" s="31" t="n"/>
      <c r="U113" s="31" t="n"/>
      <c r="V113" s="31" t="n"/>
      <c r="W113" s="31" t="n"/>
      <c r="X113" s="31" t="n"/>
      <c r="Y113" s="31" t="n"/>
    </row>
    <row r="114" ht="14.25" customHeight="1">
      <c r="A114" s="31" t="n"/>
      <c r="P114" s="31" t="n"/>
      <c r="Q114" s="31" t="n"/>
      <c r="R114" s="31" t="n"/>
      <c r="S114" s="31" t="n"/>
      <c r="T114" s="31" t="n"/>
      <c r="U114" s="31" t="n"/>
      <c r="V114" s="31" t="n"/>
      <c r="W114" s="31" t="n"/>
      <c r="X114" s="31" t="n"/>
      <c r="Y114" s="31" t="n"/>
    </row>
    <row r="115" ht="14.25" customHeight="1">
      <c r="A115" s="31" t="n"/>
      <c r="P115" s="31" t="n"/>
      <c r="Q115" s="31" t="n"/>
      <c r="R115" s="31" t="n"/>
      <c r="S115" s="31" t="n"/>
      <c r="T115" s="31" t="n"/>
      <c r="U115" s="31" t="n"/>
      <c r="V115" s="31" t="n"/>
      <c r="W115" s="31" t="n"/>
      <c r="X115" s="31" t="n"/>
      <c r="Y115" s="31" t="n"/>
    </row>
    <row r="116" ht="14.25" customHeight="1">
      <c r="A116" s="31" t="n"/>
      <c r="P116" s="31" t="n"/>
      <c r="Q116" s="31" t="n"/>
      <c r="R116" s="31" t="n"/>
      <c r="S116" s="31" t="n"/>
      <c r="T116" s="31" t="n"/>
      <c r="U116" s="31" t="n"/>
      <c r="V116" s="31" t="n"/>
      <c r="W116" s="31" t="n"/>
      <c r="X116" s="31" t="n"/>
      <c r="Y116" s="31" t="n"/>
    </row>
    <row r="117" ht="14.25" customHeight="1">
      <c r="A117" s="31" t="n"/>
      <c r="P117" s="31" t="n"/>
      <c r="Q117" s="31" t="n"/>
      <c r="R117" s="31" t="n"/>
      <c r="S117" s="31" t="n"/>
      <c r="T117" s="31" t="n"/>
      <c r="U117" s="31" t="n"/>
      <c r="V117" s="31" t="n"/>
      <c r="W117" s="31" t="n"/>
      <c r="X117" s="31" t="n"/>
      <c r="Y117" s="31" t="n"/>
    </row>
    <row r="118" ht="14.25" customHeight="1">
      <c r="A118" s="31" t="n"/>
      <c r="P118" s="31" t="n"/>
      <c r="Q118" s="31" t="n"/>
      <c r="R118" s="31" t="n"/>
      <c r="S118" s="31" t="n"/>
      <c r="T118" s="31" t="n"/>
      <c r="U118" s="31" t="n"/>
      <c r="V118" s="31" t="n"/>
      <c r="W118" s="31" t="n"/>
      <c r="X118" s="31" t="n"/>
      <c r="Y118" s="31" t="n"/>
    </row>
    <row r="119" ht="14.25" customHeight="1">
      <c r="A119" s="31" t="n"/>
      <c r="P119" s="31" t="n"/>
      <c r="Q119" s="31" t="n"/>
      <c r="R119" s="31" t="n"/>
      <c r="S119" s="31" t="n"/>
      <c r="T119" s="31" t="n"/>
      <c r="U119" s="31" t="n"/>
      <c r="V119" s="31" t="n"/>
      <c r="W119" s="31" t="n"/>
      <c r="X119" s="31" t="n"/>
      <c r="Y119" s="31" t="n"/>
    </row>
    <row r="120" ht="14.25" customHeight="1">
      <c r="A120" s="31" t="n"/>
      <c r="P120" s="31" t="n"/>
      <c r="Q120" s="31" t="n"/>
      <c r="R120" s="31" t="n"/>
      <c r="S120" s="31" t="n"/>
      <c r="T120" s="31" t="n"/>
      <c r="U120" s="31" t="n"/>
      <c r="V120" s="31" t="n"/>
      <c r="W120" s="31" t="n"/>
      <c r="X120" s="31" t="n"/>
      <c r="Y120" s="31" t="n"/>
    </row>
    <row r="121" ht="14.25" customHeight="1">
      <c r="A121" s="31" t="n"/>
      <c r="P121" s="31" t="n"/>
      <c r="Q121" s="31" t="n"/>
      <c r="R121" s="31" t="n"/>
      <c r="S121" s="31" t="n"/>
      <c r="T121" s="31" t="n"/>
      <c r="U121" s="31" t="n"/>
      <c r="V121" s="31" t="n"/>
      <c r="W121" s="31" t="n"/>
      <c r="X121" s="31" t="n"/>
      <c r="Y121" s="31" t="n"/>
    </row>
    <row r="122" ht="14.25" customHeight="1">
      <c r="A122" s="31" t="n"/>
      <c r="P122" s="31" t="n"/>
      <c r="Q122" s="31" t="n"/>
      <c r="R122" s="31" t="n"/>
      <c r="S122" s="31" t="n"/>
      <c r="T122" s="31" t="n"/>
      <c r="U122" s="31" t="n"/>
      <c r="V122" s="31" t="n"/>
      <c r="W122" s="31" t="n"/>
      <c r="X122" s="31" t="n"/>
      <c r="Y122" s="31" t="n"/>
    </row>
    <row r="123" ht="14.25" customHeight="1">
      <c r="A123" s="31" t="n"/>
      <c r="P123" s="31" t="n"/>
      <c r="Q123" s="31" t="n"/>
      <c r="R123" s="31" t="n"/>
      <c r="S123" s="31" t="n"/>
      <c r="T123" s="31" t="n"/>
      <c r="U123" s="31" t="n"/>
      <c r="V123" s="31" t="n"/>
      <c r="W123" s="31" t="n"/>
      <c r="X123" s="31" t="n"/>
      <c r="Y123" s="31" t="n"/>
    </row>
    <row r="124" ht="14.25" customHeight="1">
      <c r="A124" s="31" t="n"/>
      <c r="P124" s="31" t="n"/>
      <c r="Q124" s="31" t="n"/>
      <c r="R124" s="31" t="n"/>
      <c r="S124" s="31" t="n"/>
      <c r="T124" s="31" t="n"/>
      <c r="U124" s="31" t="n"/>
      <c r="V124" s="31" t="n"/>
      <c r="W124" s="31" t="n"/>
      <c r="X124" s="31" t="n"/>
      <c r="Y124" s="31" t="n"/>
    </row>
    <row r="125" ht="14.25" customHeight="1">
      <c r="A125" s="31" t="n"/>
      <c r="P125" s="31" t="n"/>
      <c r="Q125" s="31" t="n"/>
      <c r="R125" s="31" t="n"/>
      <c r="S125" s="31" t="n"/>
      <c r="T125" s="31" t="n"/>
      <c r="U125" s="31" t="n"/>
      <c r="V125" s="31" t="n"/>
      <c r="W125" s="31" t="n"/>
      <c r="X125" s="31" t="n"/>
      <c r="Y125" s="31" t="n"/>
    </row>
    <row r="126" ht="14.25" customHeight="1">
      <c r="A126" s="31" t="n"/>
      <c r="P126" s="31" t="n"/>
      <c r="Q126" s="31" t="n"/>
      <c r="R126" s="31" t="n"/>
      <c r="S126" s="31" t="n"/>
      <c r="T126" s="31" t="n"/>
      <c r="U126" s="31" t="n"/>
      <c r="V126" s="31" t="n"/>
      <c r="W126" s="31" t="n"/>
      <c r="X126" s="31" t="n"/>
      <c r="Y126" s="31" t="n"/>
    </row>
    <row r="127" ht="14.25" customHeight="1">
      <c r="A127" s="31" t="n"/>
      <c r="P127" s="31" t="n"/>
      <c r="Q127" s="31" t="n"/>
      <c r="R127" s="31" t="n"/>
      <c r="S127" s="31" t="n"/>
      <c r="T127" s="31" t="n"/>
      <c r="U127" s="31" t="n"/>
      <c r="V127" s="31" t="n"/>
      <c r="W127" s="31" t="n"/>
      <c r="X127" s="31" t="n"/>
      <c r="Y127" s="31" t="n"/>
    </row>
    <row r="128" ht="14.25" customHeight="1">
      <c r="A128" s="31" t="n"/>
      <c r="P128" s="31" t="n"/>
      <c r="Q128" s="31" t="n"/>
      <c r="R128" s="31" t="n"/>
      <c r="S128" s="31" t="n"/>
      <c r="T128" s="31" t="n"/>
      <c r="U128" s="31" t="n"/>
      <c r="V128" s="31" t="n"/>
      <c r="W128" s="31" t="n"/>
      <c r="X128" s="31" t="n"/>
      <c r="Y128" s="31" t="n"/>
    </row>
    <row r="129" ht="14.25" customHeight="1">
      <c r="A129" s="31" t="n"/>
      <c r="P129" s="31" t="n"/>
      <c r="Q129" s="31" t="n"/>
      <c r="R129" s="31" t="n"/>
      <c r="S129" s="31" t="n"/>
      <c r="T129" s="31" t="n"/>
      <c r="U129" s="31" t="n"/>
      <c r="V129" s="31" t="n"/>
      <c r="W129" s="31" t="n"/>
      <c r="X129" s="31" t="n"/>
      <c r="Y129" s="31" t="n"/>
    </row>
    <row r="130" ht="14.25" customHeight="1">
      <c r="A130" s="31" t="n"/>
      <c r="P130" s="31" t="n"/>
      <c r="Q130" s="31" t="n"/>
      <c r="R130" s="31" t="n"/>
      <c r="S130" s="31" t="n"/>
      <c r="T130" s="31" t="n"/>
      <c r="U130" s="31" t="n"/>
      <c r="V130" s="31" t="n"/>
      <c r="W130" s="31" t="n"/>
      <c r="X130" s="31" t="n"/>
      <c r="Y130" s="31" t="n"/>
    </row>
    <row r="131" ht="14.25" customHeight="1">
      <c r="A131" s="31" t="n"/>
      <c r="P131" s="31" t="n"/>
      <c r="Q131" s="31" t="n"/>
      <c r="R131" s="31" t="n"/>
      <c r="S131" s="31" t="n"/>
      <c r="T131" s="31" t="n"/>
      <c r="U131" s="31" t="n"/>
      <c r="V131" s="31" t="n"/>
      <c r="W131" s="31" t="n"/>
      <c r="X131" s="31" t="n"/>
      <c r="Y131" s="31" t="n"/>
    </row>
    <row r="132" ht="14.25" customHeight="1">
      <c r="A132" s="31" t="n"/>
      <c r="P132" s="31" t="n"/>
      <c r="Q132" s="31" t="n"/>
      <c r="R132" s="31" t="n"/>
      <c r="S132" s="31" t="n"/>
      <c r="T132" s="31" t="n"/>
      <c r="U132" s="31" t="n"/>
      <c r="V132" s="31" t="n"/>
      <c r="W132" s="31" t="n"/>
      <c r="X132" s="31" t="n"/>
      <c r="Y132" s="31" t="n"/>
    </row>
    <row r="133" ht="14.25" customHeight="1">
      <c r="A133" s="31" t="n"/>
      <c r="P133" s="31" t="n"/>
      <c r="Q133" s="31" t="n"/>
      <c r="R133" s="31" t="n"/>
      <c r="S133" s="31" t="n"/>
      <c r="T133" s="31" t="n"/>
      <c r="U133" s="31" t="n"/>
      <c r="V133" s="31" t="n"/>
      <c r="W133" s="31" t="n"/>
      <c r="X133" s="31" t="n"/>
      <c r="Y133" s="31" t="n"/>
    </row>
    <row r="134" ht="14.25" customHeight="1">
      <c r="A134" s="31" t="n"/>
      <c r="P134" s="31" t="n"/>
      <c r="Q134" s="31" t="n"/>
      <c r="R134" s="31" t="n"/>
      <c r="S134" s="31" t="n"/>
      <c r="T134" s="31" t="n"/>
      <c r="U134" s="31" t="n"/>
      <c r="V134" s="31" t="n"/>
      <c r="W134" s="31" t="n"/>
      <c r="X134" s="31" t="n"/>
      <c r="Y134" s="31" t="n"/>
    </row>
    <row r="135" ht="14.25" customHeight="1">
      <c r="A135" s="31" t="n"/>
      <c r="P135" s="31" t="n"/>
      <c r="Q135" s="31" t="n"/>
      <c r="R135" s="31" t="n"/>
      <c r="S135" s="31" t="n"/>
      <c r="T135" s="31" t="n"/>
      <c r="U135" s="31" t="n"/>
      <c r="V135" s="31" t="n"/>
      <c r="W135" s="31" t="n"/>
      <c r="X135" s="31" t="n"/>
      <c r="Y135" s="31" t="n"/>
    </row>
    <row r="136" ht="14.25" customHeight="1">
      <c r="A136" s="31" t="n"/>
      <c r="P136" s="31" t="n"/>
      <c r="Q136" s="31" t="n"/>
      <c r="R136" s="31" t="n"/>
      <c r="S136" s="31" t="n"/>
      <c r="T136" s="31" t="n"/>
      <c r="U136" s="31" t="n"/>
      <c r="V136" s="31" t="n"/>
      <c r="W136" s="31" t="n"/>
      <c r="X136" s="31" t="n"/>
      <c r="Y136" s="31" t="n"/>
    </row>
    <row r="137" ht="14.25" customHeight="1">
      <c r="A137" s="31" t="n"/>
      <c r="P137" s="31" t="n"/>
      <c r="Q137" s="31" t="n"/>
      <c r="R137" s="31" t="n"/>
      <c r="S137" s="31" t="n"/>
      <c r="T137" s="31" t="n"/>
      <c r="U137" s="31" t="n"/>
      <c r="V137" s="31" t="n"/>
      <c r="W137" s="31" t="n"/>
      <c r="X137" s="31" t="n"/>
      <c r="Y137" s="31" t="n"/>
    </row>
    <row r="138" ht="14.25" customHeight="1">
      <c r="A138" s="31" t="n"/>
      <c r="P138" s="31" t="n"/>
      <c r="Q138" s="31" t="n"/>
      <c r="R138" s="31" t="n"/>
      <c r="S138" s="31" t="n"/>
      <c r="T138" s="31" t="n"/>
      <c r="U138" s="31" t="n"/>
      <c r="V138" s="31" t="n"/>
      <c r="W138" s="31" t="n"/>
      <c r="X138" s="31" t="n"/>
      <c r="Y138" s="31" t="n"/>
    </row>
    <row r="139" ht="14.25" customHeight="1">
      <c r="A139" s="31" t="n"/>
      <c r="P139" s="31" t="n"/>
      <c r="Q139" s="31" t="n"/>
      <c r="R139" s="31" t="n"/>
      <c r="S139" s="31" t="n"/>
      <c r="T139" s="31" t="n"/>
      <c r="U139" s="31" t="n"/>
      <c r="V139" s="31" t="n"/>
      <c r="W139" s="31" t="n"/>
      <c r="X139" s="31" t="n"/>
      <c r="Y139" s="31" t="n"/>
    </row>
    <row r="140" ht="14.25" customHeight="1">
      <c r="A140" s="31" t="n"/>
      <c r="P140" s="31" t="n"/>
      <c r="Q140" s="31" t="n"/>
      <c r="R140" s="31" t="n"/>
      <c r="S140" s="31" t="n"/>
      <c r="T140" s="31" t="n"/>
      <c r="U140" s="31" t="n"/>
      <c r="V140" s="31" t="n"/>
      <c r="W140" s="31" t="n"/>
      <c r="X140" s="31" t="n"/>
      <c r="Y140" s="31" t="n"/>
    </row>
    <row r="141" ht="14.25" customHeight="1">
      <c r="A141" s="31" t="n"/>
      <c r="P141" s="31" t="n"/>
      <c r="Q141" s="31" t="n"/>
      <c r="R141" s="31" t="n"/>
      <c r="S141" s="31" t="n"/>
      <c r="T141" s="31" t="n"/>
      <c r="U141" s="31" t="n"/>
      <c r="V141" s="31" t="n"/>
      <c r="W141" s="31" t="n"/>
      <c r="X141" s="31" t="n"/>
      <c r="Y141" s="31" t="n"/>
    </row>
    <row r="142" ht="14.25" customHeight="1">
      <c r="A142" s="31" t="n"/>
      <c r="P142" s="31" t="n"/>
      <c r="Q142" s="31" t="n"/>
      <c r="R142" s="31" t="n"/>
      <c r="S142" s="31" t="n"/>
      <c r="T142" s="31" t="n"/>
      <c r="U142" s="31" t="n"/>
      <c r="V142" s="31" t="n"/>
      <c r="W142" s="31" t="n"/>
      <c r="X142" s="31" t="n"/>
      <c r="Y142" s="31" t="n"/>
    </row>
    <row r="143" ht="14.25" customHeight="1">
      <c r="A143" s="31" t="n"/>
      <c r="P143" s="31" t="n"/>
      <c r="Q143" s="31" t="n"/>
      <c r="R143" s="31" t="n"/>
      <c r="S143" s="31" t="n"/>
      <c r="T143" s="31" t="n"/>
      <c r="U143" s="31" t="n"/>
      <c r="V143" s="31" t="n"/>
      <c r="W143" s="31" t="n"/>
      <c r="X143" s="31" t="n"/>
      <c r="Y143" s="31" t="n"/>
    </row>
    <row r="144" ht="14.25" customHeight="1">
      <c r="A144" s="31" t="n"/>
      <c r="P144" s="31" t="n"/>
      <c r="Q144" s="31" t="n"/>
      <c r="R144" s="31" t="n"/>
      <c r="S144" s="31" t="n"/>
      <c r="T144" s="31" t="n"/>
      <c r="U144" s="31" t="n"/>
      <c r="V144" s="31" t="n"/>
      <c r="W144" s="31" t="n"/>
      <c r="X144" s="31" t="n"/>
      <c r="Y144" s="31" t="n"/>
    </row>
    <row r="145" ht="14.25" customHeight="1">
      <c r="A145" s="31" t="n"/>
      <c r="P145" s="31" t="n"/>
      <c r="Q145" s="31" t="n"/>
      <c r="R145" s="31" t="n"/>
      <c r="S145" s="31" t="n"/>
      <c r="T145" s="31" t="n"/>
      <c r="U145" s="31" t="n"/>
      <c r="V145" s="31" t="n"/>
      <c r="W145" s="31" t="n"/>
      <c r="X145" s="31" t="n"/>
      <c r="Y145" s="31" t="n"/>
    </row>
    <row r="146" ht="14.25" customHeight="1">
      <c r="A146" s="31" t="n"/>
      <c r="P146" s="31" t="n"/>
      <c r="Q146" s="31" t="n"/>
      <c r="R146" s="31" t="n"/>
      <c r="S146" s="31" t="n"/>
      <c r="T146" s="31" t="n"/>
      <c r="U146" s="31" t="n"/>
      <c r="V146" s="31" t="n"/>
      <c r="W146" s="31" t="n"/>
      <c r="X146" s="31" t="n"/>
      <c r="Y146" s="31" t="n"/>
    </row>
    <row r="147" ht="14.25" customHeight="1">
      <c r="A147" s="31" t="n"/>
      <c r="P147" s="31" t="n"/>
      <c r="Q147" s="31" t="n"/>
      <c r="R147" s="31" t="n"/>
      <c r="S147" s="31" t="n"/>
      <c r="T147" s="31" t="n"/>
      <c r="U147" s="31" t="n"/>
      <c r="V147" s="31" t="n"/>
      <c r="W147" s="31" t="n"/>
      <c r="X147" s="31" t="n"/>
      <c r="Y147" s="31" t="n"/>
    </row>
    <row r="148" ht="14.25" customHeight="1">
      <c r="A148" s="31" t="n"/>
      <c r="P148" s="31" t="n"/>
      <c r="Q148" s="31" t="n"/>
      <c r="R148" s="31" t="n"/>
      <c r="S148" s="31" t="n"/>
      <c r="T148" s="31" t="n"/>
      <c r="U148" s="31" t="n"/>
      <c r="V148" s="31" t="n"/>
      <c r="W148" s="31" t="n"/>
      <c r="X148" s="31" t="n"/>
      <c r="Y148" s="31" t="n"/>
    </row>
    <row r="149" ht="14.25" customHeight="1">
      <c r="A149" s="31" t="n"/>
      <c r="P149" s="31" t="n"/>
      <c r="Q149" s="31" t="n"/>
      <c r="R149" s="31" t="n"/>
      <c r="S149" s="31" t="n"/>
      <c r="T149" s="31" t="n"/>
      <c r="U149" s="31" t="n"/>
      <c r="V149" s="31" t="n"/>
      <c r="W149" s="31" t="n"/>
      <c r="X149" s="31" t="n"/>
      <c r="Y149" s="31" t="n"/>
    </row>
    <row r="150" ht="14.25" customHeight="1">
      <c r="A150" s="31" t="n"/>
      <c r="P150" s="31" t="n"/>
      <c r="Q150" s="31" t="n"/>
      <c r="R150" s="31" t="n"/>
      <c r="S150" s="31" t="n"/>
      <c r="T150" s="31" t="n"/>
      <c r="U150" s="31" t="n"/>
      <c r="V150" s="31" t="n"/>
      <c r="W150" s="31" t="n"/>
      <c r="X150" s="31" t="n"/>
      <c r="Y150" s="31" t="n"/>
    </row>
    <row r="151" ht="14.25" customHeight="1">
      <c r="A151" s="31" t="n"/>
      <c r="P151" s="31" t="n"/>
      <c r="Q151" s="31" t="n"/>
      <c r="R151" s="31" t="n"/>
      <c r="S151" s="31" t="n"/>
      <c r="T151" s="31" t="n"/>
      <c r="U151" s="31" t="n"/>
      <c r="V151" s="31" t="n"/>
      <c r="W151" s="31" t="n"/>
      <c r="X151" s="31" t="n"/>
      <c r="Y151" s="31" t="n"/>
    </row>
    <row r="152" ht="14.25" customHeight="1">
      <c r="A152" s="31" t="n"/>
      <c r="P152" s="31" t="n"/>
      <c r="Q152" s="31" t="n"/>
      <c r="R152" s="31" t="n"/>
      <c r="S152" s="31" t="n"/>
      <c r="T152" s="31" t="n"/>
      <c r="U152" s="31" t="n"/>
      <c r="V152" s="31" t="n"/>
      <c r="W152" s="31" t="n"/>
      <c r="X152" s="31" t="n"/>
      <c r="Y152" s="31" t="n"/>
    </row>
    <row r="153" ht="14.25" customHeight="1">
      <c r="A153" s="31" t="n"/>
      <c r="P153" s="31" t="n"/>
      <c r="Q153" s="31" t="n"/>
      <c r="R153" s="31" t="n"/>
      <c r="S153" s="31" t="n"/>
      <c r="T153" s="31" t="n"/>
      <c r="U153" s="31" t="n"/>
      <c r="V153" s="31" t="n"/>
      <c r="W153" s="31" t="n"/>
      <c r="X153" s="31" t="n"/>
      <c r="Y153" s="31" t="n"/>
    </row>
    <row r="154" ht="14.25" customHeight="1">
      <c r="A154" s="31" t="n"/>
      <c r="P154" s="31" t="n"/>
      <c r="Q154" s="31" t="n"/>
      <c r="R154" s="31" t="n"/>
      <c r="S154" s="31" t="n"/>
      <c r="T154" s="31" t="n"/>
      <c r="U154" s="31" t="n"/>
      <c r="V154" s="31" t="n"/>
      <c r="W154" s="31" t="n"/>
      <c r="X154" s="31" t="n"/>
      <c r="Y154" s="31" t="n"/>
    </row>
    <row r="155" ht="14.25" customHeight="1">
      <c r="A155" s="31" t="n"/>
      <c r="P155" s="31" t="n"/>
      <c r="Q155" s="31" t="n"/>
      <c r="R155" s="31" t="n"/>
      <c r="S155" s="31" t="n"/>
      <c r="T155" s="31" t="n"/>
      <c r="U155" s="31" t="n"/>
      <c r="V155" s="31" t="n"/>
      <c r="W155" s="31" t="n"/>
      <c r="X155" s="31" t="n"/>
      <c r="Y155" s="31" t="n"/>
    </row>
    <row r="156" ht="14.25" customHeight="1">
      <c r="A156" s="31" t="n"/>
      <c r="P156" s="31" t="n"/>
      <c r="Q156" s="31" t="n"/>
      <c r="R156" s="31" t="n"/>
      <c r="S156" s="31" t="n"/>
      <c r="T156" s="31" t="n"/>
      <c r="U156" s="31" t="n"/>
      <c r="V156" s="31" t="n"/>
      <c r="W156" s="31" t="n"/>
      <c r="X156" s="31" t="n"/>
      <c r="Y156" s="31" t="n"/>
    </row>
    <row r="157" ht="14.25" customHeight="1">
      <c r="A157" s="31" t="n"/>
      <c r="P157" s="31" t="n"/>
      <c r="Q157" s="31" t="n"/>
      <c r="R157" s="31" t="n"/>
      <c r="S157" s="31" t="n"/>
      <c r="T157" s="31" t="n"/>
      <c r="U157" s="31" t="n"/>
      <c r="V157" s="31" t="n"/>
      <c r="W157" s="31" t="n"/>
      <c r="X157" s="31" t="n"/>
      <c r="Y157" s="31" t="n"/>
    </row>
    <row r="158" ht="14.25" customHeight="1">
      <c r="A158" s="31" t="n"/>
      <c r="P158" s="31" t="n"/>
      <c r="Q158" s="31" t="n"/>
      <c r="R158" s="31" t="n"/>
      <c r="S158" s="31" t="n"/>
      <c r="T158" s="31" t="n"/>
      <c r="U158" s="31" t="n"/>
      <c r="V158" s="31" t="n"/>
      <c r="W158" s="31" t="n"/>
      <c r="X158" s="31" t="n"/>
      <c r="Y158" s="31" t="n"/>
    </row>
    <row r="159" ht="14.25" customHeight="1">
      <c r="A159" s="31" t="n"/>
      <c r="P159" s="31" t="n"/>
      <c r="Q159" s="31" t="n"/>
      <c r="R159" s="31" t="n"/>
      <c r="S159" s="31" t="n"/>
      <c r="T159" s="31" t="n"/>
      <c r="U159" s="31" t="n"/>
      <c r="V159" s="31" t="n"/>
      <c r="W159" s="31" t="n"/>
      <c r="X159" s="31" t="n"/>
      <c r="Y159" s="31" t="n"/>
    </row>
    <row r="160" ht="14.25" customHeight="1">
      <c r="A160" s="31" t="n"/>
      <c r="P160" s="31" t="n"/>
      <c r="Q160" s="31" t="n"/>
      <c r="R160" s="31" t="n"/>
      <c r="S160" s="31" t="n"/>
      <c r="T160" s="31" t="n"/>
      <c r="U160" s="31" t="n"/>
      <c r="V160" s="31" t="n"/>
      <c r="W160" s="31" t="n"/>
      <c r="X160" s="31" t="n"/>
      <c r="Y160" s="31" t="n"/>
    </row>
    <row r="161" ht="14.25" customHeight="1">
      <c r="A161" s="31" t="n"/>
      <c r="P161" s="31" t="n"/>
      <c r="Q161" s="31" t="n"/>
      <c r="R161" s="31" t="n"/>
      <c r="S161" s="31" t="n"/>
      <c r="T161" s="31" t="n"/>
      <c r="U161" s="31" t="n"/>
      <c r="V161" s="31" t="n"/>
      <c r="W161" s="31" t="n"/>
      <c r="X161" s="31" t="n"/>
      <c r="Y161" s="31" t="n"/>
    </row>
    <row r="162" ht="14.25" customHeight="1">
      <c r="A162" s="31" t="n"/>
      <c r="P162" s="31" t="n"/>
      <c r="Q162" s="31" t="n"/>
      <c r="R162" s="31" t="n"/>
      <c r="S162" s="31" t="n"/>
      <c r="T162" s="31" t="n"/>
      <c r="U162" s="31" t="n"/>
      <c r="V162" s="31" t="n"/>
      <c r="W162" s="31" t="n"/>
      <c r="X162" s="31" t="n"/>
      <c r="Y162" s="31" t="n"/>
    </row>
    <row r="163" ht="14.25" customHeight="1">
      <c r="A163" s="31" t="n"/>
      <c r="P163" s="31" t="n"/>
      <c r="Q163" s="31" t="n"/>
      <c r="R163" s="31" t="n"/>
      <c r="S163" s="31" t="n"/>
      <c r="T163" s="31" t="n"/>
      <c r="U163" s="31" t="n"/>
      <c r="V163" s="31" t="n"/>
      <c r="W163" s="31" t="n"/>
      <c r="X163" s="31" t="n"/>
      <c r="Y163" s="31" t="n"/>
    </row>
    <row r="164" ht="14.25" customHeight="1">
      <c r="A164" s="31" t="n"/>
      <c r="P164" s="31" t="n"/>
      <c r="Q164" s="31" t="n"/>
      <c r="R164" s="31" t="n"/>
      <c r="S164" s="31" t="n"/>
      <c r="T164" s="31" t="n"/>
      <c r="U164" s="31" t="n"/>
      <c r="V164" s="31" t="n"/>
      <c r="W164" s="31" t="n"/>
      <c r="X164" s="31" t="n"/>
      <c r="Y164" s="31" t="n"/>
    </row>
    <row r="165" ht="14.25" customHeight="1">
      <c r="A165" s="31" t="n"/>
      <c r="P165" s="31" t="n"/>
      <c r="Q165" s="31" t="n"/>
      <c r="R165" s="31" t="n"/>
      <c r="S165" s="31" t="n"/>
      <c r="T165" s="31" t="n"/>
      <c r="U165" s="31" t="n"/>
      <c r="V165" s="31" t="n"/>
      <c r="W165" s="31" t="n"/>
      <c r="X165" s="31" t="n"/>
      <c r="Y165" s="31" t="n"/>
    </row>
    <row r="166" ht="14.25" customHeight="1">
      <c r="A166" s="31" t="n"/>
      <c r="P166" s="31" t="n"/>
      <c r="Q166" s="31" t="n"/>
      <c r="R166" s="31" t="n"/>
      <c r="S166" s="31" t="n"/>
      <c r="T166" s="31" t="n"/>
      <c r="U166" s="31" t="n"/>
      <c r="V166" s="31" t="n"/>
      <c r="W166" s="31" t="n"/>
      <c r="X166" s="31" t="n"/>
      <c r="Y166" s="31" t="n"/>
    </row>
    <row r="167" ht="14.25" customHeight="1">
      <c r="A167" s="31" t="n"/>
      <c r="P167" s="31" t="n"/>
      <c r="Q167" s="31" t="n"/>
      <c r="R167" s="31" t="n"/>
      <c r="S167" s="31" t="n"/>
      <c r="T167" s="31" t="n"/>
      <c r="U167" s="31" t="n"/>
      <c r="V167" s="31" t="n"/>
      <c r="W167" s="31" t="n"/>
      <c r="X167" s="31" t="n"/>
      <c r="Y167" s="31" t="n"/>
    </row>
    <row r="168" ht="14.25" customHeight="1">
      <c r="A168" s="31" t="n"/>
      <c r="P168" s="31" t="n"/>
      <c r="Q168" s="31" t="n"/>
      <c r="R168" s="31" t="n"/>
      <c r="S168" s="31" t="n"/>
      <c r="T168" s="31" t="n"/>
      <c r="U168" s="31" t="n"/>
      <c r="V168" s="31" t="n"/>
      <c r="W168" s="31" t="n"/>
      <c r="X168" s="31" t="n"/>
      <c r="Y168" s="31" t="n"/>
    </row>
    <row r="169" ht="14.25" customHeight="1">
      <c r="A169" s="31" t="n"/>
      <c r="P169" s="31" t="n"/>
      <c r="Q169" s="31" t="n"/>
      <c r="R169" s="31" t="n"/>
      <c r="S169" s="31" t="n"/>
      <c r="T169" s="31" t="n"/>
      <c r="U169" s="31" t="n"/>
      <c r="V169" s="31" t="n"/>
      <c r="W169" s="31" t="n"/>
      <c r="X169" s="31" t="n"/>
      <c r="Y169" s="31" t="n"/>
    </row>
    <row r="170" ht="14.25" customHeight="1">
      <c r="A170" s="31" t="n"/>
      <c r="P170" s="31" t="n"/>
      <c r="Q170" s="31" t="n"/>
      <c r="R170" s="31" t="n"/>
      <c r="S170" s="31" t="n"/>
      <c r="T170" s="31" t="n"/>
      <c r="U170" s="31" t="n"/>
      <c r="V170" s="31" t="n"/>
      <c r="W170" s="31" t="n"/>
      <c r="X170" s="31" t="n"/>
      <c r="Y170" s="31" t="n"/>
    </row>
    <row r="171" ht="14.25" customHeight="1">
      <c r="A171" s="31" t="n"/>
      <c r="P171" s="31" t="n"/>
      <c r="Q171" s="31" t="n"/>
      <c r="R171" s="31" t="n"/>
      <c r="S171" s="31" t="n"/>
      <c r="T171" s="31" t="n"/>
      <c r="U171" s="31" t="n"/>
      <c r="V171" s="31" t="n"/>
      <c r="W171" s="31" t="n"/>
      <c r="X171" s="31" t="n"/>
      <c r="Y171" s="31" t="n"/>
    </row>
    <row r="172" ht="14.25" customHeight="1">
      <c r="A172" s="31" t="n"/>
      <c r="P172" s="31" t="n"/>
      <c r="Q172" s="31" t="n"/>
      <c r="R172" s="31" t="n"/>
      <c r="S172" s="31" t="n"/>
      <c r="T172" s="31" t="n"/>
      <c r="U172" s="31" t="n"/>
      <c r="V172" s="31" t="n"/>
      <c r="W172" s="31" t="n"/>
      <c r="X172" s="31" t="n"/>
      <c r="Y172" s="31" t="n"/>
    </row>
    <row r="173" ht="14.25" customHeight="1">
      <c r="A173" s="31" t="n"/>
      <c r="P173" s="31" t="n"/>
      <c r="Q173" s="31" t="n"/>
      <c r="R173" s="31" t="n"/>
      <c r="S173" s="31" t="n"/>
      <c r="T173" s="31" t="n"/>
      <c r="U173" s="31" t="n"/>
      <c r="V173" s="31" t="n"/>
      <c r="W173" s="31" t="n"/>
      <c r="X173" s="31" t="n"/>
      <c r="Y173" s="31" t="n"/>
    </row>
    <row r="174" ht="14.25" customHeight="1">
      <c r="A174" s="31" t="n"/>
      <c r="P174" s="31" t="n"/>
      <c r="Q174" s="31" t="n"/>
      <c r="R174" s="31" t="n"/>
      <c r="S174" s="31" t="n"/>
      <c r="T174" s="31" t="n"/>
      <c r="U174" s="31" t="n"/>
      <c r="V174" s="31" t="n"/>
      <c r="W174" s="31" t="n"/>
      <c r="X174" s="31" t="n"/>
      <c r="Y174" s="31" t="n"/>
    </row>
    <row r="175" ht="14.25" customHeight="1">
      <c r="A175" s="31" t="n"/>
      <c r="P175" s="31" t="n"/>
      <c r="Q175" s="31" t="n"/>
      <c r="R175" s="31" t="n"/>
      <c r="S175" s="31" t="n"/>
      <c r="T175" s="31" t="n"/>
      <c r="U175" s="31" t="n"/>
      <c r="V175" s="31" t="n"/>
      <c r="W175" s="31" t="n"/>
      <c r="X175" s="31" t="n"/>
      <c r="Y175" s="31" t="n"/>
    </row>
    <row r="176" ht="14.25" customHeight="1">
      <c r="A176" s="31" t="n"/>
      <c r="P176" s="31" t="n"/>
      <c r="Q176" s="31" t="n"/>
      <c r="R176" s="31" t="n"/>
      <c r="S176" s="31" t="n"/>
      <c r="T176" s="31" t="n"/>
      <c r="U176" s="31" t="n"/>
      <c r="V176" s="31" t="n"/>
      <c r="W176" s="31" t="n"/>
      <c r="X176" s="31" t="n"/>
      <c r="Y176" s="31" t="n"/>
    </row>
    <row r="177" ht="14.25" customHeight="1">
      <c r="A177" s="31" t="n"/>
      <c r="P177" s="31" t="n"/>
      <c r="Q177" s="31" t="n"/>
      <c r="R177" s="31" t="n"/>
      <c r="S177" s="31" t="n"/>
      <c r="T177" s="31" t="n"/>
      <c r="U177" s="31" t="n"/>
      <c r="V177" s="31" t="n"/>
      <c r="W177" s="31" t="n"/>
      <c r="X177" s="31" t="n"/>
      <c r="Y177" s="31" t="n"/>
    </row>
    <row r="178" ht="14.25" customHeight="1">
      <c r="A178" s="31" t="n"/>
      <c r="P178" s="31" t="n"/>
      <c r="Q178" s="31" t="n"/>
      <c r="R178" s="31" t="n"/>
      <c r="S178" s="31" t="n"/>
      <c r="T178" s="31" t="n"/>
      <c r="U178" s="31" t="n"/>
      <c r="V178" s="31" t="n"/>
      <c r="W178" s="31" t="n"/>
      <c r="X178" s="31" t="n"/>
      <c r="Y178" s="31" t="n"/>
    </row>
    <row r="179" ht="14.25" customHeight="1">
      <c r="A179" s="31" t="n"/>
      <c r="P179" s="31" t="n"/>
      <c r="Q179" s="31" t="n"/>
      <c r="R179" s="31" t="n"/>
      <c r="S179" s="31" t="n"/>
      <c r="T179" s="31" t="n"/>
      <c r="U179" s="31" t="n"/>
      <c r="V179" s="31" t="n"/>
      <c r="W179" s="31" t="n"/>
      <c r="X179" s="31" t="n"/>
      <c r="Y179" s="31" t="n"/>
    </row>
    <row r="180" ht="14.25" customHeight="1">
      <c r="A180" s="31" t="n"/>
      <c r="P180" s="31" t="n"/>
      <c r="Q180" s="31" t="n"/>
      <c r="R180" s="31" t="n"/>
      <c r="S180" s="31" t="n"/>
      <c r="T180" s="31" t="n"/>
      <c r="U180" s="31" t="n"/>
      <c r="V180" s="31" t="n"/>
      <c r="W180" s="31" t="n"/>
      <c r="X180" s="31" t="n"/>
      <c r="Y180" s="31" t="n"/>
    </row>
    <row r="181" ht="14.25" customHeight="1">
      <c r="A181" s="31" t="n"/>
      <c r="P181" s="31" t="n"/>
      <c r="Q181" s="31" t="n"/>
      <c r="R181" s="31" t="n"/>
      <c r="S181" s="31" t="n"/>
      <c r="T181" s="31" t="n"/>
      <c r="U181" s="31" t="n"/>
      <c r="V181" s="31" t="n"/>
      <c r="W181" s="31" t="n"/>
      <c r="X181" s="31" t="n"/>
      <c r="Y181" s="31" t="n"/>
    </row>
    <row r="182" ht="14.25" customHeight="1">
      <c r="A182" s="31" t="n"/>
      <c r="P182" s="31" t="n"/>
      <c r="Q182" s="31" t="n"/>
      <c r="R182" s="31" t="n"/>
      <c r="S182" s="31" t="n"/>
      <c r="T182" s="31" t="n"/>
      <c r="U182" s="31" t="n"/>
      <c r="V182" s="31" t="n"/>
      <c r="W182" s="31" t="n"/>
      <c r="X182" s="31" t="n"/>
      <c r="Y182" s="31" t="n"/>
    </row>
    <row r="183" ht="14.25" customHeight="1">
      <c r="A183" s="31" t="n"/>
      <c r="P183" s="31" t="n"/>
      <c r="Q183" s="31" t="n"/>
      <c r="R183" s="31" t="n"/>
      <c r="S183" s="31" t="n"/>
      <c r="T183" s="31" t="n"/>
      <c r="U183" s="31" t="n"/>
      <c r="V183" s="31" t="n"/>
      <c r="W183" s="31" t="n"/>
      <c r="X183" s="31" t="n"/>
      <c r="Y183" s="31" t="n"/>
    </row>
    <row r="184" ht="14.25" customHeight="1">
      <c r="A184" s="31" t="n"/>
      <c r="P184" s="31" t="n"/>
      <c r="Q184" s="31" t="n"/>
      <c r="R184" s="31" t="n"/>
      <c r="S184" s="31" t="n"/>
      <c r="T184" s="31" t="n"/>
      <c r="U184" s="31" t="n"/>
      <c r="V184" s="31" t="n"/>
      <c r="W184" s="31" t="n"/>
      <c r="X184" s="31" t="n"/>
      <c r="Y184" s="31" t="n"/>
    </row>
    <row r="185" ht="14.25" customHeight="1">
      <c r="A185" s="31" t="n"/>
      <c r="P185" s="31" t="n"/>
      <c r="Q185" s="31" t="n"/>
      <c r="R185" s="31" t="n"/>
      <c r="S185" s="31" t="n"/>
      <c r="T185" s="31" t="n"/>
      <c r="U185" s="31" t="n"/>
      <c r="V185" s="31" t="n"/>
      <c r="W185" s="31" t="n"/>
      <c r="X185" s="31" t="n"/>
      <c r="Y185" s="31" t="n"/>
    </row>
    <row r="186" ht="14.25" customHeight="1">
      <c r="A186" s="31" t="n"/>
      <c r="P186" s="31" t="n"/>
      <c r="Q186" s="31" t="n"/>
      <c r="R186" s="31" t="n"/>
      <c r="S186" s="31" t="n"/>
      <c r="T186" s="31" t="n"/>
      <c r="U186" s="31" t="n"/>
      <c r="V186" s="31" t="n"/>
      <c r="W186" s="31" t="n"/>
      <c r="X186" s="31" t="n"/>
      <c r="Y186" s="31" t="n"/>
    </row>
    <row r="187" ht="14.25" customHeight="1">
      <c r="A187" s="31" t="n"/>
      <c r="P187" s="31" t="n"/>
      <c r="Q187" s="31" t="n"/>
      <c r="R187" s="31" t="n"/>
      <c r="S187" s="31" t="n"/>
      <c r="T187" s="31" t="n"/>
      <c r="U187" s="31" t="n"/>
      <c r="V187" s="31" t="n"/>
      <c r="W187" s="31" t="n"/>
      <c r="X187" s="31" t="n"/>
      <c r="Y187" s="31" t="n"/>
    </row>
    <row r="188" ht="14.25" customHeight="1">
      <c r="A188" s="31" t="n"/>
      <c r="P188" s="31" t="n"/>
      <c r="Q188" s="31" t="n"/>
      <c r="R188" s="31" t="n"/>
      <c r="S188" s="31" t="n"/>
      <c r="T188" s="31" t="n"/>
      <c r="U188" s="31" t="n"/>
      <c r="V188" s="31" t="n"/>
      <c r="W188" s="31" t="n"/>
      <c r="X188" s="31" t="n"/>
      <c r="Y188" s="31" t="n"/>
    </row>
    <row r="189" ht="14.25" customHeight="1">
      <c r="A189" s="31" t="n"/>
      <c r="P189" s="31" t="n"/>
      <c r="Q189" s="31" t="n"/>
      <c r="R189" s="31" t="n"/>
      <c r="S189" s="31" t="n"/>
      <c r="T189" s="31" t="n"/>
      <c r="U189" s="31" t="n"/>
      <c r="V189" s="31" t="n"/>
      <c r="W189" s="31" t="n"/>
      <c r="X189" s="31" t="n"/>
      <c r="Y189" s="31" t="n"/>
    </row>
    <row r="190" ht="14.25" customHeight="1">
      <c r="A190" s="31" t="n"/>
      <c r="P190" s="31" t="n"/>
      <c r="Q190" s="31" t="n"/>
      <c r="R190" s="31" t="n"/>
      <c r="S190" s="31" t="n"/>
      <c r="T190" s="31" t="n"/>
      <c r="U190" s="31" t="n"/>
      <c r="V190" s="31" t="n"/>
      <c r="W190" s="31" t="n"/>
      <c r="X190" s="31" t="n"/>
      <c r="Y190" s="31" t="n"/>
    </row>
    <row r="191" ht="14.25" customHeight="1">
      <c r="A191" s="31" t="n"/>
      <c r="P191" s="31" t="n"/>
      <c r="Q191" s="31" t="n"/>
      <c r="R191" s="31" t="n"/>
      <c r="S191" s="31" t="n"/>
      <c r="T191" s="31" t="n"/>
      <c r="U191" s="31" t="n"/>
      <c r="V191" s="31" t="n"/>
      <c r="W191" s="31" t="n"/>
      <c r="X191" s="31" t="n"/>
      <c r="Y191" s="31" t="n"/>
    </row>
    <row r="192" ht="14.25" customHeight="1">
      <c r="A192" s="31" t="n"/>
      <c r="P192" s="31" t="n"/>
      <c r="Q192" s="31" t="n"/>
      <c r="R192" s="31" t="n"/>
      <c r="S192" s="31" t="n"/>
      <c r="T192" s="31" t="n"/>
      <c r="U192" s="31" t="n"/>
      <c r="V192" s="31" t="n"/>
      <c r="W192" s="31" t="n"/>
      <c r="X192" s="31" t="n"/>
      <c r="Y192" s="31" t="n"/>
    </row>
    <row r="193" ht="14.25" customHeight="1">
      <c r="A193" s="31" t="n"/>
      <c r="P193" s="31" t="n"/>
      <c r="Q193" s="31" t="n"/>
      <c r="R193" s="31" t="n"/>
      <c r="S193" s="31" t="n"/>
      <c r="T193" s="31" t="n"/>
      <c r="U193" s="31" t="n"/>
      <c r="V193" s="31" t="n"/>
      <c r="W193" s="31" t="n"/>
      <c r="X193" s="31" t="n"/>
      <c r="Y193" s="31" t="n"/>
    </row>
    <row r="194" ht="14.25" customHeight="1">
      <c r="A194" s="31" t="n"/>
      <c r="P194" s="31" t="n"/>
      <c r="Q194" s="31" t="n"/>
      <c r="R194" s="31" t="n"/>
      <c r="S194" s="31" t="n"/>
      <c r="T194" s="31" t="n"/>
      <c r="U194" s="31" t="n"/>
      <c r="V194" s="31" t="n"/>
      <c r="W194" s="31" t="n"/>
      <c r="X194" s="31" t="n"/>
      <c r="Y194" s="31" t="n"/>
    </row>
    <row r="195" ht="14.25" customHeight="1">
      <c r="A195" s="31" t="n"/>
      <c r="P195" s="31" t="n"/>
      <c r="Q195" s="31" t="n"/>
      <c r="R195" s="31" t="n"/>
      <c r="S195" s="31" t="n"/>
      <c r="T195" s="31" t="n"/>
      <c r="U195" s="31" t="n"/>
      <c r="V195" s="31" t="n"/>
      <c r="W195" s="31" t="n"/>
      <c r="X195" s="31" t="n"/>
      <c r="Y195" s="31" t="n"/>
    </row>
    <row r="196" ht="14.25" customHeight="1">
      <c r="A196" s="31" t="n"/>
      <c r="P196" s="31" t="n"/>
      <c r="Q196" s="31" t="n"/>
      <c r="R196" s="31" t="n"/>
      <c r="S196" s="31" t="n"/>
      <c r="T196" s="31" t="n"/>
      <c r="U196" s="31" t="n"/>
      <c r="V196" s="31" t="n"/>
      <c r="W196" s="31" t="n"/>
      <c r="X196" s="31" t="n"/>
      <c r="Y196" s="31" t="n"/>
    </row>
    <row r="197" ht="14.25" customHeight="1">
      <c r="A197" s="31" t="n"/>
      <c r="P197" s="31" t="n"/>
      <c r="Q197" s="31" t="n"/>
      <c r="R197" s="31" t="n"/>
      <c r="S197" s="31" t="n"/>
      <c r="T197" s="31" t="n"/>
      <c r="U197" s="31" t="n"/>
      <c r="V197" s="31" t="n"/>
      <c r="W197" s="31" t="n"/>
      <c r="X197" s="31" t="n"/>
      <c r="Y197" s="31" t="n"/>
    </row>
    <row r="198" ht="14.25" customHeight="1">
      <c r="A198" s="31" t="n"/>
      <c r="P198" s="31" t="n"/>
      <c r="Q198" s="31" t="n"/>
      <c r="R198" s="31" t="n"/>
      <c r="S198" s="31" t="n"/>
      <c r="T198" s="31" t="n"/>
      <c r="U198" s="31" t="n"/>
      <c r="V198" s="31" t="n"/>
      <c r="W198" s="31" t="n"/>
      <c r="X198" s="31" t="n"/>
      <c r="Y198" s="31" t="n"/>
    </row>
    <row r="199" ht="14.25" customHeight="1">
      <c r="A199" s="31" t="n"/>
      <c r="P199" s="31" t="n"/>
      <c r="Q199" s="31" t="n"/>
      <c r="R199" s="31" t="n"/>
      <c r="S199" s="31" t="n"/>
      <c r="T199" s="31" t="n"/>
      <c r="U199" s="31" t="n"/>
      <c r="V199" s="31" t="n"/>
      <c r="W199" s="31" t="n"/>
      <c r="X199" s="31" t="n"/>
      <c r="Y199" s="31" t="n"/>
    </row>
    <row r="200" ht="14.25" customHeight="1">
      <c r="A200" s="31" t="n"/>
      <c r="P200" s="31" t="n"/>
      <c r="Q200" s="31" t="n"/>
      <c r="R200" s="31" t="n"/>
      <c r="S200" s="31" t="n"/>
      <c r="T200" s="31" t="n"/>
      <c r="U200" s="31" t="n"/>
      <c r="V200" s="31" t="n"/>
      <c r="W200" s="31" t="n"/>
      <c r="X200" s="31" t="n"/>
      <c r="Y200" s="31" t="n"/>
    </row>
    <row r="201" ht="14.25" customHeight="1">
      <c r="A201" s="31" t="n"/>
      <c r="P201" s="31" t="n"/>
      <c r="Q201" s="31" t="n"/>
      <c r="R201" s="31" t="n"/>
      <c r="S201" s="31" t="n"/>
      <c r="T201" s="31" t="n"/>
      <c r="U201" s="31" t="n"/>
      <c r="V201" s="31" t="n"/>
      <c r="W201" s="31" t="n"/>
      <c r="X201" s="31" t="n"/>
      <c r="Y201" s="31" t="n"/>
    </row>
    <row r="202" ht="14.25" customHeight="1">
      <c r="A202" s="31" t="n"/>
      <c r="P202" s="31" t="n"/>
      <c r="Q202" s="31" t="n"/>
      <c r="R202" s="31" t="n"/>
      <c r="S202" s="31" t="n"/>
      <c r="T202" s="31" t="n"/>
      <c r="U202" s="31" t="n"/>
      <c r="V202" s="31" t="n"/>
      <c r="W202" s="31" t="n"/>
      <c r="X202" s="31" t="n"/>
      <c r="Y202" s="31" t="n"/>
    </row>
    <row r="203" ht="14.25" customHeight="1">
      <c r="A203" s="31" t="n"/>
      <c r="P203" s="31" t="n"/>
      <c r="Q203" s="31" t="n"/>
      <c r="R203" s="31" t="n"/>
      <c r="S203" s="31" t="n"/>
      <c r="T203" s="31" t="n"/>
      <c r="U203" s="31" t="n"/>
      <c r="V203" s="31" t="n"/>
      <c r="W203" s="31" t="n"/>
      <c r="X203" s="31" t="n"/>
      <c r="Y203" s="31" t="n"/>
    </row>
    <row r="204" ht="14.25" customHeight="1">
      <c r="A204" s="31" t="n"/>
      <c r="P204" s="31" t="n"/>
      <c r="Q204" s="31" t="n"/>
      <c r="R204" s="31" t="n"/>
      <c r="S204" s="31" t="n"/>
      <c r="T204" s="31" t="n"/>
      <c r="U204" s="31" t="n"/>
      <c r="V204" s="31" t="n"/>
      <c r="W204" s="31" t="n"/>
      <c r="X204" s="31" t="n"/>
      <c r="Y204" s="31" t="n"/>
    </row>
    <row r="205" ht="14.25" customHeight="1">
      <c r="A205" s="31" t="n"/>
      <c r="P205" s="31" t="n"/>
      <c r="Q205" s="31" t="n"/>
      <c r="R205" s="31" t="n"/>
      <c r="S205" s="31" t="n"/>
      <c r="T205" s="31" t="n"/>
      <c r="U205" s="31" t="n"/>
      <c r="V205" s="31" t="n"/>
      <c r="W205" s="31" t="n"/>
      <c r="X205" s="31" t="n"/>
      <c r="Y205" s="31" t="n"/>
    </row>
    <row r="206" ht="14.25" customHeight="1">
      <c r="A206" s="31" t="n"/>
      <c r="P206" s="31" t="n"/>
      <c r="Q206" s="31" t="n"/>
      <c r="R206" s="31" t="n"/>
      <c r="S206" s="31" t="n"/>
      <c r="T206" s="31" t="n"/>
      <c r="U206" s="31" t="n"/>
      <c r="V206" s="31" t="n"/>
      <c r="W206" s="31" t="n"/>
      <c r="X206" s="31" t="n"/>
      <c r="Y206" s="31" t="n"/>
    </row>
    <row r="207" ht="14.25" customHeight="1">
      <c r="A207" s="31" t="n"/>
      <c r="P207" s="31" t="n"/>
      <c r="Q207" s="31" t="n"/>
      <c r="R207" s="31" t="n"/>
      <c r="S207" s="31" t="n"/>
      <c r="T207" s="31" t="n"/>
      <c r="U207" s="31" t="n"/>
      <c r="V207" s="31" t="n"/>
      <c r="W207" s="31" t="n"/>
      <c r="X207" s="31" t="n"/>
      <c r="Y207" s="31" t="n"/>
    </row>
    <row r="208" ht="14.25" customHeight="1">
      <c r="A208" s="31" t="n"/>
      <c r="P208" s="31" t="n"/>
      <c r="Q208" s="31" t="n"/>
      <c r="R208" s="31" t="n"/>
      <c r="S208" s="31" t="n"/>
      <c r="T208" s="31" t="n"/>
      <c r="U208" s="31" t="n"/>
      <c r="V208" s="31" t="n"/>
      <c r="W208" s="31" t="n"/>
      <c r="X208" s="31" t="n"/>
      <c r="Y208" s="31" t="n"/>
    </row>
    <row r="209" ht="14.25" customHeight="1">
      <c r="A209" s="31" t="n"/>
      <c r="P209" s="31" t="n"/>
      <c r="Q209" s="31" t="n"/>
      <c r="R209" s="31" t="n"/>
      <c r="S209" s="31" t="n"/>
      <c r="T209" s="31" t="n"/>
      <c r="U209" s="31" t="n"/>
      <c r="V209" s="31" t="n"/>
      <c r="W209" s="31" t="n"/>
      <c r="X209" s="31" t="n"/>
      <c r="Y209" s="31" t="n"/>
    </row>
    <row r="210" ht="14.25" customHeight="1">
      <c r="A210" s="31" t="n"/>
      <c r="P210" s="31" t="n"/>
      <c r="Q210" s="31" t="n"/>
      <c r="R210" s="31" t="n"/>
      <c r="S210" s="31" t="n"/>
      <c r="T210" s="31" t="n"/>
      <c r="U210" s="31" t="n"/>
      <c r="V210" s="31" t="n"/>
      <c r="W210" s="31" t="n"/>
      <c r="X210" s="31" t="n"/>
      <c r="Y210" s="31" t="n"/>
    </row>
    <row r="211" ht="14.25" customHeight="1">
      <c r="A211" s="31" t="n"/>
      <c r="P211" s="31" t="n"/>
      <c r="Q211" s="31" t="n"/>
      <c r="R211" s="31" t="n"/>
      <c r="S211" s="31" t="n"/>
      <c r="T211" s="31" t="n"/>
      <c r="U211" s="31" t="n"/>
      <c r="V211" s="31" t="n"/>
      <c r="W211" s="31" t="n"/>
      <c r="X211" s="31" t="n"/>
      <c r="Y211" s="31" t="n"/>
    </row>
    <row r="212" ht="14.25" customHeight="1">
      <c r="A212" s="31" t="n"/>
      <c r="P212" s="31" t="n"/>
      <c r="Q212" s="31" t="n"/>
      <c r="R212" s="31" t="n"/>
      <c r="S212" s="31" t="n"/>
      <c r="T212" s="31" t="n"/>
      <c r="U212" s="31" t="n"/>
      <c r="V212" s="31" t="n"/>
      <c r="W212" s="31" t="n"/>
      <c r="X212" s="31" t="n"/>
      <c r="Y212" s="31" t="n"/>
    </row>
    <row r="213" ht="14.25" customHeight="1">
      <c r="A213" s="31" t="n"/>
      <c r="P213" s="31" t="n"/>
      <c r="Q213" s="31" t="n"/>
      <c r="R213" s="31" t="n"/>
      <c r="S213" s="31" t="n"/>
      <c r="T213" s="31" t="n"/>
      <c r="U213" s="31" t="n"/>
      <c r="V213" s="31" t="n"/>
      <c r="W213" s="31" t="n"/>
      <c r="X213" s="31" t="n"/>
      <c r="Y213" s="31" t="n"/>
    </row>
    <row r="214" ht="14.25" customHeight="1">
      <c r="A214" s="31" t="n"/>
      <c r="P214" s="31" t="n"/>
      <c r="Q214" s="31" t="n"/>
      <c r="R214" s="31" t="n"/>
      <c r="S214" s="31" t="n"/>
      <c r="T214" s="31" t="n"/>
      <c r="U214" s="31" t="n"/>
      <c r="V214" s="31" t="n"/>
      <c r="W214" s="31" t="n"/>
      <c r="X214" s="31" t="n"/>
      <c r="Y214" s="31" t="n"/>
    </row>
    <row r="215" ht="14.25" customHeight="1">
      <c r="A215" s="31" t="n"/>
      <c r="P215" s="31" t="n"/>
      <c r="Q215" s="31" t="n"/>
      <c r="R215" s="31" t="n"/>
      <c r="S215" s="31" t="n"/>
      <c r="T215" s="31" t="n"/>
      <c r="U215" s="31" t="n"/>
      <c r="V215" s="31" t="n"/>
      <c r="W215" s="31" t="n"/>
      <c r="X215" s="31" t="n"/>
      <c r="Y215" s="31" t="n"/>
    </row>
    <row r="216" ht="14.25" customHeight="1">
      <c r="A216" s="31" t="n"/>
      <c r="P216" s="31" t="n"/>
      <c r="Q216" s="31" t="n"/>
      <c r="R216" s="31" t="n"/>
      <c r="S216" s="31" t="n"/>
      <c r="T216" s="31" t="n"/>
      <c r="U216" s="31" t="n"/>
      <c r="V216" s="31" t="n"/>
      <c r="W216" s="31" t="n"/>
      <c r="X216" s="31" t="n"/>
      <c r="Y216" s="31" t="n"/>
    </row>
    <row r="217" ht="14.25" customHeight="1">
      <c r="A217" s="31" t="n"/>
      <c r="P217" s="31" t="n"/>
      <c r="Q217" s="31" t="n"/>
      <c r="R217" s="31" t="n"/>
      <c r="S217" s="31" t="n"/>
      <c r="T217" s="31" t="n"/>
      <c r="U217" s="31" t="n"/>
      <c r="V217" s="31" t="n"/>
      <c r="W217" s="31" t="n"/>
      <c r="X217" s="31" t="n"/>
      <c r="Y217" s="31" t="n"/>
    </row>
    <row r="218" ht="14.25" customHeight="1">
      <c r="A218" s="31" t="n"/>
      <c r="P218" s="31" t="n"/>
      <c r="Q218" s="31" t="n"/>
      <c r="R218" s="31" t="n"/>
      <c r="S218" s="31" t="n"/>
      <c r="T218" s="31" t="n"/>
      <c r="U218" s="31" t="n"/>
      <c r="V218" s="31" t="n"/>
      <c r="W218" s="31" t="n"/>
      <c r="X218" s="31" t="n"/>
      <c r="Y218" s="31" t="n"/>
    </row>
    <row r="219" ht="14.25" customHeight="1">
      <c r="A219" s="31" t="n"/>
      <c r="P219" s="31" t="n"/>
      <c r="Q219" s="31" t="n"/>
      <c r="R219" s="31" t="n"/>
      <c r="S219" s="31" t="n"/>
      <c r="T219" s="31" t="n"/>
      <c r="U219" s="31" t="n"/>
      <c r="V219" s="31" t="n"/>
      <c r="W219" s="31" t="n"/>
      <c r="X219" s="31" t="n"/>
      <c r="Y219" s="31" t="n"/>
    </row>
    <row r="220" ht="14.25" customHeight="1">
      <c r="A220" s="31" t="n"/>
      <c r="P220" s="31" t="n"/>
      <c r="Q220" s="31" t="n"/>
      <c r="R220" s="31" t="n"/>
      <c r="S220" s="31" t="n"/>
      <c r="T220" s="31" t="n"/>
      <c r="U220" s="31" t="n"/>
      <c r="V220" s="31" t="n"/>
      <c r="W220" s="31" t="n"/>
      <c r="X220" s="31" t="n"/>
      <c r="Y220" s="31" t="n"/>
    </row>
    <row r="221" ht="14.25" customHeight="1">
      <c r="A221" s="31" t="n"/>
      <c r="P221" s="31" t="n"/>
      <c r="Q221" s="31" t="n"/>
      <c r="R221" s="31" t="n"/>
      <c r="S221" s="31" t="n"/>
      <c r="T221" s="31" t="n"/>
      <c r="U221" s="31" t="n"/>
      <c r="V221" s="31" t="n"/>
      <c r="W221" s="31" t="n"/>
      <c r="X221" s="31" t="n"/>
      <c r="Y221" s="31" t="n"/>
    </row>
    <row r="222" ht="14.25" customHeight="1">
      <c r="A222" s="31" t="n"/>
      <c r="P222" s="31" t="n"/>
      <c r="Q222" s="31" t="n"/>
      <c r="R222" s="31" t="n"/>
      <c r="S222" s="31" t="n"/>
      <c r="T222" s="31" t="n"/>
      <c r="U222" s="31" t="n"/>
      <c r="V222" s="31" t="n"/>
      <c r="W222" s="31" t="n"/>
      <c r="X222" s="31" t="n"/>
      <c r="Y222" s="31" t="n"/>
    </row>
    <row r="223" ht="14.25" customHeight="1">
      <c r="A223" s="31" t="n"/>
      <c r="P223" s="31" t="n"/>
      <c r="Q223" s="31" t="n"/>
      <c r="R223" s="31" t="n"/>
      <c r="S223" s="31" t="n"/>
      <c r="T223" s="31" t="n"/>
      <c r="U223" s="31" t="n"/>
      <c r="V223" s="31" t="n"/>
      <c r="W223" s="31" t="n"/>
      <c r="X223" s="31" t="n"/>
      <c r="Y223" s="31" t="n"/>
    </row>
    <row r="224" ht="14.25" customHeight="1">
      <c r="A224" s="31" t="n"/>
      <c r="P224" s="31" t="n"/>
      <c r="Q224" s="31" t="n"/>
      <c r="R224" s="31" t="n"/>
      <c r="S224" s="31" t="n"/>
      <c r="T224" s="31" t="n"/>
      <c r="U224" s="31" t="n"/>
      <c r="V224" s="31" t="n"/>
      <c r="W224" s="31" t="n"/>
      <c r="X224" s="31" t="n"/>
      <c r="Y224" s="31" t="n"/>
    </row>
    <row r="225" ht="14.25" customHeight="1">
      <c r="A225" s="31" t="n"/>
      <c r="P225" s="31" t="n"/>
      <c r="Q225" s="31" t="n"/>
      <c r="R225" s="31" t="n"/>
      <c r="S225" s="31" t="n"/>
      <c r="T225" s="31" t="n"/>
      <c r="U225" s="31" t="n"/>
      <c r="V225" s="31" t="n"/>
      <c r="W225" s="31" t="n"/>
      <c r="X225" s="31" t="n"/>
      <c r="Y225" s="31" t="n"/>
    </row>
    <row r="226" ht="14.25" customHeight="1">
      <c r="A226" s="31" t="n"/>
      <c r="P226" s="31" t="n"/>
      <c r="Q226" s="31" t="n"/>
      <c r="R226" s="31" t="n"/>
      <c r="S226" s="31" t="n"/>
      <c r="T226" s="31" t="n"/>
      <c r="U226" s="31" t="n"/>
      <c r="V226" s="31" t="n"/>
      <c r="W226" s="31" t="n"/>
      <c r="X226" s="31" t="n"/>
      <c r="Y226" s="31" t="n"/>
    </row>
    <row r="227" ht="14.25" customHeight="1">
      <c r="A227" s="31" t="n"/>
      <c r="P227" s="31" t="n"/>
      <c r="Q227" s="31" t="n"/>
      <c r="R227" s="31" t="n"/>
      <c r="S227" s="31" t="n"/>
      <c r="T227" s="31" t="n"/>
      <c r="U227" s="31" t="n"/>
      <c r="V227" s="31" t="n"/>
      <c r="W227" s="31" t="n"/>
      <c r="X227" s="31" t="n"/>
      <c r="Y227" s="31" t="n"/>
    </row>
    <row r="228" ht="14.25" customHeight="1">
      <c r="A228" s="31" t="n"/>
      <c r="P228" s="31" t="n"/>
      <c r="Q228" s="31" t="n"/>
      <c r="R228" s="31" t="n"/>
      <c r="S228" s="31" t="n"/>
      <c r="T228" s="31" t="n"/>
      <c r="U228" s="31" t="n"/>
      <c r="V228" s="31" t="n"/>
      <c r="W228" s="31" t="n"/>
      <c r="X228" s="31" t="n"/>
      <c r="Y228" s="31" t="n"/>
    </row>
    <row r="229" ht="14.25" customHeight="1">
      <c r="A229" s="31" t="n"/>
      <c r="P229" s="31" t="n"/>
      <c r="Q229" s="31" t="n"/>
      <c r="R229" s="31" t="n"/>
      <c r="S229" s="31" t="n"/>
      <c r="T229" s="31" t="n"/>
      <c r="U229" s="31" t="n"/>
      <c r="V229" s="31" t="n"/>
      <c r="W229" s="31" t="n"/>
      <c r="X229" s="31" t="n"/>
      <c r="Y229" s="31" t="n"/>
    </row>
    <row r="230" ht="14.25" customHeight="1">
      <c r="A230" s="31" t="n"/>
      <c r="P230" s="31" t="n"/>
      <c r="Q230" s="31" t="n"/>
      <c r="R230" s="31" t="n"/>
      <c r="S230" s="31" t="n"/>
      <c r="T230" s="31" t="n"/>
      <c r="U230" s="31" t="n"/>
      <c r="V230" s="31" t="n"/>
      <c r="W230" s="31" t="n"/>
      <c r="X230" s="31" t="n"/>
      <c r="Y230" s="31" t="n"/>
    </row>
    <row r="231" ht="14.25" customHeight="1">
      <c r="A231" s="31" t="n"/>
      <c r="P231" s="31" t="n"/>
      <c r="Q231" s="31" t="n"/>
      <c r="R231" s="31" t="n"/>
      <c r="S231" s="31" t="n"/>
      <c r="T231" s="31" t="n"/>
      <c r="U231" s="31" t="n"/>
      <c r="V231" s="31" t="n"/>
      <c r="W231" s="31" t="n"/>
      <c r="X231" s="31" t="n"/>
      <c r="Y231" s="31" t="n"/>
    </row>
    <row r="232" ht="14.25" customHeight="1">
      <c r="A232" s="31" t="n"/>
      <c r="P232" s="31" t="n"/>
      <c r="Q232" s="31" t="n"/>
      <c r="R232" s="31" t="n"/>
      <c r="S232" s="31" t="n"/>
      <c r="T232" s="31" t="n"/>
      <c r="U232" s="31" t="n"/>
      <c r="V232" s="31" t="n"/>
      <c r="W232" s="31" t="n"/>
      <c r="X232" s="31" t="n"/>
      <c r="Y232" s="31" t="n"/>
    </row>
    <row r="233" ht="14.25" customHeight="1">
      <c r="A233" s="31" t="n"/>
      <c r="P233" s="31" t="n"/>
      <c r="Q233" s="31" t="n"/>
      <c r="R233" s="31" t="n"/>
      <c r="S233" s="31" t="n"/>
      <c r="T233" s="31" t="n"/>
      <c r="U233" s="31" t="n"/>
      <c r="V233" s="31" t="n"/>
      <c r="W233" s="31" t="n"/>
      <c r="X233" s="31" t="n"/>
      <c r="Y233" s="31" t="n"/>
    </row>
    <row r="234" ht="14.25" customHeight="1">
      <c r="A234" s="31" t="n"/>
      <c r="P234" s="31" t="n"/>
      <c r="Q234" s="31" t="n"/>
      <c r="R234" s="31" t="n"/>
      <c r="S234" s="31" t="n"/>
      <c r="T234" s="31" t="n"/>
      <c r="U234" s="31" t="n"/>
      <c r="V234" s="31" t="n"/>
      <c r="W234" s="31" t="n"/>
      <c r="X234" s="31" t="n"/>
      <c r="Y234" s="31" t="n"/>
    </row>
    <row r="235" ht="14.25" customHeight="1">
      <c r="A235" s="31" t="n"/>
      <c r="P235" s="31" t="n"/>
      <c r="Q235" s="31" t="n"/>
      <c r="R235" s="31" t="n"/>
      <c r="S235" s="31" t="n"/>
      <c r="T235" s="31" t="n"/>
      <c r="U235" s="31" t="n"/>
      <c r="V235" s="31" t="n"/>
      <c r="W235" s="31" t="n"/>
      <c r="X235" s="31" t="n"/>
      <c r="Y235" s="31" t="n"/>
    </row>
    <row r="236" ht="14.25" customHeight="1">
      <c r="A236" s="31" t="n"/>
      <c r="P236" s="31" t="n"/>
      <c r="Q236" s="31" t="n"/>
      <c r="R236" s="31" t="n"/>
      <c r="S236" s="31" t="n"/>
      <c r="T236" s="31" t="n"/>
      <c r="U236" s="31" t="n"/>
      <c r="V236" s="31" t="n"/>
      <c r="W236" s="31" t="n"/>
      <c r="X236" s="31" t="n"/>
      <c r="Y236" s="31" t="n"/>
    </row>
    <row r="237" ht="14.25" customHeight="1">
      <c r="A237" s="31" t="n"/>
      <c r="P237" s="31" t="n"/>
      <c r="Q237" s="31" t="n"/>
      <c r="R237" s="31" t="n"/>
      <c r="S237" s="31" t="n"/>
      <c r="T237" s="31" t="n"/>
      <c r="U237" s="31" t="n"/>
      <c r="V237" s="31" t="n"/>
      <c r="W237" s="31" t="n"/>
      <c r="X237" s="31" t="n"/>
      <c r="Y237" s="31" t="n"/>
    </row>
    <row r="238" ht="14.25" customHeight="1">
      <c r="A238" s="31" t="n"/>
      <c r="P238" s="31" t="n"/>
      <c r="Q238" s="31" t="n"/>
      <c r="R238" s="31" t="n"/>
      <c r="S238" s="31" t="n"/>
      <c r="T238" s="31" t="n"/>
      <c r="U238" s="31" t="n"/>
      <c r="V238" s="31" t="n"/>
      <c r="W238" s="31" t="n"/>
      <c r="X238" s="31" t="n"/>
      <c r="Y238" s="31" t="n"/>
    </row>
    <row r="239" ht="14.25" customHeight="1">
      <c r="A239" s="31" t="n"/>
      <c r="P239" s="31" t="n"/>
      <c r="Q239" s="31" t="n"/>
      <c r="R239" s="31" t="n"/>
      <c r="S239" s="31" t="n"/>
      <c r="T239" s="31" t="n"/>
      <c r="U239" s="31" t="n"/>
      <c r="V239" s="31" t="n"/>
      <c r="W239" s="31" t="n"/>
      <c r="X239" s="31" t="n"/>
      <c r="Y239" s="31" t="n"/>
    </row>
    <row r="240" ht="14.25" customHeight="1">
      <c r="A240" s="31" t="n"/>
      <c r="P240" s="31" t="n"/>
      <c r="Q240" s="31" t="n"/>
      <c r="R240" s="31" t="n"/>
      <c r="S240" s="31" t="n"/>
      <c r="T240" s="31" t="n"/>
      <c r="U240" s="31" t="n"/>
      <c r="V240" s="31" t="n"/>
      <c r="W240" s="31" t="n"/>
      <c r="X240" s="31" t="n"/>
      <c r="Y240" s="31" t="n"/>
    </row>
    <row r="241" ht="14.25" customHeight="1">
      <c r="A241" s="31" t="n"/>
      <c r="P241" s="31" t="n"/>
      <c r="Q241" s="31" t="n"/>
      <c r="R241" s="31" t="n"/>
      <c r="S241" s="31" t="n"/>
      <c r="T241" s="31" t="n"/>
      <c r="U241" s="31" t="n"/>
      <c r="V241" s="31" t="n"/>
      <c r="W241" s="31" t="n"/>
      <c r="X241" s="31" t="n"/>
      <c r="Y241" s="31" t="n"/>
    </row>
    <row r="242" ht="14.25" customHeight="1">
      <c r="A242" s="31" t="n"/>
      <c r="P242" s="31" t="n"/>
      <c r="Q242" s="31" t="n"/>
      <c r="R242" s="31" t="n"/>
      <c r="S242" s="31" t="n"/>
      <c r="T242" s="31" t="n"/>
      <c r="U242" s="31" t="n"/>
      <c r="V242" s="31" t="n"/>
      <c r="W242" s="31" t="n"/>
      <c r="X242" s="31" t="n"/>
      <c r="Y242" s="31" t="n"/>
    </row>
    <row r="243" ht="14.25" customHeight="1">
      <c r="A243" s="31" t="n"/>
      <c r="P243" s="31" t="n"/>
      <c r="Q243" s="31" t="n"/>
      <c r="R243" s="31" t="n"/>
      <c r="S243" s="31" t="n"/>
      <c r="T243" s="31" t="n"/>
      <c r="U243" s="31" t="n"/>
      <c r="V243" s="31" t="n"/>
      <c r="W243" s="31" t="n"/>
      <c r="X243" s="31" t="n"/>
      <c r="Y243" s="31" t="n"/>
    </row>
    <row r="244" ht="14.25" customHeight="1">
      <c r="A244" s="31" t="n"/>
      <c r="P244" s="31" t="n"/>
      <c r="Q244" s="31" t="n"/>
      <c r="R244" s="31" t="n"/>
      <c r="S244" s="31" t="n"/>
      <c r="T244" s="31" t="n"/>
      <c r="U244" s="31" t="n"/>
      <c r="V244" s="31" t="n"/>
      <c r="W244" s="31" t="n"/>
      <c r="X244" s="31" t="n"/>
      <c r="Y244" s="31" t="n"/>
    </row>
    <row r="245" ht="14.25" customHeight="1">
      <c r="A245" s="31" t="n"/>
      <c r="P245" s="31" t="n"/>
      <c r="Q245" s="31" t="n"/>
      <c r="R245" s="31" t="n"/>
      <c r="S245" s="31" t="n"/>
      <c r="T245" s="31" t="n"/>
      <c r="U245" s="31" t="n"/>
      <c r="V245" s="31" t="n"/>
      <c r="W245" s="31" t="n"/>
      <c r="X245" s="31" t="n"/>
      <c r="Y245" s="31" t="n"/>
    </row>
    <row r="246" ht="14.25" customHeight="1">
      <c r="A246" s="31" t="n"/>
      <c r="P246" s="31" t="n"/>
      <c r="Q246" s="31" t="n"/>
      <c r="R246" s="31" t="n"/>
      <c r="S246" s="31" t="n"/>
      <c r="T246" s="31" t="n"/>
      <c r="U246" s="31" t="n"/>
      <c r="V246" s="31" t="n"/>
      <c r="W246" s="31" t="n"/>
      <c r="X246" s="31" t="n"/>
      <c r="Y246" s="31" t="n"/>
    </row>
    <row r="247" ht="14.25" customHeight="1">
      <c r="A247" s="31" t="n"/>
      <c r="P247" s="31" t="n"/>
      <c r="Q247" s="31" t="n"/>
      <c r="R247" s="31" t="n"/>
      <c r="S247" s="31" t="n"/>
      <c r="T247" s="31" t="n"/>
      <c r="U247" s="31" t="n"/>
      <c r="V247" s="31" t="n"/>
      <c r="W247" s="31" t="n"/>
      <c r="X247" s="31" t="n"/>
      <c r="Y247" s="31" t="n"/>
    </row>
    <row r="248" ht="14.25" customHeight="1">
      <c r="A248" s="31" t="n"/>
      <c r="P248" s="31" t="n"/>
      <c r="Q248" s="31" t="n"/>
      <c r="R248" s="31" t="n"/>
      <c r="S248" s="31" t="n"/>
      <c r="T248" s="31" t="n"/>
      <c r="U248" s="31" t="n"/>
      <c r="V248" s="31" t="n"/>
      <c r="W248" s="31" t="n"/>
      <c r="X248" s="31" t="n"/>
      <c r="Y248" s="31" t="n"/>
    </row>
    <row r="249" ht="14.25" customHeight="1">
      <c r="A249" s="31" t="n"/>
      <c r="P249" s="31" t="n"/>
      <c r="Q249" s="31" t="n"/>
      <c r="R249" s="31" t="n"/>
      <c r="S249" s="31" t="n"/>
      <c r="T249" s="31" t="n"/>
      <c r="U249" s="31" t="n"/>
      <c r="V249" s="31" t="n"/>
      <c r="W249" s="31" t="n"/>
      <c r="X249" s="31" t="n"/>
      <c r="Y249" s="31" t="n"/>
    </row>
    <row r="250" ht="14.25" customHeight="1">
      <c r="A250" s="31" t="n"/>
      <c r="P250" s="31" t="n"/>
      <c r="Q250" s="31" t="n"/>
      <c r="R250" s="31" t="n"/>
      <c r="S250" s="31" t="n"/>
      <c r="T250" s="31" t="n"/>
      <c r="U250" s="31" t="n"/>
      <c r="V250" s="31" t="n"/>
      <c r="W250" s="31" t="n"/>
      <c r="X250" s="31" t="n"/>
      <c r="Y250" s="31" t="n"/>
    </row>
    <row r="251" ht="14.25" customHeight="1">
      <c r="A251" s="31" t="n"/>
      <c r="P251" s="31" t="n"/>
      <c r="Q251" s="31" t="n"/>
      <c r="R251" s="31" t="n"/>
      <c r="S251" s="31" t="n"/>
      <c r="T251" s="31" t="n"/>
      <c r="U251" s="31" t="n"/>
      <c r="V251" s="31" t="n"/>
      <c r="W251" s="31" t="n"/>
      <c r="X251" s="31" t="n"/>
      <c r="Y251" s="31" t="n"/>
    </row>
    <row r="252" ht="14.25" customHeight="1">
      <c r="A252" s="31" t="n"/>
      <c r="P252" s="31" t="n"/>
      <c r="Q252" s="31" t="n"/>
      <c r="R252" s="31" t="n"/>
      <c r="S252" s="31" t="n"/>
      <c r="T252" s="31" t="n"/>
      <c r="U252" s="31" t="n"/>
      <c r="V252" s="31" t="n"/>
      <c r="W252" s="31" t="n"/>
      <c r="X252" s="31" t="n"/>
      <c r="Y252" s="31" t="n"/>
    </row>
    <row r="253" ht="14.25" customHeight="1">
      <c r="A253" s="31" t="n"/>
      <c r="P253" s="31" t="n"/>
      <c r="Q253" s="31" t="n"/>
      <c r="R253" s="31" t="n"/>
      <c r="S253" s="31" t="n"/>
      <c r="T253" s="31" t="n"/>
      <c r="U253" s="31" t="n"/>
      <c r="V253" s="31" t="n"/>
      <c r="W253" s="31" t="n"/>
      <c r="X253" s="31" t="n"/>
      <c r="Y253" s="31" t="n"/>
    </row>
    <row r="254" ht="14.25" customHeight="1">
      <c r="A254" s="31" t="n"/>
      <c r="P254" s="31" t="n"/>
      <c r="Q254" s="31" t="n"/>
      <c r="R254" s="31" t="n"/>
      <c r="S254" s="31" t="n"/>
      <c r="T254" s="31" t="n"/>
      <c r="U254" s="31" t="n"/>
      <c r="V254" s="31" t="n"/>
      <c r="W254" s="31" t="n"/>
      <c r="X254" s="31" t="n"/>
      <c r="Y254" s="31" t="n"/>
    </row>
    <row r="255" ht="14.25" customHeight="1">
      <c r="A255" s="31" t="n"/>
      <c r="P255" s="31" t="n"/>
      <c r="Q255" s="31" t="n"/>
      <c r="R255" s="31" t="n"/>
      <c r="S255" s="31" t="n"/>
      <c r="T255" s="31" t="n"/>
      <c r="U255" s="31" t="n"/>
      <c r="V255" s="31" t="n"/>
      <c r="W255" s="31" t="n"/>
      <c r="X255" s="31" t="n"/>
      <c r="Y255" s="31" t="n"/>
    </row>
    <row r="256" ht="14.25" customHeight="1">
      <c r="A256" s="31" t="n"/>
      <c r="P256" s="31" t="n"/>
      <c r="Q256" s="31" t="n"/>
      <c r="R256" s="31" t="n"/>
      <c r="S256" s="31" t="n"/>
      <c r="T256" s="31" t="n"/>
      <c r="U256" s="31" t="n"/>
      <c r="V256" s="31" t="n"/>
      <c r="W256" s="31" t="n"/>
      <c r="X256" s="31" t="n"/>
      <c r="Y256" s="31" t="n"/>
    </row>
    <row r="257" ht="14.25" customHeight="1">
      <c r="A257" s="31" t="n"/>
      <c r="P257" s="31" t="n"/>
      <c r="Q257" s="31" t="n"/>
      <c r="R257" s="31" t="n"/>
      <c r="S257" s="31" t="n"/>
      <c r="T257" s="31" t="n"/>
      <c r="U257" s="31" t="n"/>
      <c r="V257" s="31" t="n"/>
      <c r="W257" s="31" t="n"/>
      <c r="X257" s="31" t="n"/>
      <c r="Y257" s="31" t="n"/>
    </row>
    <row r="258" ht="14.25" customHeight="1">
      <c r="A258" s="31" t="n"/>
      <c r="P258" s="31" t="n"/>
      <c r="Q258" s="31" t="n"/>
      <c r="R258" s="31" t="n"/>
      <c r="S258" s="31" t="n"/>
      <c r="T258" s="31" t="n"/>
      <c r="U258" s="31" t="n"/>
      <c r="V258" s="31" t="n"/>
      <c r="W258" s="31" t="n"/>
      <c r="X258" s="31" t="n"/>
      <c r="Y258" s="31" t="n"/>
    </row>
    <row r="259" ht="14.25" customHeight="1">
      <c r="A259" s="31" t="n"/>
      <c r="P259" s="31" t="n"/>
      <c r="Q259" s="31" t="n"/>
      <c r="R259" s="31" t="n"/>
      <c r="S259" s="31" t="n"/>
      <c r="T259" s="31" t="n"/>
      <c r="U259" s="31" t="n"/>
      <c r="V259" s="31" t="n"/>
      <c r="W259" s="31" t="n"/>
      <c r="X259" s="31" t="n"/>
      <c r="Y259" s="31" t="n"/>
    </row>
    <row r="260" ht="14.25" customHeight="1">
      <c r="A260" s="31" t="n"/>
      <c r="P260" s="31" t="n"/>
      <c r="Q260" s="31" t="n"/>
      <c r="R260" s="31" t="n"/>
      <c r="S260" s="31" t="n"/>
      <c r="T260" s="31" t="n"/>
      <c r="U260" s="31" t="n"/>
      <c r="V260" s="31" t="n"/>
      <c r="W260" s="31" t="n"/>
      <c r="X260" s="31" t="n"/>
      <c r="Y260" s="31" t="n"/>
    </row>
    <row r="261" ht="14.25" customHeight="1">
      <c r="A261" s="31" t="n"/>
      <c r="P261" s="31" t="n"/>
      <c r="Q261" s="31" t="n"/>
      <c r="R261" s="31" t="n"/>
      <c r="S261" s="31" t="n"/>
      <c r="T261" s="31" t="n"/>
      <c r="U261" s="31" t="n"/>
      <c r="V261" s="31" t="n"/>
      <c r="W261" s="31" t="n"/>
      <c r="X261" s="31" t="n"/>
      <c r="Y261" s="31" t="n"/>
    </row>
    <row r="262" ht="14.25" customHeight="1">
      <c r="A262" s="31" t="n"/>
      <c r="P262" s="31" t="n"/>
      <c r="Q262" s="31" t="n"/>
      <c r="R262" s="31" t="n"/>
      <c r="S262" s="31" t="n"/>
      <c r="T262" s="31" t="n"/>
      <c r="U262" s="31" t="n"/>
      <c r="V262" s="31" t="n"/>
      <c r="W262" s="31" t="n"/>
      <c r="X262" s="31" t="n"/>
      <c r="Y262" s="31" t="n"/>
    </row>
    <row r="263" ht="14.25" customHeight="1">
      <c r="A263" s="31" t="n"/>
      <c r="P263" s="31" t="n"/>
      <c r="Q263" s="31" t="n"/>
      <c r="R263" s="31" t="n"/>
      <c r="S263" s="31" t="n"/>
      <c r="T263" s="31" t="n"/>
      <c r="U263" s="31" t="n"/>
      <c r="V263" s="31" t="n"/>
      <c r="W263" s="31" t="n"/>
      <c r="X263" s="31" t="n"/>
      <c r="Y263" s="31" t="n"/>
    </row>
    <row r="264" ht="14.25" customHeight="1">
      <c r="A264" s="31" t="n"/>
      <c r="P264" s="31" t="n"/>
      <c r="Q264" s="31" t="n"/>
      <c r="R264" s="31" t="n"/>
      <c r="S264" s="31" t="n"/>
      <c r="T264" s="31" t="n"/>
      <c r="U264" s="31" t="n"/>
      <c r="V264" s="31" t="n"/>
      <c r="W264" s="31" t="n"/>
      <c r="X264" s="31" t="n"/>
      <c r="Y264" s="31" t="n"/>
    </row>
    <row r="265" ht="14.25" customHeight="1">
      <c r="A265" s="31" t="n"/>
      <c r="P265" s="31" t="n"/>
      <c r="Q265" s="31" t="n"/>
      <c r="R265" s="31" t="n"/>
      <c r="S265" s="31" t="n"/>
      <c r="T265" s="31" t="n"/>
      <c r="U265" s="31" t="n"/>
      <c r="V265" s="31" t="n"/>
      <c r="W265" s="31" t="n"/>
      <c r="X265" s="31" t="n"/>
      <c r="Y265" s="31" t="n"/>
    </row>
    <row r="266" ht="14.25" customHeight="1">
      <c r="A266" s="31" t="n"/>
      <c r="P266" s="31" t="n"/>
      <c r="Q266" s="31" t="n"/>
      <c r="R266" s="31" t="n"/>
      <c r="S266" s="31" t="n"/>
      <c r="T266" s="31" t="n"/>
      <c r="U266" s="31" t="n"/>
      <c r="V266" s="31" t="n"/>
      <c r="W266" s="31" t="n"/>
      <c r="X266" s="31" t="n"/>
      <c r="Y266" s="31" t="n"/>
    </row>
    <row r="267" ht="14.25" customHeight="1">
      <c r="A267" s="31" t="n"/>
      <c r="P267" s="31" t="n"/>
      <c r="Q267" s="31" t="n"/>
      <c r="R267" s="31" t="n"/>
      <c r="S267" s="31" t="n"/>
      <c r="T267" s="31" t="n"/>
      <c r="U267" s="31" t="n"/>
      <c r="V267" s="31" t="n"/>
      <c r="W267" s="31" t="n"/>
      <c r="X267" s="31" t="n"/>
      <c r="Y267" s="31" t="n"/>
    </row>
    <row r="268" ht="14.25" customHeight="1">
      <c r="A268" s="31" t="n"/>
      <c r="P268" s="31" t="n"/>
      <c r="Q268" s="31" t="n"/>
      <c r="R268" s="31" t="n"/>
      <c r="S268" s="31" t="n"/>
      <c r="T268" s="31" t="n"/>
      <c r="U268" s="31" t="n"/>
      <c r="V268" s="31" t="n"/>
      <c r="W268" s="31" t="n"/>
      <c r="X268" s="31" t="n"/>
      <c r="Y268" s="31" t="n"/>
    </row>
    <row r="269" ht="14.25" customHeight="1">
      <c r="A269" s="31" t="n"/>
      <c r="P269" s="31" t="n"/>
      <c r="Q269" s="31" t="n"/>
      <c r="R269" s="31" t="n"/>
      <c r="S269" s="31" t="n"/>
      <c r="T269" s="31" t="n"/>
      <c r="U269" s="31" t="n"/>
      <c r="V269" s="31" t="n"/>
      <c r="W269" s="31" t="n"/>
      <c r="X269" s="31" t="n"/>
      <c r="Y269" s="31" t="n"/>
    </row>
    <row r="270" ht="14.25" customHeight="1">
      <c r="A270" s="31" t="n"/>
      <c r="P270" s="31" t="n"/>
      <c r="Q270" s="31" t="n"/>
      <c r="R270" s="31" t="n"/>
      <c r="S270" s="31" t="n"/>
      <c r="T270" s="31" t="n"/>
      <c r="U270" s="31" t="n"/>
      <c r="V270" s="31" t="n"/>
      <c r="W270" s="31" t="n"/>
      <c r="X270" s="31" t="n"/>
      <c r="Y270" s="31" t="n"/>
    </row>
    <row r="271" ht="14.25" customHeight="1">
      <c r="A271" s="31" t="n"/>
      <c r="P271" s="31" t="n"/>
      <c r="Q271" s="31" t="n"/>
      <c r="R271" s="31" t="n"/>
      <c r="S271" s="31" t="n"/>
      <c r="T271" s="31" t="n"/>
      <c r="U271" s="31" t="n"/>
      <c r="V271" s="31" t="n"/>
      <c r="W271" s="31" t="n"/>
      <c r="X271" s="31" t="n"/>
      <c r="Y271" s="31" t="n"/>
    </row>
    <row r="272" ht="14.25" customHeight="1">
      <c r="A272" s="31" t="n"/>
      <c r="P272" s="31" t="n"/>
      <c r="Q272" s="31" t="n"/>
      <c r="R272" s="31" t="n"/>
      <c r="S272" s="31" t="n"/>
      <c r="T272" s="31" t="n"/>
      <c r="U272" s="31" t="n"/>
      <c r="V272" s="31" t="n"/>
      <c r="W272" s="31" t="n"/>
      <c r="X272" s="31" t="n"/>
      <c r="Y272" s="31" t="n"/>
    </row>
    <row r="273" ht="14.25" customHeight="1">
      <c r="A273" s="31" t="n"/>
      <c r="P273" s="31" t="n"/>
      <c r="Q273" s="31" t="n"/>
      <c r="R273" s="31" t="n"/>
      <c r="S273" s="31" t="n"/>
      <c r="T273" s="31" t="n"/>
      <c r="U273" s="31" t="n"/>
      <c r="V273" s="31" t="n"/>
      <c r="W273" s="31" t="n"/>
      <c r="X273" s="31" t="n"/>
      <c r="Y273" s="31" t="n"/>
    </row>
    <row r="274" ht="14.25" customHeight="1">
      <c r="A274" s="31" t="n"/>
      <c r="P274" s="31" t="n"/>
      <c r="Q274" s="31" t="n"/>
      <c r="R274" s="31" t="n"/>
      <c r="S274" s="31" t="n"/>
      <c r="T274" s="31" t="n"/>
      <c r="U274" s="31" t="n"/>
      <c r="V274" s="31" t="n"/>
      <c r="W274" s="31" t="n"/>
      <c r="X274" s="31" t="n"/>
      <c r="Y274" s="31" t="n"/>
    </row>
    <row r="275" ht="14.25" customHeight="1">
      <c r="A275" s="31" t="n"/>
      <c r="P275" s="31" t="n"/>
      <c r="Q275" s="31" t="n"/>
      <c r="R275" s="31" t="n"/>
      <c r="S275" s="31" t="n"/>
      <c r="T275" s="31" t="n"/>
      <c r="U275" s="31" t="n"/>
      <c r="V275" s="31" t="n"/>
      <c r="W275" s="31" t="n"/>
      <c r="X275" s="31" t="n"/>
      <c r="Y275" s="31" t="n"/>
    </row>
    <row r="276" ht="14.25" customHeight="1">
      <c r="A276" s="31" t="n"/>
      <c r="P276" s="31" t="n"/>
      <c r="Q276" s="31" t="n"/>
      <c r="R276" s="31" t="n"/>
      <c r="S276" s="31" t="n"/>
      <c r="T276" s="31" t="n"/>
      <c r="U276" s="31" t="n"/>
      <c r="V276" s="31" t="n"/>
      <c r="W276" s="31" t="n"/>
      <c r="X276" s="31" t="n"/>
      <c r="Y276" s="31" t="n"/>
    </row>
    <row r="277" ht="14.25" customHeight="1">
      <c r="A277" s="31" t="n"/>
      <c r="P277" s="31" t="n"/>
      <c r="Q277" s="31" t="n"/>
      <c r="R277" s="31" t="n"/>
      <c r="S277" s="31" t="n"/>
      <c r="T277" s="31" t="n"/>
      <c r="U277" s="31" t="n"/>
      <c r="V277" s="31" t="n"/>
      <c r="W277" s="31" t="n"/>
      <c r="X277" s="31" t="n"/>
      <c r="Y277" s="31" t="n"/>
    </row>
    <row r="278" ht="14.25" customHeight="1">
      <c r="A278" s="31" t="n"/>
      <c r="P278" s="31" t="n"/>
      <c r="Q278" s="31" t="n"/>
      <c r="R278" s="31" t="n"/>
      <c r="S278" s="31" t="n"/>
      <c r="T278" s="31" t="n"/>
      <c r="U278" s="31" t="n"/>
      <c r="V278" s="31" t="n"/>
      <c r="W278" s="31" t="n"/>
      <c r="X278" s="31" t="n"/>
      <c r="Y278" s="31" t="n"/>
    </row>
    <row r="279" ht="14.25" customHeight="1">
      <c r="A279" s="31" t="n"/>
      <c r="P279" s="31" t="n"/>
      <c r="Q279" s="31" t="n"/>
      <c r="R279" s="31" t="n"/>
      <c r="S279" s="31" t="n"/>
      <c r="T279" s="31" t="n"/>
      <c r="U279" s="31" t="n"/>
      <c r="V279" s="31" t="n"/>
      <c r="W279" s="31" t="n"/>
      <c r="X279" s="31" t="n"/>
      <c r="Y279" s="31" t="n"/>
    </row>
    <row r="280" ht="14.25" customHeight="1">
      <c r="A280" s="31" t="n"/>
      <c r="P280" s="31" t="n"/>
      <c r="Q280" s="31" t="n"/>
      <c r="R280" s="31" t="n"/>
      <c r="S280" s="31" t="n"/>
      <c r="T280" s="31" t="n"/>
      <c r="U280" s="31" t="n"/>
      <c r="V280" s="31" t="n"/>
      <c r="W280" s="31" t="n"/>
      <c r="X280" s="31" t="n"/>
      <c r="Y280" s="31" t="n"/>
    </row>
    <row r="281" ht="14.25" customHeight="1">
      <c r="A281" s="31" t="n"/>
      <c r="P281" s="31" t="n"/>
      <c r="Q281" s="31" t="n"/>
      <c r="R281" s="31" t="n"/>
      <c r="S281" s="31" t="n"/>
      <c r="T281" s="31" t="n"/>
      <c r="U281" s="31" t="n"/>
      <c r="V281" s="31" t="n"/>
      <c r="W281" s="31" t="n"/>
      <c r="X281" s="31" t="n"/>
      <c r="Y281" s="31" t="n"/>
    </row>
    <row r="282" ht="14.25" customHeight="1">
      <c r="A282" s="31" t="n"/>
      <c r="P282" s="31" t="n"/>
      <c r="Q282" s="31" t="n"/>
      <c r="R282" s="31" t="n"/>
      <c r="S282" s="31" t="n"/>
      <c r="T282" s="31" t="n"/>
      <c r="U282" s="31" t="n"/>
      <c r="V282" s="31" t="n"/>
      <c r="W282" s="31" t="n"/>
      <c r="X282" s="31" t="n"/>
      <c r="Y282" s="31" t="n"/>
    </row>
    <row r="283" ht="14.25" customHeight="1">
      <c r="A283" s="31" t="n"/>
      <c r="P283" s="31" t="n"/>
      <c r="Q283" s="31" t="n"/>
      <c r="R283" s="31" t="n"/>
      <c r="S283" s="31" t="n"/>
      <c r="T283" s="31" t="n"/>
      <c r="U283" s="31" t="n"/>
      <c r="V283" s="31" t="n"/>
      <c r="W283" s="31" t="n"/>
      <c r="X283" s="31" t="n"/>
      <c r="Y283" s="31" t="n"/>
    </row>
    <row r="284" ht="14.25" customHeight="1">
      <c r="A284" s="31" t="n"/>
      <c r="P284" s="31" t="n"/>
      <c r="Q284" s="31" t="n"/>
      <c r="R284" s="31" t="n"/>
      <c r="S284" s="31" t="n"/>
      <c r="T284" s="31" t="n"/>
      <c r="U284" s="31" t="n"/>
      <c r="V284" s="31" t="n"/>
      <c r="W284" s="31" t="n"/>
      <c r="X284" s="31" t="n"/>
      <c r="Y284" s="31" t="n"/>
    </row>
    <row r="285" ht="14.25" customHeight="1">
      <c r="A285" s="31" t="n"/>
      <c r="P285" s="31" t="n"/>
      <c r="Q285" s="31" t="n"/>
      <c r="R285" s="31" t="n"/>
      <c r="S285" s="31" t="n"/>
      <c r="T285" s="31" t="n"/>
      <c r="U285" s="31" t="n"/>
      <c r="V285" s="31" t="n"/>
      <c r="W285" s="31" t="n"/>
      <c r="X285" s="31" t="n"/>
      <c r="Y285" s="31" t="n"/>
    </row>
    <row r="286" ht="14.25" customHeight="1">
      <c r="A286" s="31" t="n"/>
      <c r="P286" s="31" t="n"/>
      <c r="Q286" s="31" t="n"/>
      <c r="R286" s="31" t="n"/>
      <c r="S286" s="31" t="n"/>
      <c r="T286" s="31" t="n"/>
      <c r="U286" s="31" t="n"/>
      <c r="V286" s="31" t="n"/>
      <c r="W286" s="31" t="n"/>
      <c r="X286" s="31" t="n"/>
      <c r="Y286" s="31" t="n"/>
    </row>
    <row r="287" ht="14.25" customHeight="1">
      <c r="A287" s="31" t="n"/>
      <c r="P287" s="31" t="n"/>
      <c r="Q287" s="31" t="n"/>
      <c r="R287" s="31" t="n"/>
      <c r="S287" s="31" t="n"/>
      <c r="T287" s="31" t="n"/>
      <c r="U287" s="31" t="n"/>
      <c r="V287" s="31" t="n"/>
      <c r="W287" s="31" t="n"/>
      <c r="X287" s="31" t="n"/>
      <c r="Y287" s="31" t="n"/>
    </row>
    <row r="288" ht="14.25" customHeight="1">
      <c r="A288" s="31" t="n"/>
      <c r="P288" s="31" t="n"/>
      <c r="Q288" s="31" t="n"/>
      <c r="R288" s="31" t="n"/>
      <c r="S288" s="31" t="n"/>
      <c r="T288" s="31" t="n"/>
      <c r="U288" s="31" t="n"/>
      <c r="V288" s="31" t="n"/>
      <c r="W288" s="31" t="n"/>
      <c r="X288" s="31" t="n"/>
      <c r="Y288" s="31" t="n"/>
    </row>
    <row r="289" ht="14.25" customHeight="1">
      <c r="A289" s="31" t="n"/>
      <c r="P289" s="31" t="n"/>
      <c r="Q289" s="31" t="n"/>
      <c r="R289" s="31" t="n"/>
      <c r="S289" s="31" t="n"/>
      <c r="T289" s="31" t="n"/>
      <c r="U289" s="31" t="n"/>
      <c r="V289" s="31" t="n"/>
      <c r="W289" s="31" t="n"/>
      <c r="X289" s="31" t="n"/>
      <c r="Y289" s="31" t="n"/>
    </row>
    <row r="290" ht="14.25" customHeight="1">
      <c r="A290" s="31" t="n"/>
      <c r="P290" s="31" t="n"/>
      <c r="Q290" s="31" t="n"/>
      <c r="R290" s="31" t="n"/>
      <c r="S290" s="31" t="n"/>
      <c r="T290" s="31" t="n"/>
      <c r="U290" s="31" t="n"/>
      <c r="V290" s="31" t="n"/>
      <c r="W290" s="31" t="n"/>
      <c r="X290" s="31" t="n"/>
      <c r="Y290" s="31" t="n"/>
    </row>
    <row r="291" ht="14.25" customHeight="1">
      <c r="A291" s="31" t="n"/>
      <c r="P291" s="31" t="n"/>
      <c r="Q291" s="31" t="n"/>
      <c r="R291" s="31" t="n"/>
      <c r="S291" s="31" t="n"/>
      <c r="T291" s="31" t="n"/>
      <c r="U291" s="31" t="n"/>
      <c r="V291" s="31" t="n"/>
      <c r="W291" s="31" t="n"/>
      <c r="X291" s="31" t="n"/>
      <c r="Y291" s="31" t="n"/>
    </row>
    <row r="292" ht="14.25" customHeight="1">
      <c r="A292" s="31" t="n"/>
      <c r="P292" s="31" t="n"/>
      <c r="Q292" s="31" t="n"/>
      <c r="R292" s="31" t="n"/>
      <c r="S292" s="31" t="n"/>
      <c r="T292" s="31" t="n"/>
      <c r="U292" s="31" t="n"/>
      <c r="V292" s="31" t="n"/>
      <c r="W292" s="31" t="n"/>
      <c r="X292" s="31" t="n"/>
      <c r="Y292" s="31" t="n"/>
    </row>
    <row r="293" ht="14.25" customHeight="1">
      <c r="A293" s="31" t="n"/>
      <c r="P293" s="31" t="n"/>
      <c r="Q293" s="31" t="n"/>
      <c r="R293" s="31" t="n"/>
      <c r="S293" s="31" t="n"/>
      <c r="T293" s="31" t="n"/>
      <c r="U293" s="31" t="n"/>
      <c r="V293" s="31" t="n"/>
      <c r="W293" s="31" t="n"/>
      <c r="X293" s="31" t="n"/>
      <c r="Y293" s="31" t="n"/>
    </row>
    <row r="294" ht="14.25" customHeight="1">
      <c r="A294" s="31" t="n"/>
      <c r="P294" s="31" t="n"/>
      <c r="Q294" s="31" t="n"/>
      <c r="R294" s="31" t="n"/>
      <c r="S294" s="31" t="n"/>
      <c r="T294" s="31" t="n"/>
      <c r="U294" s="31" t="n"/>
      <c r="V294" s="31" t="n"/>
      <c r="W294" s="31" t="n"/>
      <c r="X294" s="31" t="n"/>
      <c r="Y294" s="31" t="n"/>
    </row>
    <row r="295" ht="14.25" customHeight="1">
      <c r="A295" s="31" t="n"/>
      <c r="P295" s="31" t="n"/>
      <c r="Q295" s="31" t="n"/>
      <c r="R295" s="31" t="n"/>
      <c r="S295" s="31" t="n"/>
      <c r="T295" s="31" t="n"/>
      <c r="U295" s="31" t="n"/>
      <c r="V295" s="31" t="n"/>
      <c r="W295" s="31" t="n"/>
      <c r="X295" s="31" t="n"/>
      <c r="Y295" s="31" t="n"/>
    </row>
    <row r="296" ht="14.25" customHeight="1">
      <c r="A296" s="31" t="n"/>
      <c r="P296" s="31" t="n"/>
      <c r="Q296" s="31" t="n"/>
      <c r="R296" s="31" t="n"/>
      <c r="S296" s="31" t="n"/>
      <c r="T296" s="31" t="n"/>
      <c r="U296" s="31" t="n"/>
      <c r="V296" s="31" t="n"/>
      <c r="W296" s="31" t="n"/>
      <c r="X296" s="31" t="n"/>
      <c r="Y296" s="31" t="n"/>
    </row>
    <row r="297" ht="14.25" customHeight="1">
      <c r="A297" s="31" t="n"/>
      <c r="P297" s="31" t="n"/>
      <c r="Q297" s="31" t="n"/>
      <c r="R297" s="31" t="n"/>
      <c r="S297" s="31" t="n"/>
      <c r="T297" s="31" t="n"/>
      <c r="U297" s="31" t="n"/>
      <c r="V297" s="31" t="n"/>
      <c r="W297" s="31" t="n"/>
      <c r="X297" s="31" t="n"/>
      <c r="Y297" s="31" t="n"/>
    </row>
    <row r="298" ht="14.25" customHeight="1">
      <c r="A298" s="31" t="n"/>
      <c r="P298" s="31" t="n"/>
      <c r="Q298" s="31" t="n"/>
      <c r="R298" s="31" t="n"/>
      <c r="S298" s="31" t="n"/>
      <c r="T298" s="31" t="n"/>
      <c r="U298" s="31" t="n"/>
      <c r="V298" s="31" t="n"/>
      <c r="W298" s="31" t="n"/>
      <c r="X298" s="31" t="n"/>
      <c r="Y298" s="31" t="n"/>
    </row>
    <row r="299" ht="14.25" customHeight="1">
      <c r="A299" s="31" t="n"/>
      <c r="P299" s="31" t="n"/>
      <c r="Q299" s="31" t="n"/>
      <c r="R299" s="31" t="n"/>
      <c r="S299" s="31" t="n"/>
      <c r="T299" s="31" t="n"/>
      <c r="U299" s="31" t="n"/>
      <c r="V299" s="31" t="n"/>
      <c r="W299" s="31" t="n"/>
      <c r="X299" s="31" t="n"/>
      <c r="Y299" s="31" t="n"/>
    </row>
    <row r="300" ht="14.25" customHeight="1">
      <c r="A300" s="31" t="n"/>
      <c r="P300" s="31" t="n"/>
      <c r="Q300" s="31" t="n"/>
      <c r="R300" s="31" t="n"/>
      <c r="S300" s="31" t="n"/>
      <c r="T300" s="31" t="n"/>
      <c r="U300" s="31" t="n"/>
      <c r="V300" s="31" t="n"/>
      <c r="W300" s="31" t="n"/>
      <c r="X300" s="31" t="n"/>
      <c r="Y300" s="31" t="n"/>
    </row>
    <row r="301" ht="14.25" customHeight="1">
      <c r="A301" s="31" t="n"/>
      <c r="P301" s="31" t="n"/>
      <c r="Q301" s="31" t="n"/>
      <c r="R301" s="31" t="n"/>
      <c r="S301" s="31" t="n"/>
      <c r="T301" s="31" t="n"/>
      <c r="U301" s="31" t="n"/>
      <c r="V301" s="31" t="n"/>
      <c r="W301" s="31" t="n"/>
      <c r="X301" s="31" t="n"/>
      <c r="Y301" s="31" t="n"/>
    </row>
    <row r="302" ht="14.25" customHeight="1">
      <c r="A302" s="31" t="n"/>
      <c r="P302" s="31" t="n"/>
      <c r="Q302" s="31" t="n"/>
      <c r="R302" s="31" t="n"/>
      <c r="S302" s="31" t="n"/>
      <c r="T302" s="31" t="n"/>
      <c r="U302" s="31" t="n"/>
      <c r="V302" s="31" t="n"/>
      <c r="W302" s="31" t="n"/>
      <c r="X302" s="31" t="n"/>
      <c r="Y302" s="31" t="n"/>
    </row>
    <row r="303" ht="14.25" customHeight="1">
      <c r="A303" s="31" t="n"/>
      <c r="P303" s="31" t="n"/>
      <c r="Q303" s="31" t="n"/>
      <c r="R303" s="31" t="n"/>
      <c r="S303" s="31" t="n"/>
      <c r="T303" s="31" t="n"/>
      <c r="U303" s="31" t="n"/>
      <c r="V303" s="31" t="n"/>
      <c r="W303" s="31" t="n"/>
      <c r="X303" s="31" t="n"/>
      <c r="Y303" s="31" t="n"/>
    </row>
    <row r="304" ht="14.25" customHeight="1">
      <c r="A304" s="31" t="n"/>
      <c r="P304" s="31" t="n"/>
      <c r="Q304" s="31" t="n"/>
      <c r="R304" s="31" t="n"/>
      <c r="S304" s="31" t="n"/>
      <c r="T304" s="31" t="n"/>
      <c r="U304" s="31" t="n"/>
      <c r="V304" s="31" t="n"/>
      <c r="W304" s="31" t="n"/>
      <c r="X304" s="31" t="n"/>
      <c r="Y304" s="31" t="n"/>
    </row>
    <row r="305" ht="14.25" customHeight="1">
      <c r="A305" s="31" t="n"/>
      <c r="P305" s="31" t="n"/>
      <c r="Q305" s="31" t="n"/>
      <c r="R305" s="31" t="n"/>
      <c r="S305" s="31" t="n"/>
      <c r="T305" s="31" t="n"/>
      <c r="U305" s="31" t="n"/>
      <c r="V305" s="31" t="n"/>
      <c r="W305" s="31" t="n"/>
      <c r="X305" s="31" t="n"/>
      <c r="Y305" s="31" t="n"/>
    </row>
    <row r="306" ht="14.25" customHeight="1">
      <c r="A306" s="31" t="n"/>
      <c r="P306" s="31" t="n"/>
      <c r="Q306" s="31" t="n"/>
      <c r="R306" s="31" t="n"/>
      <c r="S306" s="31" t="n"/>
      <c r="T306" s="31" t="n"/>
      <c r="U306" s="31" t="n"/>
      <c r="V306" s="31" t="n"/>
      <c r="W306" s="31" t="n"/>
      <c r="X306" s="31" t="n"/>
      <c r="Y306" s="31" t="n"/>
    </row>
    <row r="307" ht="14.25" customHeight="1">
      <c r="A307" s="31" t="n"/>
      <c r="P307" s="31" t="n"/>
      <c r="Q307" s="31" t="n"/>
      <c r="R307" s="31" t="n"/>
      <c r="S307" s="31" t="n"/>
      <c r="T307" s="31" t="n"/>
      <c r="U307" s="31" t="n"/>
      <c r="V307" s="31" t="n"/>
      <c r="W307" s="31" t="n"/>
      <c r="X307" s="31" t="n"/>
      <c r="Y307" s="31" t="n"/>
    </row>
    <row r="308" ht="14.25" customHeight="1">
      <c r="A308" s="31" t="n"/>
      <c r="P308" s="31" t="n"/>
      <c r="Q308" s="31" t="n"/>
      <c r="R308" s="31" t="n"/>
      <c r="S308" s="31" t="n"/>
      <c r="T308" s="31" t="n"/>
      <c r="U308" s="31" t="n"/>
      <c r="V308" s="31" t="n"/>
      <c r="W308" s="31" t="n"/>
      <c r="X308" s="31" t="n"/>
      <c r="Y308" s="31" t="n"/>
    </row>
    <row r="309" ht="14.25" customHeight="1">
      <c r="A309" s="31" t="n"/>
      <c r="P309" s="31" t="n"/>
      <c r="Q309" s="31" t="n"/>
      <c r="R309" s="31" t="n"/>
      <c r="S309" s="31" t="n"/>
      <c r="T309" s="31" t="n"/>
      <c r="U309" s="31" t="n"/>
      <c r="V309" s="31" t="n"/>
      <c r="W309" s="31" t="n"/>
      <c r="X309" s="31" t="n"/>
      <c r="Y309" s="31" t="n"/>
    </row>
    <row r="310" ht="14.25" customHeight="1">
      <c r="A310" s="31" t="n"/>
      <c r="P310" s="31" t="n"/>
      <c r="Q310" s="31" t="n"/>
      <c r="R310" s="31" t="n"/>
      <c r="S310" s="31" t="n"/>
      <c r="T310" s="31" t="n"/>
      <c r="U310" s="31" t="n"/>
      <c r="V310" s="31" t="n"/>
      <c r="W310" s="31" t="n"/>
      <c r="X310" s="31" t="n"/>
      <c r="Y310" s="31" t="n"/>
    </row>
    <row r="311" ht="14.25" customHeight="1">
      <c r="A311" s="31" t="n"/>
      <c r="P311" s="31" t="n"/>
      <c r="Q311" s="31" t="n"/>
      <c r="R311" s="31" t="n"/>
      <c r="S311" s="31" t="n"/>
      <c r="T311" s="31" t="n"/>
      <c r="U311" s="31" t="n"/>
      <c r="V311" s="31" t="n"/>
      <c r="W311" s="31" t="n"/>
      <c r="X311" s="31" t="n"/>
      <c r="Y311" s="31" t="n"/>
    </row>
    <row r="312" ht="14.25" customHeight="1">
      <c r="A312" s="31" t="n"/>
      <c r="P312" s="31" t="n"/>
      <c r="Q312" s="31" t="n"/>
      <c r="R312" s="31" t="n"/>
      <c r="S312" s="31" t="n"/>
      <c r="T312" s="31" t="n"/>
      <c r="U312" s="31" t="n"/>
      <c r="V312" s="31" t="n"/>
      <c r="W312" s="31" t="n"/>
      <c r="X312" s="31" t="n"/>
      <c r="Y312" s="31" t="n"/>
    </row>
    <row r="313" ht="14.25" customHeight="1">
      <c r="A313" s="31" t="n"/>
      <c r="P313" s="31" t="n"/>
      <c r="Q313" s="31" t="n"/>
      <c r="R313" s="31" t="n"/>
      <c r="S313" s="31" t="n"/>
      <c r="T313" s="31" t="n"/>
      <c r="U313" s="31" t="n"/>
      <c r="V313" s="31" t="n"/>
      <c r="W313" s="31" t="n"/>
      <c r="X313" s="31" t="n"/>
      <c r="Y313" s="31" t="n"/>
    </row>
    <row r="314" ht="14.25" customHeight="1">
      <c r="A314" s="31" t="n"/>
      <c r="P314" s="31" t="n"/>
      <c r="Q314" s="31" t="n"/>
      <c r="R314" s="31" t="n"/>
      <c r="S314" s="31" t="n"/>
      <c r="T314" s="31" t="n"/>
      <c r="U314" s="31" t="n"/>
      <c r="V314" s="31" t="n"/>
      <c r="W314" s="31" t="n"/>
      <c r="X314" s="31" t="n"/>
      <c r="Y314" s="31" t="n"/>
    </row>
    <row r="315" ht="14.25" customHeight="1">
      <c r="A315" s="31" t="n"/>
      <c r="P315" s="31" t="n"/>
      <c r="Q315" s="31" t="n"/>
      <c r="R315" s="31" t="n"/>
      <c r="S315" s="31" t="n"/>
      <c r="T315" s="31" t="n"/>
      <c r="U315" s="31" t="n"/>
      <c r="V315" s="31" t="n"/>
      <c r="W315" s="31" t="n"/>
      <c r="X315" s="31" t="n"/>
      <c r="Y315" s="31" t="n"/>
    </row>
    <row r="316" ht="14.25" customHeight="1">
      <c r="A316" s="31" t="n"/>
      <c r="P316" s="31" t="n"/>
      <c r="Q316" s="31" t="n"/>
      <c r="R316" s="31" t="n"/>
      <c r="S316" s="31" t="n"/>
      <c r="T316" s="31" t="n"/>
      <c r="U316" s="31" t="n"/>
      <c r="V316" s="31" t="n"/>
      <c r="W316" s="31" t="n"/>
      <c r="X316" s="31" t="n"/>
      <c r="Y316" s="31" t="n"/>
    </row>
    <row r="317" ht="14.25" customHeight="1">
      <c r="A317" s="31" t="n"/>
      <c r="P317" s="31" t="n"/>
      <c r="Q317" s="31" t="n"/>
      <c r="R317" s="31" t="n"/>
      <c r="S317" s="31" t="n"/>
      <c r="T317" s="31" t="n"/>
      <c r="U317" s="31" t="n"/>
      <c r="V317" s="31" t="n"/>
      <c r="W317" s="31" t="n"/>
      <c r="X317" s="31" t="n"/>
      <c r="Y317" s="31" t="n"/>
    </row>
    <row r="318" ht="14.25" customHeight="1">
      <c r="A318" s="31" t="n"/>
      <c r="P318" s="31" t="n"/>
      <c r="Q318" s="31" t="n"/>
      <c r="R318" s="31" t="n"/>
      <c r="S318" s="31" t="n"/>
      <c r="T318" s="31" t="n"/>
      <c r="U318" s="31" t="n"/>
      <c r="V318" s="31" t="n"/>
      <c r="W318" s="31" t="n"/>
      <c r="X318" s="31" t="n"/>
      <c r="Y318" s="31" t="n"/>
    </row>
    <row r="319" ht="14.25" customHeight="1">
      <c r="A319" s="31" t="n"/>
      <c r="P319" s="31" t="n"/>
      <c r="Q319" s="31" t="n"/>
      <c r="R319" s="31" t="n"/>
      <c r="S319" s="31" t="n"/>
      <c r="T319" s="31" t="n"/>
      <c r="U319" s="31" t="n"/>
      <c r="V319" s="31" t="n"/>
      <c r="W319" s="31" t="n"/>
      <c r="X319" s="31" t="n"/>
      <c r="Y319" s="31" t="n"/>
    </row>
    <row r="320" ht="14.25" customHeight="1">
      <c r="A320" s="31" t="n"/>
      <c r="P320" s="31" t="n"/>
      <c r="Q320" s="31" t="n"/>
      <c r="R320" s="31" t="n"/>
      <c r="S320" s="31" t="n"/>
      <c r="T320" s="31" t="n"/>
      <c r="U320" s="31" t="n"/>
      <c r="V320" s="31" t="n"/>
      <c r="W320" s="31" t="n"/>
      <c r="X320" s="31" t="n"/>
      <c r="Y320" s="31" t="n"/>
    </row>
    <row r="321" ht="14.25" customHeight="1">
      <c r="A321" s="31" t="n"/>
      <c r="P321" s="31" t="n"/>
      <c r="Q321" s="31" t="n"/>
      <c r="R321" s="31" t="n"/>
      <c r="S321" s="31" t="n"/>
      <c r="T321" s="31" t="n"/>
      <c r="U321" s="31" t="n"/>
      <c r="V321" s="31" t="n"/>
      <c r="W321" s="31" t="n"/>
      <c r="X321" s="31" t="n"/>
      <c r="Y321" s="31" t="n"/>
    </row>
    <row r="322" ht="14.25" customHeight="1">
      <c r="A322" s="31" t="n"/>
      <c r="P322" s="31" t="n"/>
      <c r="Q322" s="31" t="n"/>
      <c r="R322" s="31" t="n"/>
      <c r="S322" s="31" t="n"/>
      <c r="T322" s="31" t="n"/>
      <c r="U322" s="31" t="n"/>
      <c r="V322" s="31" t="n"/>
      <c r="W322" s="31" t="n"/>
      <c r="X322" s="31" t="n"/>
      <c r="Y322" s="31" t="n"/>
    </row>
    <row r="323" ht="14.25" customHeight="1">
      <c r="A323" s="31" t="n"/>
      <c r="P323" s="31" t="n"/>
      <c r="Q323" s="31" t="n"/>
      <c r="R323" s="31" t="n"/>
      <c r="S323" s="31" t="n"/>
      <c r="T323" s="31" t="n"/>
      <c r="U323" s="31" t="n"/>
      <c r="V323" s="31" t="n"/>
      <c r="W323" s="31" t="n"/>
      <c r="X323" s="31" t="n"/>
      <c r="Y323" s="31" t="n"/>
    </row>
    <row r="324" ht="14.25" customHeight="1">
      <c r="A324" s="31" t="n"/>
      <c r="P324" s="31" t="n"/>
      <c r="Q324" s="31" t="n"/>
      <c r="R324" s="31" t="n"/>
      <c r="S324" s="31" t="n"/>
      <c r="T324" s="31" t="n"/>
      <c r="U324" s="31" t="n"/>
      <c r="V324" s="31" t="n"/>
      <c r="W324" s="31" t="n"/>
      <c r="X324" s="31" t="n"/>
      <c r="Y324" s="31" t="n"/>
    </row>
    <row r="325" ht="14.25" customHeight="1">
      <c r="A325" s="31" t="n"/>
      <c r="P325" s="31" t="n"/>
      <c r="Q325" s="31" t="n"/>
      <c r="R325" s="31" t="n"/>
      <c r="S325" s="31" t="n"/>
      <c r="T325" s="31" t="n"/>
      <c r="U325" s="31" t="n"/>
      <c r="V325" s="31" t="n"/>
      <c r="W325" s="31" t="n"/>
      <c r="X325" s="31" t="n"/>
      <c r="Y325" s="31" t="n"/>
    </row>
    <row r="326" ht="14.25" customHeight="1">
      <c r="A326" s="31" t="n"/>
      <c r="P326" s="31" t="n"/>
      <c r="Q326" s="31" t="n"/>
      <c r="R326" s="31" t="n"/>
      <c r="S326" s="31" t="n"/>
      <c r="T326" s="31" t="n"/>
      <c r="U326" s="31" t="n"/>
      <c r="V326" s="31" t="n"/>
      <c r="W326" s="31" t="n"/>
      <c r="X326" s="31" t="n"/>
      <c r="Y326" s="31" t="n"/>
    </row>
    <row r="327" ht="14.25" customHeight="1">
      <c r="A327" s="31" t="n"/>
      <c r="P327" s="31" t="n"/>
      <c r="Q327" s="31" t="n"/>
      <c r="R327" s="31" t="n"/>
      <c r="S327" s="31" t="n"/>
      <c r="T327" s="31" t="n"/>
      <c r="U327" s="31" t="n"/>
      <c r="V327" s="31" t="n"/>
      <c r="W327" s="31" t="n"/>
      <c r="X327" s="31" t="n"/>
      <c r="Y327" s="31" t="n"/>
    </row>
    <row r="328" ht="14.25" customHeight="1">
      <c r="A328" s="31" t="n"/>
      <c r="P328" s="31" t="n"/>
      <c r="Q328" s="31" t="n"/>
      <c r="R328" s="31" t="n"/>
      <c r="S328" s="31" t="n"/>
      <c r="T328" s="31" t="n"/>
      <c r="U328" s="31" t="n"/>
      <c r="V328" s="31" t="n"/>
      <c r="W328" s="31" t="n"/>
      <c r="X328" s="31" t="n"/>
      <c r="Y328" s="31" t="n"/>
    </row>
    <row r="329" ht="14.25" customHeight="1">
      <c r="A329" s="31" t="n"/>
      <c r="P329" s="31" t="n"/>
      <c r="Q329" s="31" t="n"/>
      <c r="R329" s="31" t="n"/>
      <c r="S329" s="31" t="n"/>
      <c r="T329" s="31" t="n"/>
      <c r="U329" s="31" t="n"/>
      <c r="V329" s="31" t="n"/>
      <c r="W329" s="31" t="n"/>
      <c r="X329" s="31" t="n"/>
      <c r="Y329" s="31" t="n"/>
    </row>
    <row r="330" ht="14.25" customHeight="1">
      <c r="A330" s="31" t="n"/>
      <c r="P330" s="31" t="n"/>
      <c r="Q330" s="31" t="n"/>
      <c r="R330" s="31" t="n"/>
      <c r="S330" s="31" t="n"/>
      <c r="T330" s="31" t="n"/>
      <c r="U330" s="31" t="n"/>
      <c r="V330" s="31" t="n"/>
      <c r="W330" s="31" t="n"/>
      <c r="X330" s="31" t="n"/>
      <c r="Y330" s="31" t="n"/>
    </row>
    <row r="331" ht="14.25" customHeight="1">
      <c r="A331" s="31" t="n"/>
      <c r="P331" s="31" t="n"/>
      <c r="Q331" s="31" t="n"/>
      <c r="R331" s="31" t="n"/>
      <c r="S331" s="31" t="n"/>
      <c r="T331" s="31" t="n"/>
      <c r="U331" s="31" t="n"/>
      <c r="V331" s="31" t="n"/>
      <c r="W331" s="31" t="n"/>
      <c r="X331" s="31" t="n"/>
      <c r="Y331" s="31" t="n"/>
    </row>
    <row r="332" ht="14.25" customHeight="1">
      <c r="A332" s="31" t="n"/>
      <c r="P332" s="31" t="n"/>
      <c r="Q332" s="31" t="n"/>
      <c r="R332" s="31" t="n"/>
      <c r="S332" s="31" t="n"/>
      <c r="T332" s="31" t="n"/>
      <c r="U332" s="31" t="n"/>
      <c r="V332" s="31" t="n"/>
      <c r="W332" s="31" t="n"/>
      <c r="X332" s="31" t="n"/>
      <c r="Y332" s="31" t="n"/>
    </row>
    <row r="333" ht="14.25" customHeight="1">
      <c r="A333" s="31" t="n"/>
      <c r="P333" s="31" t="n"/>
      <c r="Q333" s="31" t="n"/>
      <c r="R333" s="31" t="n"/>
      <c r="S333" s="31" t="n"/>
      <c r="T333" s="31" t="n"/>
      <c r="U333" s="31" t="n"/>
      <c r="V333" s="31" t="n"/>
      <c r="W333" s="31" t="n"/>
      <c r="X333" s="31" t="n"/>
      <c r="Y333" s="31" t="n"/>
    </row>
    <row r="334" ht="14.25" customHeight="1">
      <c r="A334" s="31" t="n"/>
      <c r="P334" s="31" t="n"/>
      <c r="Q334" s="31" t="n"/>
      <c r="R334" s="31" t="n"/>
      <c r="S334" s="31" t="n"/>
      <c r="T334" s="31" t="n"/>
      <c r="U334" s="31" t="n"/>
      <c r="V334" s="31" t="n"/>
      <c r="W334" s="31" t="n"/>
      <c r="X334" s="31" t="n"/>
      <c r="Y334" s="31" t="n"/>
    </row>
    <row r="335" ht="14.25" customHeight="1">
      <c r="A335" s="31" t="n"/>
      <c r="P335" s="31" t="n"/>
      <c r="Q335" s="31" t="n"/>
      <c r="R335" s="31" t="n"/>
      <c r="S335" s="31" t="n"/>
      <c r="T335" s="31" t="n"/>
      <c r="U335" s="31" t="n"/>
      <c r="V335" s="31" t="n"/>
      <c r="W335" s="31" t="n"/>
      <c r="X335" s="31" t="n"/>
      <c r="Y335" s="31" t="n"/>
    </row>
    <row r="336" ht="14.25" customHeight="1">
      <c r="A336" s="31" t="n"/>
      <c r="P336" s="31" t="n"/>
      <c r="Q336" s="31" t="n"/>
      <c r="R336" s="31" t="n"/>
      <c r="S336" s="31" t="n"/>
      <c r="T336" s="31" t="n"/>
      <c r="U336" s="31" t="n"/>
      <c r="V336" s="31" t="n"/>
      <c r="W336" s="31" t="n"/>
      <c r="X336" s="31" t="n"/>
      <c r="Y336" s="31" t="n"/>
    </row>
    <row r="337" ht="14.25" customHeight="1">
      <c r="A337" s="31" t="n"/>
      <c r="P337" s="31" t="n"/>
      <c r="Q337" s="31" t="n"/>
      <c r="R337" s="31" t="n"/>
      <c r="S337" s="31" t="n"/>
      <c r="T337" s="31" t="n"/>
      <c r="U337" s="31" t="n"/>
      <c r="V337" s="31" t="n"/>
      <c r="W337" s="31" t="n"/>
      <c r="X337" s="31" t="n"/>
      <c r="Y337" s="31" t="n"/>
    </row>
    <row r="338" ht="14.25" customHeight="1">
      <c r="A338" s="31" t="n"/>
      <c r="P338" s="31" t="n"/>
      <c r="Q338" s="31" t="n"/>
      <c r="R338" s="31" t="n"/>
      <c r="S338" s="31" t="n"/>
      <c r="T338" s="31" t="n"/>
      <c r="U338" s="31" t="n"/>
      <c r="V338" s="31" t="n"/>
      <c r="W338" s="31" t="n"/>
      <c r="X338" s="31" t="n"/>
      <c r="Y338" s="31" t="n"/>
    </row>
    <row r="339" ht="14.25" customHeight="1">
      <c r="A339" s="31" t="n"/>
      <c r="P339" s="31" t="n"/>
      <c r="Q339" s="31" t="n"/>
      <c r="R339" s="31" t="n"/>
      <c r="S339" s="31" t="n"/>
      <c r="T339" s="31" t="n"/>
      <c r="U339" s="31" t="n"/>
      <c r="V339" s="31" t="n"/>
      <c r="W339" s="31" t="n"/>
      <c r="X339" s="31" t="n"/>
      <c r="Y339" s="31" t="n"/>
    </row>
    <row r="340" ht="14.25" customHeight="1">
      <c r="A340" s="31" t="n"/>
      <c r="P340" s="31" t="n"/>
      <c r="Q340" s="31" t="n"/>
      <c r="R340" s="31" t="n"/>
      <c r="S340" s="31" t="n"/>
      <c r="T340" s="31" t="n"/>
      <c r="U340" s="31" t="n"/>
      <c r="V340" s="31" t="n"/>
      <c r="W340" s="31" t="n"/>
      <c r="X340" s="31" t="n"/>
      <c r="Y340" s="31" t="n"/>
    </row>
    <row r="341" ht="14.25" customHeight="1">
      <c r="A341" s="31" t="n"/>
      <c r="P341" s="31" t="n"/>
      <c r="Q341" s="31" t="n"/>
      <c r="R341" s="31" t="n"/>
      <c r="S341" s="31" t="n"/>
      <c r="T341" s="31" t="n"/>
      <c r="U341" s="31" t="n"/>
      <c r="V341" s="31" t="n"/>
      <c r="W341" s="31" t="n"/>
      <c r="X341" s="31" t="n"/>
      <c r="Y341" s="31" t="n"/>
    </row>
    <row r="342" ht="14.25" customHeight="1">
      <c r="A342" s="31" t="n"/>
      <c r="P342" s="31" t="n"/>
      <c r="Q342" s="31" t="n"/>
      <c r="R342" s="31" t="n"/>
      <c r="S342" s="31" t="n"/>
      <c r="T342" s="31" t="n"/>
      <c r="U342" s="31" t="n"/>
      <c r="V342" s="31" t="n"/>
      <c r="W342" s="31" t="n"/>
      <c r="X342" s="31" t="n"/>
      <c r="Y342" s="31" t="n"/>
    </row>
    <row r="343" ht="14.25" customHeight="1">
      <c r="A343" s="31" t="n"/>
      <c r="P343" s="31" t="n"/>
      <c r="Q343" s="31" t="n"/>
      <c r="R343" s="31" t="n"/>
      <c r="S343" s="31" t="n"/>
      <c r="T343" s="31" t="n"/>
      <c r="U343" s="31" t="n"/>
      <c r="V343" s="31" t="n"/>
      <c r="W343" s="31" t="n"/>
      <c r="X343" s="31" t="n"/>
      <c r="Y343" s="31" t="n"/>
    </row>
    <row r="344" ht="14.25" customHeight="1">
      <c r="A344" s="31" t="n"/>
      <c r="P344" s="31" t="n"/>
      <c r="Q344" s="31" t="n"/>
      <c r="R344" s="31" t="n"/>
      <c r="S344" s="31" t="n"/>
      <c r="T344" s="31" t="n"/>
      <c r="U344" s="31" t="n"/>
      <c r="V344" s="31" t="n"/>
      <c r="W344" s="31" t="n"/>
      <c r="X344" s="31" t="n"/>
      <c r="Y344" s="31" t="n"/>
    </row>
    <row r="345" ht="14.25" customHeight="1">
      <c r="A345" s="31" t="n"/>
      <c r="P345" s="31" t="n"/>
      <c r="Q345" s="31" t="n"/>
      <c r="R345" s="31" t="n"/>
      <c r="S345" s="31" t="n"/>
      <c r="T345" s="31" t="n"/>
      <c r="U345" s="31" t="n"/>
      <c r="V345" s="31" t="n"/>
      <c r="W345" s="31" t="n"/>
      <c r="X345" s="31" t="n"/>
      <c r="Y345" s="31" t="n"/>
    </row>
    <row r="346" ht="14.25" customHeight="1">
      <c r="A346" s="31" t="n"/>
      <c r="P346" s="31" t="n"/>
      <c r="Q346" s="31" t="n"/>
      <c r="R346" s="31" t="n"/>
      <c r="S346" s="31" t="n"/>
      <c r="T346" s="31" t="n"/>
      <c r="U346" s="31" t="n"/>
      <c r="V346" s="31" t="n"/>
      <c r="W346" s="31" t="n"/>
      <c r="X346" s="31" t="n"/>
      <c r="Y346" s="31" t="n"/>
    </row>
    <row r="347" ht="14.25" customHeight="1">
      <c r="A347" s="31" t="n"/>
      <c r="P347" s="31" t="n"/>
      <c r="Q347" s="31" t="n"/>
      <c r="R347" s="31" t="n"/>
      <c r="S347" s="31" t="n"/>
      <c r="T347" s="31" t="n"/>
      <c r="U347" s="31" t="n"/>
      <c r="V347" s="31" t="n"/>
      <c r="W347" s="31" t="n"/>
      <c r="X347" s="31" t="n"/>
      <c r="Y347" s="31" t="n"/>
    </row>
    <row r="348" ht="14.25" customHeight="1">
      <c r="A348" s="31" t="n"/>
      <c r="P348" s="31" t="n"/>
      <c r="Q348" s="31" t="n"/>
      <c r="R348" s="31" t="n"/>
      <c r="S348" s="31" t="n"/>
      <c r="T348" s="31" t="n"/>
      <c r="U348" s="31" t="n"/>
      <c r="V348" s="31" t="n"/>
      <c r="W348" s="31" t="n"/>
      <c r="X348" s="31" t="n"/>
      <c r="Y348" s="31" t="n"/>
    </row>
    <row r="349" ht="14.25" customHeight="1">
      <c r="A349" s="31" t="n"/>
      <c r="P349" s="31" t="n"/>
      <c r="Q349" s="31" t="n"/>
      <c r="R349" s="31" t="n"/>
      <c r="S349" s="31" t="n"/>
      <c r="T349" s="31" t="n"/>
      <c r="U349" s="31" t="n"/>
      <c r="V349" s="31" t="n"/>
      <c r="W349" s="31" t="n"/>
      <c r="X349" s="31" t="n"/>
      <c r="Y349" s="31" t="n"/>
    </row>
    <row r="350" ht="14.25" customHeight="1">
      <c r="A350" s="31" t="n"/>
      <c r="P350" s="31" t="n"/>
      <c r="Q350" s="31" t="n"/>
      <c r="R350" s="31" t="n"/>
      <c r="S350" s="31" t="n"/>
      <c r="T350" s="31" t="n"/>
      <c r="U350" s="31" t="n"/>
      <c r="V350" s="31" t="n"/>
      <c r="W350" s="31" t="n"/>
      <c r="X350" s="31" t="n"/>
      <c r="Y350" s="31" t="n"/>
    </row>
    <row r="351" ht="14.25" customHeight="1">
      <c r="A351" s="31" t="n"/>
      <c r="P351" s="31" t="n"/>
      <c r="Q351" s="31" t="n"/>
      <c r="R351" s="31" t="n"/>
      <c r="S351" s="31" t="n"/>
      <c r="T351" s="31" t="n"/>
      <c r="U351" s="31" t="n"/>
      <c r="V351" s="31" t="n"/>
      <c r="W351" s="31" t="n"/>
      <c r="X351" s="31" t="n"/>
      <c r="Y351" s="31" t="n"/>
    </row>
    <row r="352" ht="14.25" customHeight="1">
      <c r="A352" s="31" t="n"/>
      <c r="P352" s="31" t="n"/>
      <c r="Q352" s="31" t="n"/>
      <c r="R352" s="31" t="n"/>
      <c r="S352" s="31" t="n"/>
      <c r="T352" s="31" t="n"/>
      <c r="U352" s="31" t="n"/>
      <c r="V352" s="31" t="n"/>
      <c r="W352" s="31" t="n"/>
      <c r="X352" s="31" t="n"/>
      <c r="Y352" s="31" t="n"/>
    </row>
    <row r="353" ht="14.25" customHeight="1">
      <c r="A353" s="31" t="n"/>
      <c r="P353" s="31" t="n"/>
      <c r="Q353" s="31" t="n"/>
      <c r="R353" s="31" t="n"/>
      <c r="S353" s="31" t="n"/>
      <c r="T353" s="31" t="n"/>
      <c r="U353" s="31" t="n"/>
      <c r="V353" s="31" t="n"/>
      <c r="W353" s="31" t="n"/>
      <c r="X353" s="31" t="n"/>
      <c r="Y353" s="31" t="n"/>
    </row>
    <row r="354" ht="14.25" customHeight="1">
      <c r="A354" s="31" t="n"/>
      <c r="P354" s="31" t="n"/>
      <c r="Q354" s="31" t="n"/>
      <c r="R354" s="31" t="n"/>
      <c r="S354" s="31" t="n"/>
      <c r="T354" s="31" t="n"/>
      <c r="U354" s="31" t="n"/>
      <c r="V354" s="31" t="n"/>
      <c r="W354" s="31" t="n"/>
      <c r="X354" s="31" t="n"/>
      <c r="Y354" s="31" t="n"/>
    </row>
    <row r="355" ht="14.25" customHeight="1">
      <c r="A355" s="31" t="n"/>
      <c r="P355" s="31" t="n"/>
      <c r="Q355" s="31" t="n"/>
      <c r="R355" s="31" t="n"/>
      <c r="S355" s="31" t="n"/>
      <c r="T355" s="31" t="n"/>
      <c r="U355" s="31" t="n"/>
      <c r="V355" s="31" t="n"/>
      <c r="W355" s="31" t="n"/>
      <c r="X355" s="31" t="n"/>
      <c r="Y355" s="31" t="n"/>
    </row>
    <row r="356" ht="14.25" customHeight="1">
      <c r="A356" s="31" t="n"/>
      <c r="P356" s="31" t="n"/>
      <c r="Q356" s="31" t="n"/>
      <c r="R356" s="31" t="n"/>
      <c r="S356" s="31" t="n"/>
      <c r="T356" s="31" t="n"/>
      <c r="U356" s="31" t="n"/>
      <c r="V356" s="31" t="n"/>
      <c r="W356" s="31" t="n"/>
      <c r="X356" s="31" t="n"/>
      <c r="Y356" s="31" t="n"/>
    </row>
    <row r="357" ht="14.25" customHeight="1">
      <c r="A357" s="31" t="n"/>
      <c r="P357" s="31" t="n"/>
      <c r="Q357" s="31" t="n"/>
      <c r="R357" s="31" t="n"/>
      <c r="S357" s="31" t="n"/>
      <c r="T357" s="31" t="n"/>
      <c r="U357" s="31" t="n"/>
      <c r="V357" s="31" t="n"/>
      <c r="W357" s="31" t="n"/>
      <c r="X357" s="31" t="n"/>
      <c r="Y357" s="31" t="n"/>
    </row>
    <row r="358" ht="14.25" customHeight="1">
      <c r="A358" s="31" t="n"/>
      <c r="P358" s="31" t="n"/>
      <c r="Q358" s="31" t="n"/>
      <c r="R358" s="31" t="n"/>
      <c r="S358" s="31" t="n"/>
      <c r="T358" s="31" t="n"/>
      <c r="U358" s="31" t="n"/>
      <c r="V358" s="31" t="n"/>
      <c r="W358" s="31" t="n"/>
      <c r="X358" s="31" t="n"/>
      <c r="Y358" s="31" t="n"/>
    </row>
    <row r="359" ht="14.25" customHeight="1">
      <c r="A359" s="31" t="n"/>
      <c r="P359" s="31" t="n"/>
      <c r="Q359" s="31" t="n"/>
      <c r="R359" s="31" t="n"/>
      <c r="S359" s="31" t="n"/>
      <c r="T359" s="31" t="n"/>
      <c r="U359" s="31" t="n"/>
      <c r="V359" s="31" t="n"/>
      <c r="W359" s="31" t="n"/>
      <c r="X359" s="31" t="n"/>
      <c r="Y359" s="31" t="n"/>
    </row>
    <row r="360" ht="14.25" customHeight="1">
      <c r="A360" s="31" t="n"/>
      <c r="P360" s="31" t="n"/>
      <c r="Q360" s="31" t="n"/>
      <c r="R360" s="31" t="n"/>
      <c r="S360" s="31" t="n"/>
      <c r="T360" s="31" t="n"/>
      <c r="U360" s="31" t="n"/>
      <c r="V360" s="31" t="n"/>
      <c r="W360" s="31" t="n"/>
      <c r="X360" s="31" t="n"/>
      <c r="Y360" s="31" t="n"/>
    </row>
    <row r="361" ht="14.25" customHeight="1">
      <c r="A361" s="31" t="n"/>
      <c r="P361" s="31" t="n"/>
      <c r="Q361" s="31" t="n"/>
      <c r="R361" s="31" t="n"/>
      <c r="S361" s="31" t="n"/>
      <c r="T361" s="31" t="n"/>
      <c r="U361" s="31" t="n"/>
      <c r="V361" s="31" t="n"/>
      <c r="W361" s="31" t="n"/>
      <c r="X361" s="31" t="n"/>
      <c r="Y361" s="31" t="n"/>
    </row>
    <row r="362" ht="14.25" customHeight="1">
      <c r="A362" s="31" t="n"/>
      <c r="P362" s="31" t="n"/>
      <c r="Q362" s="31" t="n"/>
      <c r="R362" s="31" t="n"/>
      <c r="S362" s="31" t="n"/>
      <c r="T362" s="31" t="n"/>
      <c r="U362" s="31" t="n"/>
      <c r="V362" s="31" t="n"/>
      <c r="W362" s="31" t="n"/>
      <c r="X362" s="31" t="n"/>
      <c r="Y362" s="31" t="n"/>
    </row>
    <row r="363" ht="14.25" customHeight="1">
      <c r="A363" s="31" t="n"/>
      <c r="P363" s="31" t="n"/>
      <c r="Q363" s="31" t="n"/>
      <c r="R363" s="31" t="n"/>
      <c r="S363" s="31" t="n"/>
      <c r="T363" s="31" t="n"/>
      <c r="U363" s="31" t="n"/>
      <c r="V363" s="31" t="n"/>
      <c r="W363" s="31" t="n"/>
      <c r="X363" s="31" t="n"/>
      <c r="Y363" s="31" t="n"/>
    </row>
    <row r="364" ht="14.25" customHeight="1">
      <c r="A364" s="31" t="n"/>
      <c r="P364" s="31" t="n"/>
      <c r="Q364" s="31" t="n"/>
      <c r="R364" s="31" t="n"/>
      <c r="S364" s="31" t="n"/>
      <c r="T364" s="31" t="n"/>
      <c r="U364" s="31" t="n"/>
      <c r="V364" s="31" t="n"/>
      <c r="W364" s="31" t="n"/>
      <c r="X364" s="31" t="n"/>
      <c r="Y364" s="31" t="n"/>
    </row>
    <row r="365" ht="14.25" customHeight="1">
      <c r="A365" s="31" t="n"/>
      <c r="P365" s="31" t="n"/>
      <c r="Q365" s="31" t="n"/>
      <c r="R365" s="31" t="n"/>
      <c r="S365" s="31" t="n"/>
      <c r="T365" s="31" t="n"/>
      <c r="U365" s="31" t="n"/>
      <c r="V365" s="31" t="n"/>
      <c r="W365" s="31" t="n"/>
      <c r="X365" s="31" t="n"/>
      <c r="Y365" s="31" t="n"/>
    </row>
    <row r="366" ht="14.25" customHeight="1">
      <c r="A366" s="31" t="n"/>
      <c r="P366" s="31" t="n"/>
      <c r="Q366" s="31" t="n"/>
      <c r="R366" s="31" t="n"/>
      <c r="S366" s="31" t="n"/>
      <c r="T366" s="31" t="n"/>
      <c r="U366" s="31" t="n"/>
      <c r="V366" s="31" t="n"/>
      <c r="W366" s="31" t="n"/>
      <c r="X366" s="31" t="n"/>
      <c r="Y366" s="31" t="n"/>
    </row>
    <row r="367" ht="14.25" customHeight="1">
      <c r="A367" s="31" t="n"/>
      <c r="P367" s="31" t="n"/>
      <c r="Q367" s="31" t="n"/>
      <c r="R367" s="31" t="n"/>
      <c r="S367" s="31" t="n"/>
      <c r="T367" s="31" t="n"/>
      <c r="U367" s="31" t="n"/>
      <c r="V367" s="31" t="n"/>
      <c r="W367" s="31" t="n"/>
      <c r="X367" s="31" t="n"/>
      <c r="Y367" s="31" t="n"/>
    </row>
    <row r="368" ht="14.25" customHeight="1">
      <c r="A368" s="31" t="n"/>
      <c r="P368" s="31" t="n"/>
      <c r="Q368" s="31" t="n"/>
      <c r="R368" s="31" t="n"/>
      <c r="S368" s="31" t="n"/>
      <c r="T368" s="31" t="n"/>
      <c r="U368" s="31" t="n"/>
      <c r="V368" s="31" t="n"/>
      <c r="W368" s="31" t="n"/>
      <c r="X368" s="31" t="n"/>
      <c r="Y368" s="31" t="n"/>
    </row>
    <row r="369" ht="14.25" customHeight="1">
      <c r="A369" s="31" t="n"/>
      <c r="P369" s="31" t="n"/>
      <c r="Q369" s="31" t="n"/>
      <c r="R369" s="31" t="n"/>
      <c r="S369" s="31" t="n"/>
      <c r="T369" s="31" t="n"/>
      <c r="U369" s="31" t="n"/>
      <c r="V369" s="31" t="n"/>
      <c r="W369" s="31" t="n"/>
      <c r="X369" s="31" t="n"/>
      <c r="Y369" s="31" t="n"/>
    </row>
    <row r="370" ht="14.25" customHeight="1">
      <c r="A370" s="31" t="n"/>
      <c r="P370" s="31" t="n"/>
      <c r="Q370" s="31" t="n"/>
      <c r="R370" s="31" t="n"/>
      <c r="S370" s="31" t="n"/>
      <c r="T370" s="31" t="n"/>
      <c r="U370" s="31" t="n"/>
      <c r="V370" s="31" t="n"/>
      <c r="W370" s="31" t="n"/>
      <c r="X370" s="31" t="n"/>
      <c r="Y370" s="31" t="n"/>
    </row>
    <row r="371" ht="14.25" customHeight="1">
      <c r="A371" s="31" t="n"/>
      <c r="P371" s="31" t="n"/>
      <c r="Q371" s="31" t="n"/>
      <c r="R371" s="31" t="n"/>
      <c r="S371" s="31" t="n"/>
      <c r="T371" s="31" t="n"/>
      <c r="U371" s="31" t="n"/>
      <c r="V371" s="31" t="n"/>
      <c r="W371" s="31" t="n"/>
      <c r="X371" s="31" t="n"/>
      <c r="Y371" s="31" t="n"/>
    </row>
    <row r="372" ht="14.25" customHeight="1">
      <c r="A372" s="31" t="n"/>
      <c r="P372" s="31" t="n"/>
      <c r="Q372" s="31" t="n"/>
      <c r="R372" s="31" t="n"/>
      <c r="S372" s="31" t="n"/>
      <c r="T372" s="31" t="n"/>
      <c r="U372" s="31" t="n"/>
      <c r="V372" s="31" t="n"/>
      <c r="W372" s="31" t="n"/>
      <c r="X372" s="31" t="n"/>
      <c r="Y372" s="31" t="n"/>
    </row>
    <row r="373" ht="14.25" customHeight="1">
      <c r="A373" s="31" t="n"/>
      <c r="P373" s="31" t="n"/>
      <c r="Q373" s="31" t="n"/>
      <c r="R373" s="31" t="n"/>
      <c r="S373" s="31" t="n"/>
      <c r="T373" s="31" t="n"/>
      <c r="U373" s="31" t="n"/>
      <c r="V373" s="31" t="n"/>
      <c r="W373" s="31" t="n"/>
      <c r="X373" s="31" t="n"/>
      <c r="Y373" s="31" t="n"/>
    </row>
    <row r="374" ht="14.25" customHeight="1">
      <c r="A374" s="31" t="n"/>
      <c r="P374" s="31" t="n"/>
      <c r="Q374" s="31" t="n"/>
      <c r="R374" s="31" t="n"/>
      <c r="S374" s="31" t="n"/>
      <c r="T374" s="31" t="n"/>
      <c r="U374" s="31" t="n"/>
      <c r="V374" s="31" t="n"/>
      <c r="W374" s="31" t="n"/>
      <c r="X374" s="31" t="n"/>
      <c r="Y374" s="31" t="n"/>
    </row>
    <row r="375" ht="14.25" customHeight="1">
      <c r="A375" s="31" t="n"/>
      <c r="P375" s="31" t="n"/>
      <c r="Q375" s="31" t="n"/>
      <c r="R375" s="31" t="n"/>
      <c r="S375" s="31" t="n"/>
      <c r="T375" s="31" t="n"/>
      <c r="U375" s="31" t="n"/>
      <c r="V375" s="31" t="n"/>
      <c r="W375" s="31" t="n"/>
      <c r="X375" s="31" t="n"/>
      <c r="Y375" s="31" t="n"/>
    </row>
    <row r="376" ht="14.25" customHeight="1">
      <c r="A376" s="31" t="n"/>
      <c r="P376" s="31" t="n"/>
      <c r="Q376" s="31" t="n"/>
      <c r="R376" s="31" t="n"/>
      <c r="S376" s="31" t="n"/>
      <c r="T376" s="31" t="n"/>
      <c r="U376" s="31" t="n"/>
      <c r="V376" s="31" t="n"/>
      <c r="W376" s="31" t="n"/>
      <c r="X376" s="31" t="n"/>
      <c r="Y376" s="31" t="n"/>
    </row>
    <row r="377" ht="14.25" customHeight="1">
      <c r="A377" s="31" t="n"/>
      <c r="P377" s="31" t="n"/>
      <c r="Q377" s="31" t="n"/>
      <c r="R377" s="31" t="n"/>
      <c r="S377" s="31" t="n"/>
      <c r="T377" s="31" t="n"/>
      <c r="U377" s="31" t="n"/>
      <c r="V377" s="31" t="n"/>
      <c r="W377" s="31" t="n"/>
      <c r="X377" s="31" t="n"/>
      <c r="Y377" s="31" t="n"/>
    </row>
    <row r="378" ht="14.25" customHeight="1">
      <c r="A378" s="31" t="n"/>
      <c r="P378" s="31" t="n"/>
      <c r="Q378" s="31" t="n"/>
      <c r="R378" s="31" t="n"/>
      <c r="S378" s="31" t="n"/>
      <c r="T378" s="31" t="n"/>
      <c r="U378" s="31" t="n"/>
      <c r="V378" s="31" t="n"/>
      <c r="W378" s="31" t="n"/>
      <c r="X378" s="31" t="n"/>
      <c r="Y378" s="31" t="n"/>
    </row>
    <row r="379" ht="14.25" customHeight="1">
      <c r="A379" s="31" t="n"/>
      <c r="P379" s="31" t="n"/>
      <c r="Q379" s="31" t="n"/>
      <c r="R379" s="31" t="n"/>
      <c r="S379" s="31" t="n"/>
      <c r="T379" s="31" t="n"/>
      <c r="U379" s="31" t="n"/>
      <c r="V379" s="31" t="n"/>
      <c r="W379" s="31" t="n"/>
      <c r="X379" s="31" t="n"/>
      <c r="Y379" s="31" t="n"/>
    </row>
    <row r="380" ht="14.25" customHeight="1">
      <c r="A380" s="31" t="n"/>
      <c r="P380" s="31" t="n"/>
      <c r="Q380" s="31" t="n"/>
      <c r="R380" s="31" t="n"/>
      <c r="S380" s="31" t="n"/>
      <c r="T380" s="31" t="n"/>
      <c r="U380" s="31" t="n"/>
      <c r="V380" s="31" t="n"/>
      <c r="W380" s="31" t="n"/>
      <c r="X380" s="31" t="n"/>
      <c r="Y380" s="31" t="n"/>
    </row>
    <row r="381" ht="14.25" customHeight="1">
      <c r="A381" s="31" t="n"/>
      <c r="P381" s="31" t="n"/>
      <c r="Q381" s="31" t="n"/>
      <c r="R381" s="31" t="n"/>
      <c r="S381" s="31" t="n"/>
      <c r="T381" s="31" t="n"/>
      <c r="U381" s="31" t="n"/>
      <c r="V381" s="31" t="n"/>
      <c r="W381" s="31" t="n"/>
      <c r="X381" s="31" t="n"/>
      <c r="Y381" s="31" t="n"/>
    </row>
    <row r="382" ht="14.25" customHeight="1">
      <c r="A382" s="31" t="n"/>
      <c r="P382" s="31" t="n"/>
      <c r="Q382" s="31" t="n"/>
      <c r="R382" s="31" t="n"/>
      <c r="S382" s="31" t="n"/>
      <c r="T382" s="31" t="n"/>
      <c r="U382" s="31" t="n"/>
      <c r="V382" s="31" t="n"/>
      <c r="W382" s="31" t="n"/>
      <c r="X382" s="31" t="n"/>
      <c r="Y382" s="31" t="n"/>
    </row>
    <row r="383" ht="14.25" customHeight="1">
      <c r="A383" s="31" t="n"/>
      <c r="P383" s="31" t="n"/>
      <c r="Q383" s="31" t="n"/>
      <c r="R383" s="31" t="n"/>
      <c r="S383" s="31" t="n"/>
      <c r="T383" s="31" t="n"/>
      <c r="U383" s="31" t="n"/>
      <c r="V383" s="31" t="n"/>
      <c r="W383" s="31" t="n"/>
      <c r="X383" s="31" t="n"/>
      <c r="Y383" s="31" t="n"/>
    </row>
    <row r="384" ht="14.25" customHeight="1">
      <c r="A384" s="31" t="n"/>
      <c r="P384" s="31" t="n"/>
      <c r="Q384" s="31" t="n"/>
      <c r="R384" s="31" t="n"/>
      <c r="S384" s="31" t="n"/>
      <c r="T384" s="31" t="n"/>
      <c r="U384" s="31" t="n"/>
      <c r="V384" s="31" t="n"/>
      <c r="W384" s="31" t="n"/>
      <c r="X384" s="31" t="n"/>
      <c r="Y384" s="31" t="n"/>
    </row>
    <row r="385" ht="14.25" customHeight="1">
      <c r="A385" s="31" t="n"/>
      <c r="P385" s="31" t="n"/>
      <c r="Q385" s="31" t="n"/>
      <c r="R385" s="31" t="n"/>
      <c r="S385" s="31" t="n"/>
      <c r="T385" s="31" t="n"/>
      <c r="U385" s="31" t="n"/>
      <c r="V385" s="31" t="n"/>
      <c r="W385" s="31" t="n"/>
      <c r="X385" s="31" t="n"/>
      <c r="Y385" s="31" t="n"/>
    </row>
    <row r="386" ht="14.25" customHeight="1">
      <c r="A386" s="31" t="n"/>
      <c r="P386" s="31" t="n"/>
      <c r="Q386" s="31" t="n"/>
      <c r="R386" s="31" t="n"/>
      <c r="S386" s="31" t="n"/>
      <c r="T386" s="31" t="n"/>
      <c r="U386" s="31" t="n"/>
      <c r="V386" s="31" t="n"/>
      <c r="W386" s="31" t="n"/>
      <c r="X386" s="31" t="n"/>
      <c r="Y386" s="31" t="n"/>
    </row>
    <row r="387" ht="14.25" customHeight="1">
      <c r="A387" s="31" t="n"/>
      <c r="P387" s="31" t="n"/>
      <c r="Q387" s="31" t="n"/>
      <c r="R387" s="31" t="n"/>
      <c r="S387" s="31" t="n"/>
      <c r="T387" s="31" t="n"/>
      <c r="U387" s="31" t="n"/>
      <c r="V387" s="31" t="n"/>
      <c r="W387" s="31" t="n"/>
      <c r="X387" s="31" t="n"/>
      <c r="Y387" s="31" t="n"/>
    </row>
    <row r="388" ht="14.25" customHeight="1">
      <c r="A388" s="31" t="n"/>
      <c r="P388" s="31" t="n"/>
      <c r="Q388" s="31" t="n"/>
      <c r="R388" s="31" t="n"/>
      <c r="S388" s="31" t="n"/>
      <c r="T388" s="31" t="n"/>
      <c r="U388" s="31" t="n"/>
      <c r="V388" s="31" t="n"/>
      <c r="W388" s="31" t="n"/>
      <c r="X388" s="31" t="n"/>
      <c r="Y388" s="31" t="n"/>
    </row>
    <row r="389" ht="14.25" customHeight="1">
      <c r="A389" s="31" t="n"/>
      <c r="P389" s="31" t="n"/>
      <c r="Q389" s="31" t="n"/>
      <c r="R389" s="31" t="n"/>
      <c r="S389" s="31" t="n"/>
      <c r="T389" s="31" t="n"/>
      <c r="U389" s="31" t="n"/>
      <c r="V389" s="31" t="n"/>
      <c r="W389" s="31" t="n"/>
      <c r="X389" s="31" t="n"/>
      <c r="Y389" s="31" t="n"/>
    </row>
    <row r="390" ht="14.25" customHeight="1">
      <c r="A390" s="31" t="n"/>
      <c r="P390" s="31" t="n"/>
      <c r="Q390" s="31" t="n"/>
      <c r="R390" s="31" t="n"/>
      <c r="S390" s="31" t="n"/>
      <c r="T390" s="31" t="n"/>
      <c r="U390" s="31" t="n"/>
      <c r="V390" s="31" t="n"/>
      <c r="W390" s="31" t="n"/>
      <c r="X390" s="31" t="n"/>
      <c r="Y390" s="31" t="n"/>
    </row>
    <row r="391" ht="14.25" customHeight="1">
      <c r="A391" s="31" t="n"/>
      <c r="P391" s="31" t="n"/>
      <c r="Q391" s="31" t="n"/>
      <c r="R391" s="31" t="n"/>
      <c r="S391" s="31" t="n"/>
      <c r="T391" s="31" t="n"/>
      <c r="U391" s="31" t="n"/>
      <c r="V391" s="31" t="n"/>
      <c r="W391" s="31" t="n"/>
      <c r="X391" s="31" t="n"/>
      <c r="Y391" s="31" t="n"/>
    </row>
    <row r="392" ht="14.25" customHeight="1">
      <c r="A392" s="31" t="n"/>
      <c r="P392" s="31" t="n"/>
      <c r="Q392" s="31" t="n"/>
      <c r="R392" s="31" t="n"/>
      <c r="S392" s="31" t="n"/>
      <c r="T392" s="31" t="n"/>
      <c r="U392" s="31" t="n"/>
      <c r="V392" s="31" t="n"/>
      <c r="W392" s="31" t="n"/>
      <c r="X392" s="31" t="n"/>
      <c r="Y392" s="31" t="n"/>
    </row>
    <row r="393" ht="14.25" customHeight="1">
      <c r="A393" s="31" t="n"/>
      <c r="P393" s="31" t="n"/>
      <c r="Q393" s="31" t="n"/>
      <c r="R393" s="31" t="n"/>
      <c r="S393" s="31" t="n"/>
      <c r="T393" s="31" t="n"/>
      <c r="U393" s="31" t="n"/>
      <c r="V393" s="31" t="n"/>
      <c r="W393" s="31" t="n"/>
      <c r="X393" s="31" t="n"/>
      <c r="Y393" s="31" t="n"/>
    </row>
    <row r="394" ht="14.25" customHeight="1">
      <c r="A394" s="31" t="n"/>
      <c r="P394" s="31" t="n"/>
      <c r="Q394" s="31" t="n"/>
      <c r="R394" s="31" t="n"/>
      <c r="S394" s="31" t="n"/>
      <c r="T394" s="31" t="n"/>
      <c r="U394" s="31" t="n"/>
      <c r="V394" s="31" t="n"/>
      <c r="W394" s="31" t="n"/>
      <c r="X394" s="31" t="n"/>
      <c r="Y394" s="31" t="n"/>
    </row>
    <row r="395" ht="14.25" customHeight="1">
      <c r="A395" s="31" t="n"/>
      <c r="P395" s="31" t="n"/>
      <c r="Q395" s="31" t="n"/>
      <c r="R395" s="31" t="n"/>
      <c r="S395" s="31" t="n"/>
      <c r="T395" s="31" t="n"/>
      <c r="U395" s="31" t="n"/>
      <c r="V395" s="31" t="n"/>
      <c r="W395" s="31" t="n"/>
      <c r="X395" s="31" t="n"/>
      <c r="Y395" s="31" t="n"/>
    </row>
    <row r="396" ht="14.25" customHeight="1">
      <c r="A396" s="31" t="n"/>
      <c r="P396" s="31" t="n"/>
      <c r="Q396" s="31" t="n"/>
      <c r="R396" s="31" t="n"/>
      <c r="S396" s="31" t="n"/>
      <c r="T396" s="31" t="n"/>
      <c r="U396" s="31" t="n"/>
      <c r="V396" s="31" t="n"/>
      <c r="W396" s="31" t="n"/>
      <c r="X396" s="31" t="n"/>
      <c r="Y396" s="31" t="n"/>
    </row>
    <row r="397" ht="14.25" customHeight="1">
      <c r="A397" s="31" t="n"/>
      <c r="P397" s="31" t="n"/>
      <c r="Q397" s="31" t="n"/>
      <c r="R397" s="31" t="n"/>
      <c r="S397" s="31" t="n"/>
      <c r="T397" s="31" t="n"/>
      <c r="U397" s="31" t="n"/>
      <c r="V397" s="31" t="n"/>
      <c r="W397" s="31" t="n"/>
      <c r="X397" s="31" t="n"/>
      <c r="Y397" s="31" t="n"/>
    </row>
    <row r="398" ht="14.25" customHeight="1">
      <c r="A398" s="31" t="n"/>
      <c r="P398" s="31" t="n"/>
      <c r="Q398" s="31" t="n"/>
      <c r="R398" s="31" t="n"/>
      <c r="S398" s="31" t="n"/>
      <c r="T398" s="31" t="n"/>
      <c r="U398" s="31" t="n"/>
      <c r="V398" s="31" t="n"/>
      <c r="W398" s="31" t="n"/>
      <c r="X398" s="31" t="n"/>
      <c r="Y398" s="31" t="n"/>
    </row>
    <row r="399" ht="14.25" customHeight="1">
      <c r="A399" s="31" t="n"/>
      <c r="P399" s="31" t="n"/>
      <c r="Q399" s="31" t="n"/>
      <c r="R399" s="31" t="n"/>
      <c r="S399" s="31" t="n"/>
      <c r="T399" s="31" t="n"/>
      <c r="U399" s="31" t="n"/>
      <c r="V399" s="31" t="n"/>
      <c r="W399" s="31" t="n"/>
      <c r="X399" s="31" t="n"/>
      <c r="Y399" s="31" t="n"/>
    </row>
    <row r="400" ht="14.25" customHeight="1">
      <c r="A400" s="31" t="n"/>
      <c r="P400" s="31" t="n"/>
      <c r="Q400" s="31" t="n"/>
      <c r="R400" s="31" t="n"/>
      <c r="S400" s="31" t="n"/>
      <c r="T400" s="31" t="n"/>
      <c r="U400" s="31" t="n"/>
      <c r="V400" s="31" t="n"/>
      <c r="W400" s="31" t="n"/>
      <c r="X400" s="31" t="n"/>
      <c r="Y400" s="31" t="n"/>
    </row>
    <row r="401" ht="14.25" customHeight="1">
      <c r="A401" s="31" t="n"/>
      <c r="P401" s="31" t="n"/>
      <c r="Q401" s="31" t="n"/>
      <c r="R401" s="31" t="n"/>
      <c r="S401" s="31" t="n"/>
      <c r="T401" s="31" t="n"/>
      <c r="U401" s="31" t="n"/>
      <c r="V401" s="31" t="n"/>
      <c r="W401" s="31" t="n"/>
      <c r="X401" s="31" t="n"/>
      <c r="Y401" s="31" t="n"/>
    </row>
    <row r="402" ht="14.25" customHeight="1">
      <c r="A402" s="31" t="n"/>
      <c r="P402" s="31" t="n"/>
      <c r="Q402" s="31" t="n"/>
      <c r="R402" s="31" t="n"/>
      <c r="S402" s="31" t="n"/>
      <c r="T402" s="31" t="n"/>
      <c r="U402" s="31" t="n"/>
      <c r="V402" s="31" t="n"/>
      <c r="W402" s="31" t="n"/>
      <c r="X402" s="31" t="n"/>
      <c r="Y402" s="31" t="n"/>
    </row>
    <row r="403" ht="14.25" customHeight="1">
      <c r="A403" s="31" t="n"/>
      <c r="P403" s="31" t="n"/>
      <c r="Q403" s="31" t="n"/>
      <c r="R403" s="31" t="n"/>
      <c r="S403" s="31" t="n"/>
      <c r="T403" s="31" t="n"/>
      <c r="U403" s="31" t="n"/>
      <c r="V403" s="31" t="n"/>
      <c r="W403" s="31" t="n"/>
      <c r="X403" s="31" t="n"/>
      <c r="Y403" s="31" t="n"/>
    </row>
    <row r="404" ht="14.25" customHeight="1">
      <c r="A404" s="31" t="n"/>
      <c r="P404" s="31" t="n"/>
      <c r="Q404" s="31" t="n"/>
      <c r="R404" s="31" t="n"/>
      <c r="S404" s="31" t="n"/>
      <c r="T404" s="31" t="n"/>
      <c r="U404" s="31" t="n"/>
      <c r="V404" s="31" t="n"/>
      <c r="W404" s="31" t="n"/>
      <c r="X404" s="31" t="n"/>
      <c r="Y404" s="31" t="n"/>
    </row>
    <row r="405" ht="14.25" customHeight="1">
      <c r="A405" s="31" t="n"/>
      <c r="P405" s="31" t="n"/>
      <c r="Q405" s="31" t="n"/>
      <c r="R405" s="31" t="n"/>
      <c r="S405" s="31" t="n"/>
      <c r="T405" s="31" t="n"/>
      <c r="U405" s="31" t="n"/>
      <c r="V405" s="31" t="n"/>
      <c r="W405" s="31" t="n"/>
      <c r="X405" s="31" t="n"/>
      <c r="Y405" s="31" t="n"/>
    </row>
    <row r="406" ht="14.25" customHeight="1">
      <c r="A406" s="31" t="n"/>
      <c r="P406" s="31" t="n"/>
      <c r="Q406" s="31" t="n"/>
      <c r="R406" s="31" t="n"/>
      <c r="S406" s="31" t="n"/>
      <c r="T406" s="31" t="n"/>
      <c r="U406" s="31" t="n"/>
      <c r="V406" s="31" t="n"/>
      <c r="W406" s="31" t="n"/>
      <c r="X406" s="31" t="n"/>
      <c r="Y406" s="31" t="n"/>
    </row>
    <row r="407" ht="14.25" customHeight="1">
      <c r="A407" s="31" t="n"/>
      <c r="P407" s="31" t="n"/>
      <c r="Q407" s="31" t="n"/>
      <c r="R407" s="31" t="n"/>
      <c r="S407" s="31" t="n"/>
      <c r="T407" s="31" t="n"/>
      <c r="U407" s="31" t="n"/>
      <c r="V407" s="31" t="n"/>
      <c r="W407" s="31" t="n"/>
      <c r="X407" s="31" t="n"/>
      <c r="Y407" s="31" t="n"/>
    </row>
    <row r="408" ht="14.25" customHeight="1">
      <c r="A408" s="31" t="n"/>
      <c r="P408" s="31" t="n"/>
      <c r="Q408" s="31" t="n"/>
      <c r="R408" s="31" t="n"/>
      <c r="S408" s="31" t="n"/>
      <c r="T408" s="31" t="n"/>
      <c r="U408" s="31" t="n"/>
      <c r="V408" s="31" t="n"/>
      <c r="W408" s="31" t="n"/>
      <c r="X408" s="31" t="n"/>
      <c r="Y408" s="31" t="n"/>
    </row>
    <row r="409" ht="14.25" customHeight="1">
      <c r="A409" s="31" t="n"/>
      <c r="P409" s="31" t="n"/>
      <c r="Q409" s="31" t="n"/>
      <c r="R409" s="31" t="n"/>
      <c r="S409" s="31" t="n"/>
      <c r="T409" s="31" t="n"/>
      <c r="U409" s="31" t="n"/>
      <c r="V409" s="31" t="n"/>
      <c r="W409" s="31" t="n"/>
      <c r="X409" s="31" t="n"/>
      <c r="Y409" s="31" t="n"/>
    </row>
    <row r="410" ht="14.25" customHeight="1">
      <c r="A410" s="31" t="n"/>
      <c r="P410" s="31" t="n"/>
      <c r="Q410" s="31" t="n"/>
      <c r="R410" s="31" t="n"/>
      <c r="S410" s="31" t="n"/>
      <c r="T410" s="31" t="n"/>
      <c r="U410" s="31" t="n"/>
      <c r="V410" s="31" t="n"/>
      <c r="W410" s="31" t="n"/>
      <c r="X410" s="31" t="n"/>
      <c r="Y410" s="31" t="n"/>
    </row>
    <row r="411" ht="14.25" customHeight="1">
      <c r="A411" s="31" t="n"/>
      <c r="P411" s="31" t="n"/>
      <c r="Q411" s="31" t="n"/>
      <c r="R411" s="31" t="n"/>
      <c r="S411" s="31" t="n"/>
      <c r="T411" s="31" t="n"/>
      <c r="U411" s="31" t="n"/>
      <c r="V411" s="31" t="n"/>
      <c r="W411" s="31" t="n"/>
      <c r="X411" s="31" t="n"/>
      <c r="Y411" s="31" t="n"/>
    </row>
    <row r="412" ht="14.25" customHeight="1">
      <c r="A412" s="31" t="n"/>
      <c r="P412" s="31" t="n"/>
      <c r="Q412" s="31" t="n"/>
      <c r="R412" s="31" t="n"/>
      <c r="S412" s="31" t="n"/>
      <c r="T412" s="31" t="n"/>
      <c r="U412" s="31" t="n"/>
      <c r="V412" s="31" t="n"/>
      <c r="W412" s="31" t="n"/>
      <c r="X412" s="31" t="n"/>
      <c r="Y412" s="31" t="n"/>
    </row>
    <row r="413" ht="14.25" customHeight="1">
      <c r="A413" s="31" t="n"/>
      <c r="P413" s="31" t="n"/>
      <c r="Q413" s="31" t="n"/>
      <c r="R413" s="31" t="n"/>
      <c r="S413" s="31" t="n"/>
      <c r="T413" s="31" t="n"/>
      <c r="U413" s="31" t="n"/>
      <c r="V413" s="31" t="n"/>
      <c r="W413" s="31" t="n"/>
      <c r="X413" s="31" t="n"/>
      <c r="Y413" s="31" t="n"/>
    </row>
    <row r="414" ht="14.25" customHeight="1">
      <c r="A414" s="31" t="n"/>
      <c r="P414" s="31" t="n"/>
      <c r="Q414" s="31" t="n"/>
      <c r="R414" s="31" t="n"/>
      <c r="S414" s="31" t="n"/>
      <c r="T414" s="31" t="n"/>
      <c r="U414" s="31" t="n"/>
      <c r="V414" s="31" t="n"/>
      <c r="W414" s="31" t="n"/>
      <c r="X414" s="31" t="n"/>
      <c r="Y414" s="31" t="n"/>
    </row>
    <row r="415" ht="14.25" customHeight="1">
      <c r="A415" s="31" t="n"/>
      <c r="P415" s="31" t="n"/>
      <c r="Q415" s="31" t="n"/>
      <c r="R415" s="31" t="n"/>
      <c r="S415" s="31" t="n"/>
      <c r="T415" s="31" t="n"/>
      <c r="U415" s="31" t="n"/>
      <c r="V415" s="31" t="n"/>
      <c r="W415" s="31" t="n"/>
      <c r="X415" s="31" t="n"/>
      <c r="Y415" s="31" t="n"/>
    </row>
    <row r="416" ht="14.25" customHeight="1">
      <c r="A416" s="31" t="n"/>
      <c r="P416" s="31" t="n"/>
      <c r="Q416" s="31" t="n"/>
      <c r="R416" s="31" t="n"/>
      <c r="S416" s="31" t="n"/>
      <c r="T416" s="31" t="n"/>
      <c r="U416" s="31" t="n"/>
      <c r="V416" s="31" t="n"/>
      <c r="W416" s="31" t="n"/>
      <c r="X416" s="31" t="n"/>
      <c r="Y416" s="31" t="n"/>
    </row>
    <row r="417" ht="14.25" customHeight="1">
      <c r="A417" s="31" t="n"/>
      <c r="P417" s="31" t="n"/>
      <c r="Q417" s="31" t="n"/>
      <c r="R417" s="31" t="n"/>
      <c r="S417" s="31" t="n"/>
      <c r="T417" s="31" t="n"/>
      <c r="U417" s="31" t="n"/>
      <c r="V417" s="31" t="n"/>
      <c r="W417" s="31" t="n"/>
      <c r="X417" s="31" t="n"/>
      <c r="Y417" s="31" t="n"/>
    </row>
    <row r="418" ht="14.25" customHeight="1">
      <c r="A418" s="31" t="n"/>
      <c r="P418" s="31" t="n"/>
      <c r="Q418" s="31" t="n"/>
      <c r="R418" s="31" t="n"/>
      <c r="S418" s="31" t="n"/>
      <c r="T418" s="31" t="n"/>
      <c r="U418" s="31" t="n"/>
      <c r="V418" s="31" t="n"/>
      <c r="W418" s="31" t="n"/>
      <c r="X418" s="31" t="n"/>
      <c r="Y418" s="31" t="n"/>
    </row>
    <row r="419" ht="14.25" customHeight="1">
      <c r="A419" s="31" t="n"/>
      <c r="P419" s="31" t="n"/>
      <c r="Q419" s="31" t="n"/>
      <c r="R419" s="31" t="n"/>
      <c r="S419" s="31" t="n"/>
      <c r="T419" s="31" t="n"/>
      <c r="U419" s="31" t="n"/>
      <c r="V419" s="31" t="n"/>
      <c r="W419" s="31" t="n"/>
      <c r="X419" s="31" t="n"/>
      <c r="Y419" s="31" t="n"/>
    </row>
    <row r="420" ht="14.25" customHeight="1">
      <c r="A420" s="31" t="n"/>
      <c r="P420" s="31" t="n"/>
      <c r="Q420" s="31" t="n"/>
      <c r="R420" s="31" t="n"/>
      <c r="S420" s="31" t="n"/>
      <c r="T420" s="31" t="n"/>
      <c r="U420" s="31" t="n"/>
      <c r="V420" s="31" t="n"/>
      <c r="W420" s="31" t="n"/>
      <c r="X420" s="31" t="n"/>
      <c r="Y420" s="31" t="n"/>
    </row>
    <row r="421" ht="14.25" customHeight="1">
      <c r="A421" s="31" t="n"/>
      <c r="P421" s="31" t="n"/>
      <c r="Q421" s="31" t="n"/>
      <c r="R421" s="31" t="n"/>
      <c r="S421" s="31" t="n"/>
      <c r="T421" s="31" t="n"/>
      <c r="U421" s="31" t="n"/>
      <c r="V421" s="31" t="n"/>
      <c r="W421" s="31" t="n"/>
      <c r="X421" s="31" t="n"/>
      <c r="Y421" s="31" t="n"/>
    </row>
    <row r="422" ht="14.25" customHeight="1">
      <c r="A422" s="31" t="n"/>
      <c r="P422" s="31" t="n"/>
      <c r="Q422" s="31" t="n"/>
      <c r="R422" s="31" t="n"/>
      <c r="S422" s="31" t="n"/>
      <c r="T422" s="31" t="n"/>
      <c r="U422" s="31" t="n"/>
      <c r="V422" s="31" t="n"/>
      <c r="W422" s="31" t="n"/>
      <c r="X422" s="31" t="n"/>
      <c r="Y422" s="31" t="n"/>
    </row>
    <row r="423" ht="14.25" customHeight="1">
      <c r="A423" s="31" t="n"/>
      <c r="P423" s="31" t="n"/>
      <c r="Q423" s="31" t="n"/>
      <c r="R423" s="31" t="n"/>
      <c r="S423" s="31" t="n"/>
      <c r="T423" s="31" t="n"/>
      <c r="U423" s="31" t="n"/>
      <c r="V423" s="31" t="n"/>
      <c r="W423" s="31" t="n"/>
      <c r="X423" s="31" t="n"/>
      <c r="Y423" s="31" t="n"/>
    </row>
    <row r="424" ht="14.25" customHeight="1">
      <c r="A424" s="31" t="n"/>
      <c r="P424" s="31" t="n"/>
      <c r="Q424" s="31" t="n"/>
      <c r="R424" s="31" t="n"/>
      <c r="S424" s="31" t="n"/>
      <c r="T424" s="31" t="n"/>
      <c r="U424" s="31" t="n"/>
      <c r="V424" s="31" t="n"/>
      <c r="W424" s="31" t="n"/>
      <c r="X424" s="31" t="n"/>
      <c r="Y424" s="31" t="n"/>
    </row>
    <row r="425" ht="14.25" customHeight="1">
      <c r="A425" s="31" t="n"/>
      <c r="P425" s="31" t="n"/>
      <c r="Q425" s="31" t="n"/>
      <c r="R425" s="31" t="n"/>
      <c r="S425" s="31" t="n"/>
      <c r="T425" s="31" t="n"/>
      <c r="U425" s="31" t="n"/>
      <c r="V425" s="31" t="n"/>
      <c r="W425" s="31" t="n"/>
      <c r="X425" s="31" t="n"/>
      <c r="Y425" s="31" t="n"/>
    </row>
    <row r="426" ht="14.25" customHeight="1">
      <c r="A426" s="31" t="n"/>
      <c r="P426" s="31" t="n"/>
      <c r="Q426" s="31" t="n"/>
      <c r="R426" s="31" t="n"/>
      <c r="S426" s="31" t="n"/>
      <c r="T426" s="31" t="n"/>
      <c r="U426" s="31" t="n"/>
      <c r="V426" s="31" t="n"/>
      <c r="W426" s="31" t="n"/>
      <c r="X426" s="31" t="n"/>
      <c r="Y426" s="31" t="n"/>
    </row>
    <row r="427" ht="14.25" customHeight="1">
      <c r="A427" s="31" t="n"/>
      <c r="P427" s="31" t="n"/>
      <c r="Q427" s="31" t="n"/>
      <c r="R427" s="31" t="n"/>
      <c r="S427" s="31" t="n"/>
      <c r="T427" s="31" t="n"/>
      <c r="U427" s="31" t="n"/>
      <c r="V427" s="31" t="n"/>
      <c r="W427" s="31" t="n"/>
      <c r="X427" s="31" t="n"/>
      <c r="Y427" s="31" t="n"/>
    </row>
    <row r="428" ht="14.25" customHeight="1">
      <c r="A428" s="31" t="n"/>
      <c r="P428" s="31" t="n"/>
      <c r="Q428" s="31" t="n"/>
      <c r="R428" s="31" t="n"/>
      <c r="S428" s="31" t="n"/>
      <c r="T428" s="31" t="n"/>
      <c r="U428" s="31" t="n"/>
      <c r="V428" s="31" t="n"/>
      <c r="W428" s="31" t="n"/>
      <c r="X428" s="31" t="n"/>
      <c r="Y428" s="31" t="n"/>
    </row>
    <row r="429" ht="14.25" customHeight="1">
      <c r="A429" s="31" t="n"/>
      <c r="P429" s="31" t="n"/>
      <c r="Q429" s="31" t="n"/>
      <c r="R429" s="31" t="n"/>
      <c r="S429" s="31" t="n"/>
      <c r="T429" s="31" t="n"/>
      <c r="U429" s="31" t="n"/>
      <c r="V429" s="31" t="n"/>
      <c r="W429" s="31" t="n"/>
      <c r="X429" s="31" t="n"/>
      <c r="Y429" s="31" t="n"/>
    </row>
    <row r="430" ht="14.25" customHeight="1">
      <c r="A430" s="31" t="n"/>
      <c r="P430" s="31" t="n"/>
      <c r="Q430" s="31" t="n"/>
      <c r="R430" s="31" t="n"/>
      <c r="S430" s="31" t="n"/>
      <c r="T430" s="31" t="n"/>
      <c r="U430" s="31" t="n"/>
      <c r="V430" s="31" t="n"/>
      <c r="W430" s="31" t="n"/>
      <c r="X430" s="31" t="n"/>
      <c r="Y430" s="31" t="n"/>
    </row>
    <row r="431" ht="14.25" customHeight="1">
      <c r="A431" s="31" t="n"/>
      <c r="P431" s="31" t="n"/>
      <c r="Q431" s="31" t="n"/>
      <c r="R431" s="31" t="n"/>
      <c r="S431" s="31" t="n"/>
      <c r="T431" s="31" t="n"/>
      <c r="U431" s="31" t="n"/>
      <c r="V431" s="31" t="n"/>
      <c r="W431" s="31" t="n"/>
      <c r="X431" s="31" t="n"/>
      <c r="Y431" s="31" t="n"/>
    </row>
    <row r="432" ht="14.25" customHeight="1">
      <c r="A432" s="31" t="n"/>
      <c r="P432" s="31" t="n"/>
      <c r="Q432" s="31" t="n"/>
      <c r="R432" s="31" t="n"/>
      <c r="S432" s="31" t="n"/>
      <c r="T432" s="31" t="n"/>
      <c r="U432" s="31" t="n"/>
      <c r="V432" s="31" t="n"/>
      <c r="W432" s="31" t="n"/>
      <c r="X432" s="31" t="n"/>
      <c r="Y432" s="31" t="n"/>
    </row>
    <row r="433" ht="14.25" customHeight="1">
      <c r="A433" s="31" t="n"/>
      <c r="P433" s="31" t="n"/>
      <c r="Q433" s="31" t="n"/>
      <c r="R433" s="31" t="n"/>
      <c r="S433" s="31" t="n"/>
      <c r="T433" s="31" t="n"/>
      <c r="U433" s="31" t="n"/>
      <c r="V433" s="31" t="n"/>
      <c r="W433" s="31" t="n"/>
      <c r="X433" s="31" t="n"/>
      <c r="Y433" s="31" t="n"/>
    </row>
    <row r="434" ht="14.25" customHeight="1">
      <c r="A434" s="31" t="n"/>
      <c r="P434" s="31" t="n"/>
      <c r="Q434" s="31" t="n"/>
      <c r="R434" s="31" t="n"/>
      <c r="S434" s="31" t="n"/>
      <c r="T434" s="31" t="n"/>
      <c r="U434" s="31" t="n"/>
      <c r="V434" s="31" t="n"/>
      <c r="W434" s="31" t="n"/>
      <c r="X434" s="31" t="n"/>
      <c r="Y434" s="31" t="n"/>
    </row>
    <row r="435" ht="14.25" customHeight="1">
      <c r="A435" s="31" t="n"/>
      <c r="P435" s="31" t="n"/>
      <c r="Q435" s="31" t="n"/>
      <c r="R435" s="31" t="n"/>
      <c r="S435" s="31" t="n"/>
      <c r="T435" s="31" t="n"/>
      <c r="U435" s="31" t="n"/>
      <c r="V435" s="31" t="n"/>
      <c r="W435" s="31" t="n"/>
      <c r="X435" s="31" t="n"/>
      <c r="Y435" s="31" t="n"/>
    </row>
    <row r="436" ht="14.25" customHeight="1">
      <c r="A436" s="31" t="n"/>
      <c r="P436" s="31" t="n"/>
      <c r="Q436" s="31" t="n"/>
      <c r="R436" s="31" t="n"/>
      <c r="S436" s="31" t="n"/>
      <c r="T436" s="31" t="n"/>
      <c r="U436" s="31" t="n"/>
      <c r="V436" s="31" t="n"/>
      <c r="W436" s="31" t="n"/>
      <c r="X436" s="31" t="n"/>
      <c r="Y436" s="31" t="n"/>
    </row>
    <row r="437" ht="14.25" customHeight="1">
      <c r="A437" s="31" t="n"/>
      <c r="P437" s="31" t="n"/>
      <c r="Q437" s="31" t="n"/>
      <c r="R437" s="31" t="n"/>
      <c r="S437" s="31" t="n"/>
      <c r="T437" s="31" t="n"/>
      <c r="U437" s="31" t="n"/>
      <c r="V437" s="31" t="n"/>
      <c r="W437" s="31" t="n"/>
      <c r="X437" s="31" t="n"/>
      <c r="Y437" s="31" t="n"/>
    </row>
    <row r="438" ht="14.25" customHeight="1">
      <c r="A438" s="31" t="n"/>
      <c r="P438" s="31" t="n"/>
      <c r="Q438" s="31" t="n"/>
      <c r="R438" s="31" t="n"/>
      <c r="S438" s="31" t="n"/>
      <c r="T438" s="31" t="n"/>
      <c r="U438" s="31" t="n"/>
      <c r="V438" s="31" t="n"/>
      <c r="W438" s="31" t="n"/>
      <c r="X438" s="31" t="n"/>
      <c r="Y438" s="31" t="n"/>
    </row>
    <row r="439" ht="14.25" customHeight="1">
      <c r="A439" s="31" t="n"/>
      <c r="P439" s="31" t="n"/>
      <c r="Q439" s="31" t="n"/>
      <c r="R439" s="31" t="n"/>
      <c r="S439" s="31" t="n"/>
      <c r="T439" s="31" t="n"/>
      <c r="U439" s="31" t="n"/>
      <c r="V439" s="31" t="n"/>
      <c r="W439" s="31" t="n"/>
      <c r="X439" s="31" t="n"/>
      <c r="Y439" s="31" t="n"/>
    </row>
    <row r="440" ht="14.25" customHeight="1">
      <c r="A440" s="31" t="n"/>
      <c r="P440" s="31" t="n"/>
      <c r="Q440" s="31" t="n"/>
      <c r="R440" s="31" t="n"/>
      <c r="S440" s="31" t="n"/>
      <c r="T440" s="31" t="n"/>
      <c r="U440" s="31" t="n"/>
      <c r="V440" s="31" t="n"/>
      <c r="W440" s="31" t="n"/>
      <c r="X440" s="31" t="n"/>
      <c r="Y440" s="31" t="n"/>
    </row>
    <row r="441" ht="14.25" customHeight="1">
      <c r="A441" s="31" t="n"/>
      <c r="P441" s="31" t="n"/>
      <c r="Q441" s="31" t="n"/>
      <c r="R441" s="31" t="n"/>
      <c r="S441" s="31" t="n"/>
      <c r="T441" s="31" t="n"/>
      <c r="U441" s="31" t="n"/>
      <c r="V441" s="31" t="n"/>
      <c r="W441" s="31" t="n"/>
      <c r="X441" s="31" t="n"/>
      <c r="Y441" s="31" t="n"/>
    </row>
    <row r="442" ht="14.25" customHeight="1">
      <c r="A442" s="31" t="n"/>
      <c r="P442" s="31" t="n"/>
      <c r="Q442" s="31" t="n"/>
      <c r="R442" s="31" t="n"/>
      <c r="S442" s="31" t="n"/>
      <c r="T442" s="31" t="n"/>
      <c r="U442" s="31" t="n"/>
      <c r="V442" s="31" t="n"/>
      <c r="W442" s="31" t="n"/>
      <c r="X442" s="31" t="n"/>
      <c r="Y442" s="31" t="n"/>
    </row>
    <row r="443" ht="14.25" customHeight="1">
      <c r="A443" s="31" t="n"/>
      <c r="P443" s="31" t="n"/>
      <c r="Q443" s="31" t="n"/>
      <c r="R443" s="31" t="n"/>
      <c r="S443" s="31" t="n"/>
      <c r="T443" s="31" t="n"/>
      <c r="U443" s="31" t="n"/>
      <c r="V443" s="31" t="n"/>
      <c r="W443" s="31" t="n"/>
      <c r="X443" s="31" t="n"/>
      <c r="Y443" s="31" t="n"/>
    </row>
    <row r="444" ht="14.25" customHeight="1">
      <c r="A444" s="31" t="n"/>
      <c r="P444" s="31" t="n"/>
      <c r="Q444" s="31" t="n"/>
      <c r="R444" s="31" t="n"/>
      <c r="S444" s="31" t="n"/>
      <c r="T444" s="31" t="n"/>
      <c r="U444" s="31" t="n"/>
      <c r="V444" s="31" t="n"/>
      <c r="W444" s="31" t="n"/>
      <c r="X444" s="31" t="n"/>
      <c r="Y444" s="31" t="n"/>
    </row>
    <row r="445" ht="14.25" customHeight="1">
      <c r="A445" s="31" t="n"/>
      <c r="P445" s="31" t="n"/>
      <c r="Q445" s="31" t="n"/>
      <c r="R445" s="31" t="n"/>
      <c r="S445" s="31" t="n"/>
      <c r="T445" s="31" t="n"/>
      <c r="U445" s="31" t="n"/>
      <c r="V445" s="31" t="n"/>
      <c r="W445" s="31" t="n"/>
      <c r="X445" s="31" t="n"/>
      <c r="Y445" s="31" t="n"/>
    </row>
    <row r="446" ht="14.25" customHeight="1">
      <c r="A446" s="31" t="n"/>
      <c r="P446" s="31" t="n"/>
      <c r="Q446" s="31" t="n"/>
      <c r="R446" s="31" t="n"/>
      <c r="S446" s="31" t="n"/>
      <c r="T446" s="31" t="n"/>
      <c r="U446" s="31" t="n"/>
      <c r="V446" s="31" t="n"/>
      <c r="W446" s="31" t="n"/>
      <c r="X446" s="31" t="n"/>
      <c r="Y446" s="31" t="n"/>
    </row>
    <row r="447" ht="14.25" customHeight="1">
      <c r="A447" s="31" t="n"/>
      <c r="P447" s="31" t="n"/>
      <c r="Q447" s="31" t="n"/>
      <c r="R447" s="31" t="n"/>
      <c r="S447" s="31" t="n"/>
      <c r="T447" s="31" t="n"/>
      <c r="U447" s="31" t="n"/>
      <c r="V447" s="31" t="n"/>
      <c r="W447" s="31" t="n"/>
      <c r="X447" s="31" t="n"/>
      <c r="Y447" s="31" t="n"/>
    </row>
    <row r="448" ht="14.25" customHeight="1">
      <c r="A448" s="31" t="n"/>
      <c r="P448" s="31" t="n"/>
      <c r="Q448" s="31" t="n"/>
      <c r="R448" s="31" t="n"/>
      <c r="S448" s="31" t="n"/>
      <c r="T448" s="31" t="n"/>
      <c r="U448" s="31" t="n"/>
      <c r="V448" s="31" t="n"/>
      <c r="W448" s="31" t="n"/>
      <c r="X448" s="31" t="n"/>
      <c r="Y448" s="31" t="n"/>
    </row>
    <row r="449" ht="14.25" customHeight="1">
      <c r="A449" s="31" t="n"/>
      <c r="P449" s="31" t="n"/>
      <c r="Q449" s="31" t="n"/>
      <c r="R449" s="31" t="n"/>
      <c r="S449" s="31" t="n"/>
      <c r="T449" s="31" t="n"/>
      <c r="U449" s="31" t="n"/>
      <c r="V449" s="31" t="n"/>
      <c r="W449" s="31" t="n"/>
      <c r="X449" s="31" t="n"/>
      <c r="Y449" s="31" t="n"/>
    </row>
    <row r="450" ht="14.25" customHeight="1">
      <c r="A450" s="31" t="n"/>
      <c r="P450" s="31" t="n"/>
      <c r="Q450" s="31" t="n"/>
      <c r="R450" s="31" t="n"/>
      <c r="S450" s="31" t="n"/>
      <c r="T450" s="31" t="n"/>
      <c r="U450" s="31" t="n"/>
      <c r="V450" s="31" t="n"/>
      <c r="W450" s="31" t="n"/>
      <c r="X450" s="31" t="n"/>
      <c r="Y450" s="31" t="n"/>
    </row>
    <row r="451" ht="14.25" customHeight="1">
      <c r="A451" s="31" t="n"/>
      <c r="P451" s="31" t="n"/>
      <c r="Q451" s="31" t="n"/>
      <c r="R451" s="31" t="n"/>
      <c r="S451" s="31" t="n"/>
      <c r="T451" s="31" t="n"/>
      <c r="U451" s="31" t="n"/>
      <c r="V451" s="31" t="n"/>
      <c r="W451" s="31" t="n"/>
      <c r="X451" s="31" t="n"/>
      <c r="Y451" s="31" t="n"/>
    </row>
    <row r="452" ht="14.25" customHeight="1">
      <c r="A452" s="31" t="n"/>
      <c r="P452" s="31" t="n"/>
      <c r="Q452" s="31" t="n"/>
      <c r="R452" s="31" t="n"/>
      <c r="S452" s="31" t="n"/>
      <c r="T452" s="31" t="n"/>
      <c r="U452" s="31" t="n"/>
      <c r="V452" s="31" t="n"/>
      <c r="W452" s="31" t="n"/>
      <c r="X452" s="31" t="n"/>
      <c r="Y452" s="31" t="n"/>
    </row>
    <row r="453" ht="14.25" customHeight="1">
      <c r="A453" s="31" t="n"/>
      <c r="P453" s="31" t="n"/>
      <c r="Q453" s="31" t="n"/>
      <c r="R453" s="31" t="n"/>
      <c r="S453" s="31" t="n"/>
      <c r="T453" s="31" t="n"/>
      <c r="U453" s="31" t="n"/>
      <c r="V453" s="31" t="n"/>
      <c r="W453" s="31" t="n"/>
      <c r="X453" s="31" t="n"/>
      <c r="Y453" s="31" t="n"/>
    </row>
    <row r="454" ht="14.25" customHeight="1">
      <c r="A454" s="31" t="n"/>
      <c r="P454" s="31" t="n"/>
      <c r="Q454" s="31" t="n"/>
      <c r="R454" s="31" t="n"/>
      <c r="S454" s="31" t="n"/>
      <c r="T454" s="31" t="n"/>
      <c r="U454" s="31" t="n"/>
      <c r="V454" s="31" t="n"/>
      <c r="W454" s="31" t="n"/>
      <c r="X454" s="31" t="n"/>
      <c r="Y454" s="31" t="n"/>
    </row>
    <row r="455" ht="14.25" customHeight="1">
      <c r="A455" s="31" t="n"/>
      <c r="P455" s="31" t="n"/>
      <c r="Q455" s="31" t="n"/>
      <c r="R455" s="31" t="n"/>
      <c r="S455" s="31" t="n"/>
      <c r="T455" s="31" t="n"/>
      <c r="U455" s="31" t="n"/>
      <c r="V455" s="31" t="n"/>
      <c r="W455" s="31" t="n"/>
      <c r="X455" s="31" t="n"/>
      <c r="Y455" s="31" t="n"/>
    </row>
    <row r="456" ht="14.25" customHeight="1">
      <c r="A456" s="31" t="n"/>
      <c r="P456" s="31" t="n"/>
      <c r="Q456" s="31" t="n"/>
      <c r="R456" s="31" t="n"/>
      <c r="S456" s="31" t="n"/>
      <c r="T456" s="31" t="n"/>
      <c r="U456" s="31" t="n"/>
      <c r="V456" s="31" t="n"/>
      <c r="W456" s="31" t="n"/>
      <c r="X456" s="31" t="n"/>
      <c r="Y456" s="31" t="n"/>
    </row>
    <row r="457" ht="14.25" customHeight="1">
      <c r="A457" s="31" t="n"/>
      <c r="P457" s="31" t="n"/>
      <c r="Q457" s="31" t="n"/>
      <c r="R457" s="31" t="n"/>
      <c r="S457" s="31" t="n"/>
      <c r="T457" s="31" t="n"/>
      <c r="U457" s="31" t="n"/>
      <c r="V457" s="31" t="n"/>
      <c r="W457" s="31" t="n"/>
      <c r="X457" s="31" t="n"/>
      <c r="Y457" s="31" t="n"/>
    </row>
    <row r="458" ht="14.25" customHeight="1">
      <c r="A458" s="31" t="n"/>
      <c r="P458" s="31" t="n"/>
      <c r="Q458" s="31" t="n"/>
      <c r="R458" s="31" t="n"/>
      <c r="S458" s="31" t="n"/>
      <c r="T458" s="31" t="n"/>
      <c r="U458" s="31" t="n"/>
      <c r="V458" s="31" t="n"/>
      <c r="W458" s="31" t="n"/>
      <c r="X458" s="31" t="n"/>
      <c r="Y458" s="31" t="n"/>
    </row>
    <row r="459" ht="14.25" customHeight="1">
      <c r="A459" s="31" t="n"/>
      <c r="P459" s="31" t="n"/>
      <c r="Q459" s="31" t="n"/>
      <c r="R459" s="31" t="n"/>
      <c r="S459" s="31" t="n"/>
      <c r="T459" s="31" t="n"/>
      <c r="U459" s="31" t="n"/>
      <c r="V459" s="31" t="n"/>
      <c r="W459" s="31" t="n"/>
      <c r="X459" s="31" t="n"/>
      <c r="Y459" s="31" t="n"/>
    </row>
    <row r="460" ht="14.25" customHeight="1">
      <c r="A460" s="31" t="n"/>
      <c r="P460" s="31" t="n"/>
      <c r="Q460" s="31" t="n"/>
      <c r="R460" s="31" t="n"/>
      <c r="S460" s="31" t="n"/>
      <c r="T460" s="31" t="n"/>
      <c r="U460" s="31" t="n"/>
      <c r="V460" s="31" t="n"/>
      <c r="W460" s="31" t="n"/>
      <c r="X460" s="31" t="n"/>
      <c r="Y460" s="31" t="n"/>
    </row>
    <row r="461" ht="14.25" customHeight="1">
      <c r="A461" s="31" t="n"/>
      <c r="P461" s="31" t="n"/>
      <c r="Q461" s="31" t="n"/>
      <c r="R461" s="31" t="n"/>
      <c r="S461" s="31" t="n"/>
      <c r="T461" s="31" t="n"/>
      <c r="U461" s="31" t="n"/>
      <c r="V461" s="31" t="n"/>
      <c r="W461" s="31" t="n"/>
      <c r="X461" s="31" t="n"/>
      <c r="Y461" s="31" t="n"/>
    </row>
    <row r="462" ht="14.25" customHeight="1">
      <c r="A462" s="31" t="n"/>
      <c r="P462" s="31" t="n"/>
      <c r="Q462" s="31" t="n"/>
      <c r="R462" s="31" t="n"/>
      <c r="S462" s="31" t="n"/>
      <c r="T462" s="31" t="n"/>
      <c r="U462" s="31" t="n"/>
      <c r="V462" s="31" t="n"/>
      <c r="W462" s="31" t="n"/>
      <c r="X462" s="31" t="n"/>
      <c r="Y462" s="31" t="n"/>
    </row>
    <row r="463" ht="14.25" customHeight="1">
      <c r="A463" s="31" t="n"/>
      <c r="P463" s="31" t="n"/>
      <c r="Q463" s="31" t="n"/>
      <c r="R463" s="31" t="n"/>
      <c r="S463" s="31" t="n"/>
      <c r="T463" s="31" t="n"/>
      <c r="U463" s="31" t="n"/>
      <c r="V463" s="31" t="n"/>
      <c r="W463" s="31" t="n"/>
      <c r="X463" s="31" t="n"/>
      <c r="Y463" s="31" t="n"/>
    </row>
    <row r="464" ht="14.25" customHeight="1">
      <c r="A464" s="31" t="n"/>
      <c r="P464" s="31" t="n"/>
      <c r="Q464" s="31" t="n"/>
      <c r="R464" s="31" t="n"/>
      <c r="S464" s="31" t="n"/>
      <c r="T464" s="31" t="n"/>
      <c r="U464" s="31" t="n"/>
      <c r="V464" s="31" t="n"/>
      <c r="W464" s="31" t="n"/>
      <c r="X464" s="31" t="n"/>
      <c r="Y464" s="31" t="n"/>
    </row>
    <row r="465" ht="14.25" customHeight="1">
      <c r="A465" s="31" t="n"/>
      <c r="P465" s="31" t="n"/>
      <c r="Q465" s="31" t="n"/>
      <c r="R465" s="31" t="n"/>
      <c r="S465" s="31" t="n"/>
      <c r="T465" s="31" t="n"/>
      <c r="U465" s="31" t="n"/>
      <c r="V465" s="31" t="n"/>
      <c r="W465" s="31" t="n"/>
      <c r="X465" s="31" t="n"/>
      <c r="Y465" s="31" t="n"/>
    </row>
    <row r="466" ht="14.25" customHeight="1">
      <c r="A466" s="31" t="n"/>
      <c r="P466" s="31" t="n"/>
      <c r="Q466" s="31" t="n"/>
      <c r="R466" s="31" t="n"/>
      <c r="S466" s="31" t="n"/>
      <c r="T466" s="31" t="n"/>
      <c r="U466" s="31" t="n"/>
      <c r="V466" s="31" t="n"/>
      <c r="W466" s="31" t="n"/>
      <c r="X466" s="31" t="n"/>
      <c r="Y466" s="31" t="n"/>
    </row>
    <row r="467" ht="14.25" customHeight="1">
      <c r="A467" s="31" t="n"/>
      <c r="P467" s="31" t="n"/>
      <c r="Q467" s="31" t="n"/>
      <c r="R467" s="31" t="n"/>
      <c r="S467" s="31" t="n"/>
      <c r="T467" s="31" t="n"/>
      <c r="U467" s="31" t="n"/>
      <c r="V467" s="31" t="n"/>
      <c r="W467" s="31" t="n"/>
      <c r="X467" s="31" t="n"/>
      <c r="Y467" s="31" t="n"/>
    </row>
    <row r="468" ht="14.25" customHeight="1">
      <c r="A468" s="31" t="n"/>
      <c r="P468" s="31" t="n"/>
      <c r="Q468" s="31" t="n"/>
      <c r="R468" s="31" t="n"/>
      <c r="S468" s="31" t="n"/>
      <c r="T468" s="31" t="n"/>
      <c r="U468" s="31" t="n"/>
      <c r="V468" s="31" t="n"/>
      <c r="W468" s="31" t="n"/>
      <c r="X468" s="31" t="n"/>
      <c r="Y468" s="31" t="n"/>
    </row>
    <row r="469" ht="14.25" customHeight="1">
      <c r="A469" s="31" t="n"/>
      <c r="P469" s="31" t="n"/>
      <c r="Q469" s="31" t="n"/>
      <c r="R469" s="31" t="n"/>
      <c r="S469" s="31" t="n"/>
      <c r="T469" s="31" t="n"/>
      <c r="U469" s="31" t="n"/>
      <c r="V469" s="31" t="n"/>
      <c r="W469" s="31" t="n"/>
      <c r="X469" s="31" t="n"/>
      <c r="Y469" s="31" t="n"/>
    </row>
    <row r="470" ht="14.25" customHeight="1">
      <c r="A470" s="31" t="n"/>
      <c r="P470" s="31" t="n"/>
      <c r="Q470" s="31" t="n"/>
      <c r="R470" s="31" t="n"/>
      <c r="S470" s="31" t="n"/>
      <c r="T470" s="31" t="n"/>
      <c r="U470" s="31" t="n"/>
      <c r="V470" s="31" t="n"/>
      <c r="W470" s="31" t="n"/>
      <c r="X470" s="31" t="n"/>
      <c r="Y470" s="31" t="n"/>
    </row>
    <row r="471" ht="14.25" customHeight="1">
      <c r="A471" s="31" t="n"/>
      <c r="P471" s="31" t="n"/>
      <c r="Q471" s="31" t="n"/>
      <c r="R471" s="31" t="n"/>
      <c r="S471" s="31" t="n"/>
      <c r="T471" s="31" t="n"/>
      <c r="U471" s="31" t="n"/>
      <c r="V471" s="31" t="n"/>
      <c r="W471" s="31" t="n"/>
      <c r="X471" s="31" t="n"/>
      <c r="Y471" s="31" t="n"/>
    </row>
    <row r="472" ht="14.25" customHeight="1">
      <c r="A472" s="31" t="n"/>
      <c r="P472" s="31" t="n"/>
      <c r="Q472" s="31" t="n"/>
      <c r="R472" s="31" t="n"/>
      <c r="S472" s="31" t="n"/>
      <c r="T472" s="31" t="n"/>
      <c r="U472" s="31" t="n"/>
      <c r="V472" s="31" t="n"/>
      <c r="W472" s="31" t="n"/>
      <c r="X472" s="31" t="n"/>
      <c r="Y472" s="31" t="n"/>
    </row>
    <row r="473" ht="14.25" customHeight="1">
      <c r="A473" s="31" t="n"/>
      <c r="P473" s="31" t="n"/>
      <c r="Q473" s="31" t="n"/>
      <c r="R473" s="31" t="n"/>
      <c r="S473" s="31" t="n"/>
      <c r="T473" s="31" t="n"/>
      <c r="U473" s="31" t="n"/>
      <c r="V473" s="31" t="n"/>
      <c r="W473" s="31" t="n"/>
      <c r="X473" s="31" t="n"/>
      <c r="Y473" s="31" t="n"/>
    </row>
    <row r="474" ht="14.25" customHeight="1">
      <c r="A474" s="31" t="n"/>
      <c r="P474" s="31" t="n"/>
      <c r="Q474" s="31" t="n"/>
      <c r="R474" s="31" t="n"/>
      <c r="S474" s="31" t="n"/>
      <c r="T474" s="31" t="n"/>
      <c r="U474" s="31" t="n"/>
      <c r="V474" s="31" t="n"/>
      <c r="W474" s="31" t="n"/>
      <c r="X474" s="31" t="n"/>
      <c r="Y474" s="31" t="n"/>
    </row>
    <row r="475" ht="14.25" customHeight="1">
      <c r="A475" s="31" t="n"/>
      <c r="P475" s="31" t="n"/>
      <c r="Q475" s="31" t="n"/>
      <c r="R475" s="31" t="n"/>
      <c r="S475" s="31" t="n"/>
      <c r="T475" s="31" t="n"/>
      <c r="U475" s="31" t="n"/>
      <c r="V475" s="31" t="n"/>
      <c r="W475" s="31" t="n"/>
      <c r="X475" s="31" t="n"/>
      <c r="Y475" s="31" t="n"/>
    </row>
    <row r="476" ht="14.25" customHeight="1">
      <c r="A476" s="31" t="n"/>
      <c r="P476" s="31" t="n"/>
      <c r="Q476" s="31" t="n"/>
      <c r="R476" s="31" t="n"/>
      <c r="S476" s="31" t="n"/>
      <c r="T476" s="31" t="n"/>
      <c r="U476" s="31" t="n"/>
      <c r="V476" s="31" t="n"/>
      <c r="W476" s="31" t="n"/>
      <c r="X476" s="31" t="n"/>
      <c r="Y476" s="31" t="n"/>
    </row>
    <row r="477" ht="14.25" customHeight="1">
      <c r="A477" s="31" t="n"/>
      <c r="P477" s="31" t="n"/>
      <c r="Q477" s="31" t="n"/>
      <c r="R477" s="31" t="n"/>
      <c r="S477" s="31" t="n"/>
      <c r="T477" s="31" t="n"/>
      <c r="U477" s="31" t="n"/>
      <c r="V477" s="31" t="n"/>
      <c r="W477" s="31" t="n"/>
      <c r="X477" s="31" t="n"/>
      <c r="Y477" s="31" t="n"/>
    </row>
    <row r="478" ht="14.25" customHeight="1">
      <c r="A478" s="31" t="n"/>
      <c r="P478" s="31" t="n"/>
      <c r="Q478" s="31" t="n"/>
      <c r="R478" s="31" t="n"/>
      <c r="S478" s="31" t="n"/>
      <c r="T478" s="31" t="n"/>
      <c r="U478" s="31" t="n"/>
      <c r="V478" s="31" t="n"/>
      <c r="W478" s="31" t="n"/>
      <c r="X478" s="31" t="n"/>
      <c r="Y478" s="31" t="n"/>
    </row>
    <row r="479" ht="14.25" customHeight="1">
      <c r="A479" s="31" t="n"/>
      <c r="P479" s="31" t="n"/>
      <c r="Q479" s="31" t="n"/>
      <c r="R479" s="31" t="n"/>
      <c r="S479" s="31" t="n"/>
      <c r="T479" s="31" t="n"/>
      <c r="U479" s="31" t="n"/>
      <c r="V479" s="31" t="n"/>
      <c r="W479" s="31" t="n"/>
      <c r="X479" s="31" t="n"/>
      <c r="Y479" s="31" t="n"/>
    </row>
    <row r="480" ht="14.25" customHeight="1">
      <c r="A480" s="31" t="n"/>
      <c r="P480" s="31" t="n"/>
      <c r="Q480" s="31" t="n"/>
      <c r="R480" s="31" t="n"/>
      <c r="S480" s="31" t="n"/>
      <c r="T480" s="31" t="n"/>
      <c r="U480" s="31" t="n"/>
      <c r="V480" s="31" t="n"/>
      <c r="W480" s="31" t="n"/>
      <c r="X480" s="31" t="n"/>
      <c r="Y480" s="31" t="n"/>
    </row>
    <row r="481" ht="14.25" customHeight="1">
      <c r="A481" s="31" t="n"/>
      <c r="P481" s="31" t="n"/>
      <c r="Q481" s="31" t="n"/>
      <c r="R481" s="31" t="n"/>
      <c r="S481" s="31" t="n"/>
      <c r="T481" s="31" t="n"/>
      <c r="U481" s="31" t="n"/>
      <c r="V481" s="31" t="n"/>
      <c r="W481" s="31" t="n"/>
      <c r="X481" s="31" t="n"/>
      <c r="Y481" s="31" t="n"/>
    </row>
    <row r="482" ht="14.25" customHeight="1">
      <c r="A482" s="31" t="n"/>
      <c r="P482" s="31" t="n"/>
      <c r="Q482" s="31" t="n"/>
      <c r="R482" s="31" t="n"/>
      <c r="S482" s="31" t="n"/>
      <c r="T482" s="31" t="n"/>
      <c r="U482" s="31" t="n"/>
      <c r="V482" s="31" t="n"/>
      <c r="W482" s="31" t="n"/>
      <c r="X482" s="31" t="n"/>
      <c r="Y482" s="31" t="n"/>
    </row>
    <row r="483" ht="14.25" customHeight="1">
      <c r="A483" s="31" t="n"/>
      <c r="P483" s="31" t="n"/>
      <c r="Q483" s="31" t="n"/>
      <c r="R483" s="31" t="n"/>
      <c r="S483" s="31" t="n"/>
      <c r="T483" s="31" t="n"/>
      <c r="U483" s="31" t="n"/>
      <c r="V483" s="31" t="n"/>
      <c r="W483" s="31" t="n"/>
      <c r="X483" s="31" t="n"/>
      <c r="Y483" s="31" t="n"/>
    </row>
    <row r="484" ht="14.25" customHeight="1">
      <c r="A484" s="31" t="n"/>
      <c r="P484" s="31" t="n"/>
      <c r="Q484" s="31" t="n"/>
      <c r="R484" s="31" t="n"/>
      <c r="S484" s="31" t="n"/>
      <c r="T484" s="31" t="n"/>
      <c r="U484" s="31" t="n"/>
      <c r="V484" s="31" t="n"/>
      <c r="W484" s="31" t="n"/>
      <c r="X484" s="31" t="n"/>
      <c r="Y484" s="31" t="n"/>
    </row>
    <row r="485" ht="14.25" customHeight="1">
      <c r="A485" s="31" t="n"/>
      <c r="P485" s="31" t="n"/>
      <c r="Q485" s="31" t="n"/>
      <c r="R485" s="31" t="n"/>
      <c r="S485" s="31" t="n"/>
      <c r="T485" s="31" t="n"/>
      <c r="U485" s="31" t="n"/>
      <c r="V485" s="31" t="n"/>
      <c r="W485" s="31" t="n"/>
      <c r="X485" s="31" t="n"/>
      <c r="Y485" s="31" t="n"/>
    </row>
    <row r="486" ht="14.25" customHeight="1">
      <c r="A486" s="31" t="n"/>
      <c r="P486" s="31" t="n"/>
      <c r="Q486" s="31" t="n"/>
      <c r="R486" s="31" t="n"/>
      <c r="S486" s="31" t="n"/>
      <c r="T486" s="31" t="n"/>
      <c r="U486" s="31" t="n"/>
      <c r="V486" s="31" t="n"/>
      <c r="W486" s="31" t="n"/>
      <c r="X486" s="31" t="n"/>
      <c r="Y486" s="31" t="n"/>
    </row>
    <row r="487" ht="14.25" customHeight="1">
      <c r="A487" s="31" t="n"/>
      <c r="P487" s="31" t="n"/>
      <c r="Q487" s="31" t="n"/>
      <c r="R487" s="31" t="n"/>
      <c r="S487" s="31" t="n"/>
      <c r="T487" s="31" t="n"/>
      <c r="U487" s="31" t="n"/>
      <c r="V487" s="31" t="n"/>
      <c r="W487" s="31" t="n"/>
      <c r="X487" s="31" t="n"/>
      <c r="Y487" s="31" t="n"/>
    </row>
    <row r="488" ht="14.25" customHeight="1">
      <c r="A488" s="31" t="n"/>
      <c r="P488" s="31" t="n"/>
      <c r="Q488" s="31" t="n"/>
      <c r="R488" s="31" t="n"/>
      <c r="S488" s="31" t="n"/>
      <c r="T488" s="31" t="n"/>
      <c r="U488" s="31" t="n"/>
      <c r="V488" s="31" t="n"/>
      <c r="W488" s="31" t="n"/>
      <c r="X488" s="31" t="n"/>
      <c r="Y488" s="31" t="n"/>
    </row>
    <row r="489" ht="14.25" customHeight="1">
      <c r="A489" s="31" t="n"/>
      <c r="P489" s="31" t="n"/>
      <c r="Q489" s="31" t="n"/>
      <c r="R489" s="31" t="n"/>
      <c r="S489" s="31" t="n"/>
      <c r="T489" s="31" t="n"/>
      <c r="U489" s="31" t="n"/>
      <c r="V489" s="31" t="n"/>
      <c r="W489" s="31" t="n"/>
      <c r="X489" s="31" t="n"/>
      <c r="Y489" s="31" t="n"/>
    </row>
    <row r="490" ht="14.25" customHeight="1">
      <c r="A490" s="31" t="n"/>
      <c r="P490" s="31" t="n"/>
      <c r="Q490" s="31" t="n"/>
      <c r="R490" s="31" t="n"/>
      <c r="S490" s="31" t="n"/>
      <c r="T490" s="31" t="n"/>
      <c r="U490" s="31" t="n"/>
      <c r="V490" s="31" t="n"/>
      <c r="W490" s="31" t="n"/>
      <c r="X490" s="31" t="n"/>
      <c r="Y490" s="31" t="n"/>
    </row>
    <row r="491" ht="14.25" customHeight="1">
      <c r="A491" s="31" t="n"/>
      <c r="P491" s="31" t="n"/>
      <c r="Q491" s="31" t="n"/>
      <c r="R491" s="31" t="n"/>
      <c r="S491" s="31" t="n"/>
      <c r="T491" s="31" t="n"/>
      <c r="U491" s="31" t="n"/>
      <c r="V491" s="31" t="n"/>
      <c r="W491" s="31" t="n"/>
      <c r="X491" s="31" t="n"/>
      <c r="Y491" s="31" t="n"/>
    </row>
    <row r="492" ht="14.25" customHeight="1">
      <c r="A492" s="31" t="n"/>
      <c r="P492" s="31" t="n"/>
      <c r="Q492" s="31" t="n"/>
      <c r="R492" s="31" t="n"/>
      <c r="S492" s="31" t="n"/>
      <c r="T492" s="31" t="n"/>
      <c r="U492" s="31" t="n"/>
      <c r="V492" s="31" t="n"/>
      <c r="W492" s="31" t="n"/>
      <c r="X492" s="31" t="n"/>
      <c r="Y492" s="31" t="n"/>
    </row>
    <row r="493" ht="14.25" customHeight="1">
      <c r="A493" s="31" t="n"/>
      <c r="P493" s="31" t="n"/>
      <c r="Q493" s="31" t="n"/>
      <c r="R493" s="31" t="n"/>
      <c r="S493" s="31" t="n"/>
      <c r="T493" s="31" t="n"/>
      <c r="U493" s="31" t="n"/>
      <c r="V493" s="31" t="n"/>
      <c r="W493" s="31" t="n"/>
      <c r="X493" s="31" t="n"/>
      <c r="Y493" s="31" t="n"/>
    </row>
    <row r="494" ht="14.25" customHeight="1">
      <c r="A494" s="31" t="n"/>
      <c r="P494" s="31" t="n"/>
      <c r="Q494" s="31" t="n"/>
      <c r="R494" s="31" t="n"/>
      <c r="S494" s="31" t="n"/>
      <c r="T494" s="31" t="n"/>
      <c r="U494" s="31" t="n"/>
      <c r="V494" s="31" t="n"/>
      <c r="W494" s="31" t="n"/>
      <c r="X494" s="31" t="n"/>
      <c r="Y494" s="31" t="n"/>
    </row>
    <row r="495" ht="14.25" customHeight="1">
      <c r="A495" s="31" t="n"/>
      <c r="P495" s="31" t="n"/>
      <c r="Q495" s="31" t="n"/>
      <c r="R495" s="31" t="n"/>
      <c r="S495" s="31" t="n"/>
      <c r="T495" s="31" t="n"/>
      <c r="U495" s="31" t="n"/>
      <c r="V495" s="31" t="n"/>
      <c r="W495" s="31" t="n"/>
      <c r="X495" s="31" t="n"/>
      <c r="Y495" s="31" t="n"/>
    </row>
    <row r="496" ht="14.25" customHeight="1">
      <c r="A496" s="31" t="n"/>
      <c r="P496" s="31" t="n"/>
      <c r="Q496" s="31" t="n"/>
      <c r="R496" s="31" t="n"/>
      <c r="S496" s="31" t="n"/>
      <c r="T496" s="31" t="n"/>
      <c r="U496" s="31" t="n"/>
      <c r="V496" s="31" t="n"/>
      <c r="W496" s="31" t="n"/>
      <c r="X496" s="31" t="n"/>
      <c r="Y496" s="31" t="n"/>
    </row>
    <row r="497" ht="14.25" customHeight="1">
      <c r="A497" s="31" t="n"/>
      <c r="P497" s="31" t="n"/>
      <c r="Q497" s="31" t="n"/>
      <c r="R497" s="31" t="n"/>
      <c r="S497" s="31" t="n"/>
      <c r="T497" s="31" t="n"/>
      <c r="U497" s="31" t="n"/>
      <c r="V497" s="31" t="n"/>
      <c r="W497" s="31" t="n"/>
      <c r="X497" s="31" t="n"/>
      <c r="Y497" s="31" t="n"/>
    </row>
    <row r="498" ht="14.25" customHeight="1">
      <c r="A498" s="31" t="n"/>
      <c r="P498" s="31" t="n"/>
      <c r="Q498" s="31" t="n"/>
      <c r="R498" s="31" t="n"/>
      <c r="S498" s="31" t="n"/>
      <c r="T498" s="31" t="n"/>
      <c r="U498" s="31" t="n"/>
      <c r="V498" s="31" t="n"/>
      <c r="W498" s="31" t="n"/>
      <c r="X498" s="31" t="n"/>
      <c r="Y498" s="31" t="n"/>
    </row>
    <row r="499" ht="14.25" customHeight="1">
      <c r="A499" s="31" t="n"/>
      <c r="P499" s="31" t="n"/>
      <c r="Q499" s="31" t="n"/>
      <c r="R499" s="31" t="n"/>
      <c r="S499" s="31" t="n"/>
      <c r="T499" s="31" t="n"/>
      <c r="U499" s="31" t="n"/>
      <c r="V499" s="31" t="n"/>
      <c r="W499" s="31" t="n"/>
      <c r="X499" s="31" t="n"/>
      <c r="Y499" s="31" t="n"/>
    </row>
    <row r="500" ht="14.25" customHeight="1">
      <c r="A500" s="31" t="n"/>
      <c r="P500" s="31" t="n"/>
      <c r="Q500" s="31" t="n"/>
      <c r="R500" s="31" t="n"/>
      <c r="S500" s="31" t="n"/>
      <c r="T500" s="31" t="n"/>
      <c r="U500" s="31" t="n"/>
      <c r="V500" s="31" t="n"/>
      <c r="W500" s="31" t="n"/>
      <c r="X500" s="31" t="n"/>
      <c r="Y500" s="31" t="n"/>
    </row>
    <row r="501" ht="14.25" customHeight="1">
      <c r="A501" s="31" t="n"/>
      <c r="P501" s="31" t="n"/>
      <c r="Q501" s="31" t="n"/>
      <c r="R501" s="31" t="n"/>
      <c r="S501" s="31" t="n"/>
      <c r="T501" s="31" t="n"/>
      <c r="U501" s="31" t="n"/>
      <c r="V501" s="31" t="n"/>
      <c r="W501" s="31" t="n"/>
      <c r="X501" s="31" t="n"/>
      <c r="Y501" s="31" t="n"/>
    </row>
    <row r="502" ht="14.25" customHeight="1">
      <c r="A502" s="31" t="n"/>
      <c r="P502" s="31" t="n"/>
      <c r="Q502" s="31" t="n"/>
      <c r="R502" s="31" t="n"/>
      <c r="S502" s="31" t="n"/>
      <c r="T502" s="31" t="n"/>
      <c r="U502" s="31" t="n"/>
      <c r="V502" s="31" t="n"/>
      <c r="W502" s="31" t="n"/>
      <c r="X502" s="31" t="n"/>
      <c r="Y502" s="31" t="n"/>
    </row>
    <row r="503" ht="14.25" customHeight="1">
      <c r="A503" s="31" t="n"/>
      <c r="P503" s="31" t="n"/>
      <c r="Q503" s="31" t="n"/>
      <c r="R503" s="31" t="n"/>
      <c r="S503" s="31" t="n"/>
      <c r="T503" s="31" t="n"/>
      <c r="U503" s="31" t="n"/>
      <c r="V503" s="31" t="n"/>
      <c r="W503" s="31" t="n"/>
      <c r="X503" s="31" t="n"/>
      <c r="Y503" s="31" t="n"/>
    </row>
    <row r="504" ht="14.25" customHeight="1">
      <c r="A504" s="31" t="n"/>
      <c r="P504" s="31" t="n"/>
      <c r="Q504" s="31" t="n"/>
      <c r="R504" s="31" t="n"/>
      <c r="S504" s="31" t="n"/>
      <c r="T504" s="31" t="n"/>
      <c r="U504" s="31" t="n"/>
      <c r="V504" s="31" t="n"/>
      <c r="W504" s="31" t="n"/>
      <c r="X504" s="31" t="n"/>
      <c r="Y504" s="31" t="n"/>
    </row>
    <row r="505" ht="14.25" customHeight="1">
      <c r="A505" s="31" t="n"/>
      <c r="P505" s="31" t="n"/>
      <c r="Q505" s="31" t="n"/>
      <c r="R505" s="31" t="n"/>
      <c r="S505" s="31" t="n"/>
      <c r="T505" s="31" t="n"/>
      <c r="U505" s="31" t="n"/>
      <c r="V505" s="31" t="n"/>
      <c r="W505" s="31" t="n"/>
      <c r="X505" s="31" t="n"/>
      <c r="Y505" s="31" t="n"/>
    </row>
    <row r="506" ht="14.25" customHeight="1">
      <c r="A506" s="31" t="n"/>
      <c r="P506" s="31" t="n"/>
      <c r="Q506" s="31" t="n"/>
      <c r="R506" s="31" t="n"/>
      <c r="S506" s="31" t="n"/>
      <c r="T506" s="31" t="n"/>
      <c r="U506" s="31" t="n"/>
      <c r="V506" s="31" t="n"/>
      <c r="W506" s="31" t="n"/>
      <c r="X506" s="31" t="n"/>
      <c r="Y506" s="31" t="n"/>
    </row>
    <row r="507" ht="14.25" customHeight="1">
      <c r="A507" s="31" t="n"/>
      <c r="P507" s="31" t="n"/>
      <c r="Q507" s="31" t="n"/>
      <c r="R507" s="31" t="n"/>
      <c r="S507" s="31" t="n"/>
      <c r="T507" s="31" t="n"/>
      <c r="U507" s="31" t="n"/>
      <c r="V507" s="31" t="n"/>
      <c r="W507" s="31" t="n"/>
      <c r="X507" s="31" t="n"/>
      <c r="Y507" s="31" t="n"/>
    </row>
    <row r="508" ht="14.25" customHeight="1">
      <c r="A508" s="31" t="n"/>
      <c r="P508" s="31" t="n"/>
      <c r="Q508" s="31" t="n"/>
      <c r="R508" s="31" t="n"/>
      <c r="S508" s="31" t="n"/>
      <c r="T508" s="31" t="n"/>
      <c r="U508" s="31" t="n"/>
      <c r="V508" s="31" t="n"/>
      <c r="W508" s="31" t="n"/>
      <c r="X508" s="31" t="n"/>
      <c r="Y508" s="31" t="n"/>
    </row>
    <row r="509" ht="14.25" customHeight="1">
      <c r="A509" s="31" t="n"/>
      <c r="P509" s="31" t="n"/>
      <c r="Q509" s="31" t="n"/>
      <c r="R509" s="31" t="n"/>
      <c r="S509" s="31" t="n"/>
      <c r="T509" s="31" t="n"/>
      <c r="U509" s="31" t="n"/>
      <c r="V509" s="31" t="n"/>
      <c r="W509" s="31" t="n"/>
      <c r="X509" s="31" t="n"/>
      <c r="Y509" s="31" t="n"/>
    </row>
    <row r="510" ht="14.25" customHeight="1">
      <c r="A510" s="31" t="n"/>
      <c r="P510" s="31" t="n"/>
      <c r="Q510" s="31" t="n"/>
      <c r="R510" s="31" t="n"/>
      <c r="S510" s="31" t="n"/>
      <c r="T510" s="31" t="n"/>
      <c r="U510" s="31" t="n"/>
      <c r="V510" s="31" t="n"/>
      <c r="W510" s="31" t="n"/>
      <c r="X510" s="31" t="n"/>
      <c r="Y510" s="31" t="n"/>
    </row>
    <row r="511" ht="14.25" customHeight="1">
      <c r="A511" s="31" t="n"/>
      <c r="P511" s="31" t="n"/>
      <c r="Q511" s="31" t="n"/>
      <c r="R511" s="31" t="n"/>
      <c r="S511" s="31" t="n"/>
      <c r="T511" s="31" t="n"/>
      <c r="U511" s="31" t="n"/>
      <c r="V511" s="31" t="n"/>
      <c r="W511" s="31" t="n"/>
      <c r="X511" s="31" t="n"/>
      <c r="Y511" s="31" t="n"/>
    </row>
    <row r="512" ht="14.25" customHeight="1">
      <c r="A512" s="31" t="n"/>
      <c r="P512" s="31" t="n"/>
      <c r="Q512" s="31" t="n"/>
      <c r="R512" s="31" t="n"/>
      <c r="S512" s="31" t="n"/>
      <c r="T512" s="31" t="n"/>
      <c r="U512" s="31" t="n"/>
      <c r="V512" s="31" t="n"/>
      <c r="W512" s="31" t="n"/>
      <c r="X512" s="31" t="n"/>
      <c r="Y512" s="31" t="n"/>
    </row>
    <row r="513" ht="14.25" customHeight="1">
      <c r="A513" s="31" t="n"/>
      <c r="P513" s="31" t="n"/>
      <c r="Q513" s="31" t="n"/>
      <c r="R513" s="31" t="n"/>
      <c r="S513" s="31" t="n"/>
      <c r="T513" s="31" t="n"/>
      <c r="U513" s="31" t="n"/>
      <c r="V513" s="31" t="n"/>
      <c r="W513" s="31" t="n"/>
      <c r="X513" s="31" t="n"/>
      <c r="Y513" s="31" t="n"/>
    </row>
    <row r="514" ht="14.25" customHeight="1">
      <c r="A514" s="31" t="n"/>
      <c r="P514" s="31" t="n"/>
      <c r="Q514" s="31" t="n"/>
      <c r="R514" s="31" t="n"/>
      <c r="S514" s="31" t="n"/>
      <c r="T514" s="31" t="n"/>
      <c r="U514" s="31" t="n"/>
      <c r="V514" s="31" t="n"/>
      <c r="W514" s="31" t="n"/>
      <c r="X514" s="31" t="n"/>
      <c r="Y514" s="31" t="n"/>
    </row>
    <row r="515" ht="14.25" customHeight="1">
      <c r="A515" s="31" t="n"/>
      <c r="P515" s="31" t="n"/>
      <c r="Q515" s="31" t="n"/>
      <c r="R515" s="31" t="n"/>
      <c r="S515" s="31" t="n"/>
      <c r="T515" s="31" t="n"/>
      <c r="U515" s="31" t="n"/>
      <c r="V515" s="31" t="n"/>
      <c r="W515" s="31" t="n"/>
      <c r="X515" s="31" t="n"/>
      <c r="Y515" s="31" t="n"/>
    </row>
    <row r="516" ht="14.25" customHeight="1">
      <c r="A516" s="31" t="n"/>
      <c r="P516" s="31" t="n"/>
      <c r="Q516" s="31" t="n"/>
      <c r="R516" s="31" t="n"/>
      <c r="S516" s="31" t="n"/>
      <c r="T516" s="31" t="n"/>
      <c r="U516" s="31" t="n"/>
      <c r="V516" s="31" t="n"/>
      <c r="W516" s="31" t="n"/>
      <c r="X516" s="31" t="n"/>
      <c r="Y516" s="31" t="n"/>
    </row>
    <row r="517" ht="14.25" customHeight="1">
      <c r="A517" s="31" t="n"/>
      <c r="P517" s="31" t="n"/>
      <c r="Q517" s="31" t="n"/>
      <c r="R517" s="31" t="n"/>
      <c r="S517" s="31" t="n"/>
      <c r="T517" s="31" t="n"/>
      <c r="U517" s="31" t="n"/>
      <c r="V517" s="31" t="n"/>
      <c r="W517" s="31" t="n"/>
      <c r="X517" s="31" t="n"/>
      <c r="Y517" s="31" t="n"/>
    </row>
    <row r="518" ht="14.25" customHeight="1">
      <c r="A518" s="31" t="n"/>
      <c r="P518" s="31" t="n"/>
      <c r="Q518" s="31" t="n"/>
      <c r="R518" s="31" t="n"/>
      <c r="S518" s="31" t="n"/>
      <c r="T518" s="31" t="n"/>
      <c r="U518" s="31" t="n"/>
      <c r="V518" s="31" t="n"/>
      <c r="W518" s="31" t="n"/>
      <c r="X518" s="31" t="n"/>
      <c r="Y518" s="31" t="n"/>
    </row>
    <row r="519" ht="14.25" customHeight="1">
      <c r="A519" s="31" t="n"/>
      <c r="P519" s="31" t="n"/>
      <c r="Q519" s="31" t="n"/>
      <c r="R519" s="31" t="n"/>
      <c r="S519" s="31" t="n"/>
      <c r="T519" s="31" t="n"/>
      <c r="U519" s="31" t="n"/>
      <c r="V519" s="31" t="n"/>
      <c r="W519" s="31" t="n"/>
      <c r="X519" s="31" t="n"/>
      <c r="Y519" s="31" t="n"/>
    </row>
    <row r="520" ht="14.25" customHeight="1">
      <c r="A520" s="31" t="n"/>
      <c r="P520" s="31" t="n"/>
      <c r="Q520" s="31" t="n"/>
      <c r="R520" s="31" t="n"/>
      <c r="S520" s="31" t="n"/>
      <c r="T520" s="31" t="n"/>
      <c r="U520" s="31" t="n"/>
      <c r="V520" s="31" t="n"/>
      <c r="W520" s="31" t="n"/>
      <c r="X520" s="31" t="n"/>
      <c r="Y520" s="31" t="n"/>
    </row>
    <row r="521" ht="14.25" customHeight="1">
      <c r="A521" s="31" t="n"/>
      <c r="P521" s="31" t="n"/>
      <c r="Q521" s="31" t="n"/>
      <c r="R521" s="31" t="n"/>
      <c r="S521" s="31" t="n"/>
      <c r="T521" s="31" t="n"/>
      <c r="U521" s="31" t="n"/>
      <c r="V521" s="31" t="n"/>
      <c r="W521" s="31" t="n"/>
      <c r="X521" s="31" t="n"/>
      <c r="Y521" s="31" t="n"/>
    </row>
    <row r="522" ht="14.25" customHeight="1">
      <c r="A522" s="31" t="n"/>
      <c r="P522" s="31" t="n"/>
      <c r="Q522" s="31" t="n"/>
      <c r="R522" s="31" t="n"/>
      <c r="S522" s="31" t="n"/>
      <c r="T522" s="31" t="n"/>
      <c r="U522" s="31" t="n"/>
      <c r="V522" s="31" t="n"/>
      <c r="W522" s="31" t="n"/>
      <c r="X522" s="31" t="n"/>
      <c r="Y522" s="31" t="n"/>
    </row>
    <row r="523" ht="14.25" customHeight="1">
      <c r="A523" s="31" t="n"/>
      <c r="P523" s="31" t="n"/>
      <c r="Q523" s="31" t="n"/>
      <c r="R523" s="31" t="n"/>
      <c r="S523" s="31" t="n"/>
      <c r="T523" s="31" t="n"/>
      <c r="U523" s="31" t="n"/>
      <c r="V523" s="31" t="n"/>
      <c r="W523" s="31" t="n"/>
      <c r="X523" s="31" t="n"/>
      <c r="Y523" s="31" t="n"/>
    </row>
    <row r="524" ht="14.25" customHeight="1">
      <c r="A524" s="31" t="n"/>
      <c r="P524" s="31" t="n"/>
      <c r="Q524" s="31" t="n"/>
      <c r="R524" s="31" t="n"/>
      <c r="S524" s="31" t="n"/>
      <c r="T524" s="31" t="n"/>
      <c r="U524" s="31" t="n"/>
      <c r="V524" s="31" t="n"/>
      <c r="W524" s="31" t="n"/>
      <c r="X524" s="31" t="n"/>
      <c r="Y524" s="31" t="n"/>
    </row>
    <row r="525" ht="14.25" customHeight="1">
      <c r="A525" s="31" t="n"/>
      <c r="P525" s="31" t="n"/>
      <c r="Q525" s="31" t="n"/>
      <c r="R525" s="31" t="n"/>
      <c r="S525" s="31" t="n"/>
      <c r="T525" s="31" t="n"/>
      <c r="U525" s="31" t="n"/>
      <c r="V525" s="31" t="n"/>
      <c r="W525" s="31" t="n"/>
      <c r="X525" s="31" t="n"/>
      <c r="Y525" s="31" t="n"/>
    </row>
    <row r="526" ht="14.25" customHeight="1">
      <c r="A526" s="31" t="n"/>
      <c r="P526" s="31" t="n"/>
      <c r="Q526" s="31" t="n"/>
      <c r="R526" s="31" t="n"/>
      <c r="S526" s="31" t="n"/>
      <c r="T526" s="31" t="n"/>
      <c r="U526" s="31" t="n"/>
      <c r="V526" s="31" t="n"/>
      <c r="W526" s="31" t="n"/>
      <c r="X526" s="31" t="n"/>
      <c r="Y526" s="31" t="n"/>
    </row>
    <row r="527" ht="14.25" customHeight="1">
      <c r="A527" s="31" t="n"/>
      <c r="P527" s="31" t="n"/>
      <c r="Q527" s="31" t="n"/>
      <c r="R527" s="31" t="n"/>
      <c r="S527" s="31" t="n"/>
      <c r="T527" s="31" t="n"/>
      <c r="U527" s="31" t="n"/>
      <c r="V527" s="31" t="n"/>
      <c r="W527" s="31" t="n"/>
      <c r="X527" s="31" t="n"/>
      <c r="Y527" s="31" t="n"/>
    </row>
    <row r="528" ht="14.25" customHeight="1">
      <c r="A528" s="31" t="n"/>
      <c r="P528" s="31" t="n"/>
      <c r="Q528" s="31" t="n"/>
      <c r="R528" s="31" t="n"/>
      <c r="S528" s="31" t="n"/>
      <c r="T528" s="31" t="n"/>
      <c r="U528" s="31" t="n"/>
      <c r="V528" s="31" t="n"/>
      <c r="W528" s="31" t="n"/>
      <c r="X528" s="31" t="n"/>
      <c r="Y528" s="31" t="n"/>
    </row>
    <row r="529" ht="14.25" customHeight="1">
      <c r="A529" s="31" t="n"/>
      <c r="P529" s="31" t="n"/>
      <c r="Q529" s="31" t="n"/>
      <c r="R529" s="31" t="n"/>
      <c r="S529" s="31" t="n"/>
      <c r="T529" s="31" t="n"/>
      <c r="U529" s="31" t="n"/>
      <c r="V529" s="31" t="n"/>
      <c r="W529" s="31" t="n"/>
      <c r="X529" s="31" t="n"/>
      <c r="Y529" s="31" t="n"/>
    </row>
    <row r="530" ht="14.25" customHeight="1">
      <c r="A530" s="31" t="n"/>
      <c r="P530" s="31" t="n"/>
      <c r="Q530" s="31" t="n"/>
      <c r="R530" s="31" t="n"/>
      <c r="S530" s="31" t="n"/>
      <c r="T530" s="31" t="n"/>
      <c r="U530" s="31" t="n"/>
      <c r="V530" s="31" t="n"/>
      <c r="W530" s="31" t="n"/>
      <c r="X530" s="31" t="n"/>
      <c r="Y530" s="31" t="n"/>
    </row>
    <row r="531" ht="14.25" customHeight="1">
      <c r="A531" s="31" t="n"/>
      <c r="P531" s="31" t="n"/>
      <c r="Q531" s="31" t="n"/>
      <c r="R531" s="31" t="n"/>
      <c r="S531" s="31" t="n"/>
      <c r="T531" s="31" t="n"/>
      <c r="U531" s="31" t="n"/>
      <c r="V531" s="31" t="n"/>
      <c r="W531" s="31" t="n"/>
      <c r="X531" s="31" t="n"/>
      <c r="Y531" s="31" t="n"/>
    </row>
    <row r="532" ht="14.25" customHeight="1">
      <c r="A532" s="31" t="n"/>
      <c r="P532" s="31" t="n"/>
      <c r="Q532" s="31" t="n"/>
      <c r="R532" s="31" t="n"/>
      <c r="S532" s="31" t="n"/>
      <c r="T532" s="31" t="n"/>
      <c r="U532" s="31" t="n"/>
      <c r="V532" s="31" t="n"/>
      <c r="W532" s="31" t="n"/>
      <c r="X532" s="31" t="n"/>
      <c r="Y532" s="31" t="n"/>
    </row>
    <row r="533" ht="14.25" customHeight="1">
      <c r="A533" s="31" t="n"/>
      <c r="P533" s="31" t="n"/>
      <c r="Q533" s="31" t="n"/>
      <c r="R533" s="31" t="n"/>
      <c r="S533" s="31" t="n"/>
      <c r="T533" s="31" t="n"/>
      <c r="U533" s="31" t="n"/>
      <c r="V533" s="31" t="n"/>
      <c r="W533" s="31" t="n"/>
      <c r="X533" s="31" t="n"/>
      <c r="Y533" s="31" t="n"/>
    </row>
    <row r="534" ht="14.25" customHeight="1">
      <c r="A534" s="31" t="n"/>
      <c r="P534" s="31" t="n"/>
      <c r="Q534" s="31" t="n"/>
      <c r="R534" s="31" t="n"/>
      <c r="S534" s="31" t="n"/>
      <c r="T534" s="31" t="n"/>
      <c r="U534" s="31" t="n"/>
      <c r="V534" s="31" t="n"/>
      <c r="W534" s="31" t="n"/>
      <c r="X534" s="31" t="n"/>
      <c r="Y534" s="31" t="n"/>
    </row>
    <row r="535" ht="14.25" customHeight="1">
      <c r="A535" s="31" t="n"/>
      <c r="P535" s="31" t="n"/>
      <c r="Q535" s="31" t="n"/>
      <c r="R535" s="31" t="n"/>
      <c r="S535" s="31" t="n"/>
      <c r="T535" s="31" t="n"/>
      <c r="U535" s="31" t="n"/>
      <c r="V535" s="31" t="n"/>
      <c r="W535" s="31" t="n"/>
      <c r="X535" s="31" t="n"/>
      <c r="Y535" s="31" t="n"/>
    </row>
    <row r="536" ht="14.25" customHeight="1">
      <c r="A536" s="31" t="n"/>
      <c r="P536" s="31" t="n"/>
      <c r="Q536" s="31" t="n"/>
      <c r="R536" s="31" t="n"/>
      <c r="S536" s="31" t="n"/>
      <c r="T536" s="31" t="n"/>
      <c r="U536" s="31" t="n"/>
      <c r="V536" s="31" t="n"/>
      <c r="W536" s="31" t="n"/>
      <c r="X536" s="31" t="n"/>
      <c r="Y536" s="31" t="n"/>
    </row>
    <row r="537" ht="14.25" customHeight="1">
      <c r="A537" s="31" t="n"/>
      <c r="P537" s="31" t="n"/>
      <c r="Q537" s="31" t="n"/>
      <c r="R537" s="31" t="n"/>
      <c r="S537" s="31" t="n"/>
      <c r="T537" s="31" t="n"/>
      <c r="U537" s="31" t="n"/>
      <c r="V537" s="31" t="n"/>
      <c r="W537" s="31" t="n"/>
      <c r="X537" s="31" t="n"/>
      <c r="Y537" s="31" t="n"/>
    </row>
    <row r="538" ht="14.25" customHeight="1">
      <c r="A538" s="31" t="n"/>
      <c r="P538" s="31" t="n"/>
      <c r="Q538" s="31" t="n"/>
      <c r="R538" s="31" t="n"/>
      <c r="S538" s="31" t="n"/>
      <c r="T538" s="31" t="n"/>
      <c r="U538" s="31" t="n"/>
      <c r="V538" s="31" t="n"/>
      <c r="W538" s="31" t="n"/>
      <c r="X538" s="31" t="n"/>
      <c r="Y538" s="31" t="n"/>
    </row>
    <row r="539" ht="14.25" customHeight="1">
      <c r="A539" s="31" t="n"/>
      <c r="P539" s="31" t="n"/>
      <c r="Q539" s="31" t="n"/>
      <c r="R539" s="31" t="n"/>
      <c r="S539" s="31" t="n"/>
      <c r="T539" s="31" t="n"/>
      <c r="U539" s="31" t="n"/>
      <c r="V539" s="31" t="n"/>
      <c r="W539" s="31" t="n"/>
      <c r="X539" s="31" t="n"/>
      <c r="Y539" s="31" t="n"/>
    </row>
    <row r="540" ht="14.25" customHeight="1">
      <c r="A540" s="31" t="n"/>
      <c r="P540" s="31" t="n"/>
      <c r="Q540" s="31" t="n"/>
      <c r="R540" s="31" t="n"/>
      <c r="S540" s="31" t="n"/>
      <c r="T540" s="31" t="n"/>
      <c r="U540" s="31" t="n"/>
      <c r="V540" s="31" t="n"/>
      <c r="W540" s="31" t="n"/>
      <c r="X540" s="31" t="n"/>
      <c r="Y540" s="31" t="n"/>
    </row>
    <row r="541" ht="14.25" customHeight="1">
      <c r="A541" s="31" t="n"/>
      <c r="P541" s="31" t="n"/>
      <c r="Q541" s="31" t="n"/>
      <c r="R541" s="31" t="n"/>
      <c r="S541" s="31" t="n"/>
      <c r="T541" s="31" t="n"/>
      <c r="U541" s="31" t="n"/>
      <c r="V541" s="31" t="n"/>
      <c r="W541" s="31" t="n"/>
      <c r="X541" s="31" t="n"/>
      <c r="Y541" s="31" t="n"/>
    </row>
    <row r="542" ht="14.25" customHeight="1">
      <c r="A542" s="31" t="n"/>
      <c r="P542" s="31" t="n"/>
      <c r="Q542" s="31" t="n"/>
      <c r="R542" s="31" t="n"/>
      <c r="S542" s="31" t="n"/>
      <c r="T542" s="31" t="n"/>
      <c r="U542" s="31" t="n"/>
      <c r="V542" s="31" t="n"/>
      <c r="W542" s="31" t="n"/>
      <c r="X542" s="31" t="n"/>
      <c r="Y542" s="31" t="n"/>
    </row>
    <row r="543" ht="14.25" customHeight="1">
      <c r="A543" s="31" t="n"/>
      <c r="P543" s="31" t="n"/>
      <c r="Q543" s="31" t="n"/>
      <c r="R543" s="31" t="n"/>
      <c r="S543" s="31" t="n"/>
      <c r="T543" s="31" t="n"/>
      <c r="U543" s="31" t="n"/>
      <c r="V543" s="31" t="n"/>
      <c r="W543" s="31" t="n"/>
      <c r="X543" s="31" t="n"/>
      <c r="Y543" s="31" t="n"/>
    </row>
    <row r="544" ht="14.25" customHeight="1">
      <c r="A544" s="31" t="n"/>
      <c r="P544" s="31" t="n"/>
      <c r="Q544" s="31" t="n"/>
      <c r="R544" s="31" t="n"/>
      <c r="S544" s="31" t="n"/>
      <c r="T544" s="31" t="n"/>
      <c r="U544" s="31" t="n"/>
      <c r="V544" s="31" t="n"/>
      <c r="W544" s="31" t="n"/>
      <c r="X544" s="31" t="n"/>
      <c r="Y544" s="31" t="n"/>
    </row>
    <row r="545" ht="14.25" customHeight="1">
      <c r="A545" s="31" t="n"/>
      <c r="P545" s="31" t="n"/>
      <c r="Q545" s="31" t="n"/>
      <c r="R545" s="31" t="n"/>
      <c r="S545" s="31" t="n"/>
      <c r="T545" s="31" t="n"/>
      <c r="U545" s="31" t="n"/>
      <c r="V545" s="31" t="n"/>
      <c r="W545" s="31" t="n"/>
      <c r="X545" s="31" t="n"/>
      <c r="Y545" s="31" t="n"/>
    </row>
    <row r="546" ht="14.25" customHeight="1">
      <c r="A546" s="31" t="n"/>
      <c r="P546" s="31" t="n"/>
      <c r="Q546" s="31" t="n"/>
      <c r="R546" s="31" t="n"/>
      <c r="S546" s="31" t="n"/>
      <c r="T546" s="31" t="n"/>
      <c r="U546" s="31" t="n"/>
      <c r="V546" s="31" t="n"/>
      <c r="W546" s="31" t="n"/>
      <c r="X546" s="31" t="n"/>
      <c r="Y546" s="31" t="n"/>
    </row>
    <row r="547" ht="14.25" customHeight="1">
      <c r="A547" s="31" t="n"/>
      <c r="P547" s="31" t="n"/>
      <c r="Q547" s="31" t="n"/>
      <c r="R547" s="31" t="n"/>
      <c r="S547" s="31" t="n"/>
      <c r="T547" s="31" t="n"/>
      <c r="U547" s="31" t="n"/>
      <c r="V547" s="31" t="n"/>
      <c r="W547" s="31" t="n"/>
      <c r="X547" s="31" t="n"/>
      <c r="Y547" s="31" t="n"/>
    </row>
    <row r="548" ht="14.25" customHeight="1">
      <c r="A548" s="31" t="n"/>
      <c r="P548" s="31" t="n"/>
      <c r="Q548" s="31" t="n"/>
      <c r="R548" s="31" t="n"/>
      <c r="S548" s="31" t="n"/>
      <c r="T548" s="31" t="n"/>
      <c r="U548" s="31" t="n"/>
      <c r="V548" s="31" t="n"/>
      <c r="W548" s="31" t="n"/>
      <c r="X548" s="31" t="n"/>
      <c r="Y548" s="31" t="n"/>
    </row>
    <row r="549" ht="14.25" customHeight="1">
      <c r="A549" s="31" t="n"/>
      <c r="P549" s="31" t="n"/>
      <c r="Q549" s="31" t="n"/>
      <c r="R549" s="31" t="n"/>
      <c r="S549" s="31" t="n"/>
      <c r="T549" s="31" t="n"/>
      <c r="U549" s="31" t="n"/>
      <c r="V549" s="31" t="n"/>
      <c r="W549" s="31" t="n"/>
      <c r="X549" s="31" t="n"/>
      <c r="Y549" s="31" t="n"/>
    </row>
    <row r="550" ht="14.25" customHeight="1">
      <c r="A550" s="31" t="n"/>
      <c r="P550" s="31" t="n"/>
      <c r="Q550" s="31" t="n"/>
      <c r="R550" s="31" t="n"/>
      <c r="S550" s="31" t="n"/>
      <c r="T550" s="31" t="n"/>
      <c r="U550" s="31" t="n"/>
      <c r="V550" s="31" t="n"/>
      <c r="W550" s="31" t="n"/>
      <c r="X550" s="31" t="n"/>
      <c r="Y550" s="31" t="n"/>
    </row>
    <row r="551" ht="14.25" customHeight="1">
      <c r="A551" s="31" t="n"/>
      <c r="P551" s="31" t="n"/>
      <c r="Q551" s="31" t="n"/>
      <c r="R551" s="31" t="n"/>
      <c r="S551" s="31" t="n"/>
      <c r="T551" s="31" t="n"/>
      <c r="U551" s="31" t="n"/>
      <c r="V551" s="31" t="n"/>
      <c r="W551" s="31" t="n"/>
      <c r="X551" s="31" t="n"/>
      <c r="Y551" s="31" t="n"/>
    </row>
    <row r="552" ht="14.25" customHeight="1">
      <c r="A552" s="31" t="n"/>
      <c r="P552" s="31" t="n"/>
      <c r="Q552" s="31" t="n"/>
      <c r="R552" s="31" t="n"/>
      <c r="S552" s="31" t="n"/>
      <c r="T552" s="31" t="n"/>
      <c r="U552" s="31" t="n"/>
      <c r="V552" s="31" t="n"/>
      <c r="W552" s="31" t="n"/>
      <c r="X552" s="31" t="n"/>
      <c r="Y552" s="31" t="n"/>
    </row>
    <row r="553" ht="14.25" customHeight="1">
      <c r="A553" s="31" t="n"/>
      <c r="P553" s="31" t="n"/>
      <c r="Q553" s="31" t="n"/>
      <c r="R553" s="31" t="n"/>
      <c r="S553" s="31" t="n"/>
      <c r="T553" s="31" t="n"/>
      <c r="U553" s="31" t="n"/>
      <c r="V553" s="31" t="n"/>
      <c r="W553" s="31" t="n"/>
      <c r="X553" s="31" t="n"/>
      <c r="Y553" s="31" t="n"/>
    </row>
    <row r="554" ht="14.25" customHeight="1">
      <c r="A554" s="31" t="n"/>
      <c r="P554" s="31" t="n"/>
      <c r="Q554" s="31" t="n"/>
      <c r="R554" s="31" t="n"/>
      <c r="S554" s="31" t="n"/>
      <c r="T554" s="31" t="n"/>
      <c r="U554" s="31" t="n"/>
      <c r="V554" s="31" t="n"/>
      <c r="W554" s="31" t="n"/>
      <c r="X554" s="31" t="n"/>
      <c r="Y554" s="31" t="n"/>
    </row>
    <row r="555" ht="14.25" customHeight="1">
      <c r="A555" s="31" t="n"/>
      <c r="P555" s="31" t="n"/>
      <c r="Q555" s="31" t="n"/>
      <c r="R555" s="31" t="n"/>
      <c r="S555" s="31" t="n"/>
      <c r="T555" s="31" t="n"/>
      <c r="U555" s="31" t="n"/>
      <c r="V555" s="31" t="n"/>
      <c r="W555" s="31" t="n"/>
      <c r="X555" s="31" t="n"/>
      <c r="Y555" s="31" t="n"/>
    </row>
    <row r="556" ht="14.25" customHeight="1">
      <c r="A556" s="31" t="n"/>
      <c r="P556" s="31" t="n"/>
      <c r="Q556" s="31" t="n"/>
      <c r="R556" s="31" t="n"/>
      <c r="S556" s="31" t="n"/>
      <c r="T556" s="31" t="n"/>
      <c r="U556" s="31" t="n"/>
      <c r="V556" s="31" t="n"/>
      <c r="W556" s="31" t="n"/>
      <c r="X556" s="31" t="n"/>
      <c r="Y556" s="31" t="n"/>
    </row>
    <row r="557" ht="14.25" customHeight="1">
      <c r="A557" s="31" t="n"/>
      <c r="P557" s="31" t="n"/>
      <c r="Q557" s="31" t="n"/>
      <c r="R557" s="31" t="n"/>
      <c r="S557" s="31" t="n"/>
      <c r="T557" s="31" t="n"/>
      <c r="U557" s="31" t="n"/>
      <c r="V557" s="31" t="n"/>
      <c r="W557" s="31" t="n"/>
      <c r="X557" s="31" t="n"/>
      <c r="Y557" s="31" t="n"/>
    </row>
    <row r="558" ht="14.25" customHeight="1">
      <c r="A558" s="31" t="n"/>
      <c r="P558" s="31" t="n"/>
      <c r="Q558" s="31" t="n"/>
      <c r="R558" s="31" t="n"/>
      <c r="S558" s="31" t="n"/>
      <c r="T558" s="31" t="n"/>
      <c r="U558" s="31" t="n"/>
      <c r="V558" s="31" t="n"/>
      <c r="W558" s="31" t="n"/>
      <c r="X558" s="31" t="n"/>
      <c r="Y558" s="31" t="n"/>
    </row>
    <row r="559" ht="14.25" customHeight="1">
      <c r="A559" s="31" t="n"/>
      <c r="P559" s="31" t="n"/>
      <c r="Q559" s="31" t="n"/>
      <c r="R559" s="31" t="n"/>
      <c r="S559" s="31" t="n"/>
      <c r="T559" s="31" t="n"/>
      <c r="U559" s="31" t="n"/>
      <c r="V559" s="31" t="n"/>
      <c r="W559" s="31" t="n"/>
      <c r="X559" s="31" t="n"/>
      <c r="Y559" s="31" t="n"/>
    </row>
    <row r="560" ht="14.25" customHeight="1">
      <c r="A560" s="31" t="n"/>
      <c r="P560" s="31" t="n"/>
      <c r="Q560" s="31" t="n"/>
      <c r="R560" s="31" t="n"/>
      <c r="S560" s="31" t="n"/>
      <c r="T560" s="31" t="n"/>
      <c r="U560" s="31" t="n"/>
      <c r="V560" s="31" t="n"/>
      <c r="W560" s="31" t="n"/>
      <c r="X560" s="31" t="n"/>
      <c r="Y560" s="31" t="n"/>
    </row>
    <row r="561" ht="14.25" customHeight="1">
      <c r="A561" s="31" t="n"/>
      <c r="P561" s="31" t="n"/>
      <c r="Q561" s="31" t="n"/>
      <c r="R561" s="31" t="n"/>
      <c r="S561" s="31" t="n"/>
      <c r="T561" s="31" t="n"/>
      <c r="U561" s="31" t="n"/>
      <c r="V561" s="31" t="n"/>
      <c r="W561" s="31" t="n"/>
      <c r="X561" s="31" t="n"/>
      <c r="Y561" s="31" t="n"/>
    </row>
    <row r="562" ht="14.25" customHeight="1">
      <c r="A562" s="31" t="n"/>
      <c r="P562" s="31" t="n"/>
      <c r="Q562" s="31" t="n"/>
      <c r="R562" s="31" t="n"/>
      <c r="S562" s="31" t="n"/>
      <c r="T562" s="31" t="n"/>
      <c r="U562" s="31" t="n"/>
      <c r="V562" s="31" t="n"/>
      <c r="W562" s="31" t="n"/>
      <c r="X562" s="31" t="n"/>
      <c r="Y562" s="31" t="n"/>
    </row>
    <row r="563" ht="14.25" customHeight="1">
      <c r="A563" s="31" t="n"/>
      <c r="P563" s="31" t="n"/>
      <c r="Q563" s="31" t="n"/>
      <c r="R563" s="31" t="n"/>
      <c r="S563" s="31" t="n"/>
      <c r="T563" s="31" t="n"/>
      <c r="U563" s="31" t="n"/>
      <c r="V563" s="31" t="n"/>
      <c r="W563" s="31" t="n"/>
      <c r="X563" s="31" t="n"/>
      <c r="Y563" s="31" t="n"/>
    </row>
    <row r="564" ht="14.25" customHeight="1">
      <c r="A564" s="31" t="n"/>
      <c r="P564" s="31" t="n"/>
      <c r="Q564" s="31" t="n"/>
      <c r="R564" s="31" t="n"/>
      <c r="S564" s="31" t="n"/>
      <c r="T564" s="31" t="n"/>
      <c r="U564" s="31" t="n"/>
      <c r="V564" s="31" t="n"/>
      <c r="W564" s="31" t="n"/>
      <c r="X564" s="31" t="n"/>
      <c r="Y564" s="31" t="n"/>
    </row>
    <row r="565" ht="14.25" customHeight="1">
      <c r="A565" s="31" t="n"/>
      <c r="P565" s="31" t="n"/>
      <c r="Q565" s="31" t="n"/>
      <c r="R565" s="31" t="n"/>
      <c r="S565" s="31" t="n"/>
      <c r="T565" s="31" t="n"/>
      <c r="U565" s="31" t="n"/>
      <c r="V565" s="31" t="n"/>
      <c r="W565" s="31" t="n"/>
      <c r="X565" s="31" t="n"/>
      <c r="Y565" s="31" t="n"/>
    </row>
    <row r="566" ht="14.25" customHeight="1">
      <c r="A566" s="31" t="n"/>
      <c r="P566" s="31" t="n"/>
      <c r="Q566" s="31" t="n"/>
      <c r="R566" s="31" t="n"/>
      <c r="S566" s="31" t="n"/>
      <c r="T566" s="31" t="n"/>
      <c r="U566" s="31" t="n"/>
      <c r="V566" s="31" t="n"/>
      <c r="W566" s="31" t="n"/>
      <c r="X566" s="31" t="n"/>
      <c r="Y566" s="31" t="n"/>
    </row>
    <row r="567" ht="14.25" customHeight="1">
      <c r="A567" s="31" t="n"/>
      <c r="P567" s="31" t="n"/>
      <c r="Q567" s="31" t="n"/>
      <c r="R567" s="31" t="n"/>
      <c r="S567" s="31" t="n"/>
      <c r="T567" s="31" t="n"/>
      <c r="U567" s="31" t="n"/>
      <c r="V567" s="31" t="n"/>
      <c r="W567" s="31" t="n"/>
      <c r="X567" s="31" t="n"/>
      <c r="Y567" s="31" t="n"/>
    </row>
    <row r="568" ht="14.25" customHeight="1">
      <c r="A568" s="31" t="n"/>
      <c r="P568" s="31" t="n"/>
      <c r="Q568" s="31" t="n"/>
      <c r="R568" s="31" t="n"/>
      <c r="S568" s="31" t="n"/>
      <c r="T568" s="31" t="n"/>
      <c r="U568" s="31" t="n"/>
      <c r="V568" s="31" t="n"/>
      <c r="W568" s="31" t="n"/>
      <c r="X568" s="31" t="n"/>
      <c r="Y568" s="31" t="n"/>
    </row>
    <row r="569" ht="14.25" customHeight="1">
      <c r="A569" s="31" t="n"/>
      <c r="P569" s="31" t="n"/>
      <c r="Q569" s="31" t="n"/>
      <c r="R569" s="31" t="n"/>
      <c r="S569" s="31" t="n"/>
      <c r="T569" s="31" t="n"/>
      <c r="U569" s="31" t="n"/>
      <c r="V569" s="31" t="n"/>
      <c r="W569" s="31" t="n"/>
      <c r="X569" s="31" t="n"/>
      <c r="Y569" s="31" t="n"/>
    </row>
    <row r="570" ht="14.25" customHeight="1">
      <c r="A570" s="31" t="n"/>
      <c r="P570" s="31" t="n"/>
      <c r="Q570" s="31" t="n"/>
      <c r="R570" s="31" t="n"/>
      <c r="S570" s="31" t="n"/>
      <c r="T570" s="31" t="n"/>
      <c r="U570" s="31" t="n"/>
      <c r="V570" s="31" t="n"/>
      <c r="W570" s="31" t="n"/>
      <c r="X570" s="31" t="n"/>
      <c r="Y570" s="31" t="n"/>
    </row>
    <row r="571" ht="14.25" customHeight="1">
      <c r="A571" s="31" t="n"/>
      <c r="P571" s="31" t="n"/>
      <c r="Q571" s="31" t="n"/>
      <c r="R571" s="31" t="n"/>
      <c r="S571" s="31" t="n"/>
      <c r="T571" s="31" t="n"/>
      <c r="U571" s="31" t="n"/>
      <c r="V571" s="31" t="n"/>
      <c r="W571" s="31" t="n"/>
      <c r="X571" s="31" t="n"/>
      <c r="Y571" s="31" t="n"/>
    </row>
    <row r="572" ht="14.25" customHeight="1">
      <c r="A572" s="31" t="n"/>
      <c r="P572" s="31" t="n"/>
      <c r="Q572" s="31" t="n"/>
      <c r="R572" s="31" t="n"/>
      <c r="S572" s="31" t="n"/>
      <c r="T572" s="31" t="n"/>
      <c r="U572" s="31" t="n"/>
      <c r="V572" s="31" t="n"/>
      <c r="W572" s="31" t="n"/>
      <c r="X572" s="31" t="n"/>
      <c r="Y572" s="31" t="n"/>
    </row>
    <row r="573" ht="14.25" customHeight="1">
      <c r="A573" s="31" t="n"/>
      <c r="P573" s="31" t="n"/>
      <c r="Q573" s="31" t="n"/>
      <c r="R573" s="31" t="n"/>
      <c r="S573" s="31" t="n"/>
      <c r="T573" s="31" t="n"/>
      <c r="U573" s="31" t="n"/>
      <c r="V573" s="31" t="n"/>
      <c r="W573" s="31" t="n"/>
      <c r="X573" s="31" t="n"/>
      <c r="Y573" s="31" t="n"/>
    </row>
    <row r="574" ht="14.25" customHeight="1">
      <c r="A574" s="31" t="n"/>
      <c r="P574" s="31" t="n"/>
      <c r="Q574" s="31" t="n"/>
      <c r="R574" s="31" t="n"/>
      <c r="S574" s="31" t="n"/>
      <c r="T574" s="31" t="n"/>
      <c r="U574" s="31" t="n"/>
      <c r="V574" s="31" t="n"/>
      <c r="W574" s="31" t="n"/>
      <c r="X574" s="31" t="n"/>
      <c r="Y574" s="31" t="n"/>
    </row>
    <row r="575" ht="14.25" customHeight="1">
      <c r="A575" s="31" t="n"/>
      <c r="P575" s="31" t="n"/>
      <c r="Q575" s="31" t="n"/>
      <c r="R575" s="31" t="n"/>
      <c r="S575" s="31" t="n"/>
      <c r="T575" s="31" t="n"/>
      <c r="U575" s="31" t="n"/>
      <c r="V575" s="31" t="n"/>
      <c r="W575" s="31" t="n"/>
      <c r="X575" s="31" t="n"/>
      <c r="Y575" s="31" t="n"/>
    </row>
    <row r="576" ht="14.25" customHeight="1">
      <c r="A576" s="31" t="n"/>
      <c r="P576" s="31" t="n"/>
      <c r="Q576" s="31" t="n"/>
      <c r="R576" s="31" t="n"/>
      <c r="S576" s="31" t="n"/>
      <c r="T576" s="31" t="n"/>
      <c r="U576" s="31" t="n"/>
      <c r="V576" s="31" t="n"/>
      <c r="W576" s="31" t="n"/>
      <c r="X576" s="31" t="n"/>
      <c r="Y576" s="31" t="n"/>
    </row>
    <row r="577" ht="14.25" customHeight="1">
      <c r="A577" s="31" t="n"/>
      <c r="P577" s="31" t="n"/>
      <c r="Q577" s="31" t="n"/>
      <c r="R577" s="31" t="n"/>
      <c r="S577" s="31" t="n"/>
      <c r="T577" s="31" t="n"/>
      <c r="U577" s="31" t="n"/>
      <c r="V577" s="31" t="n"/>
      <c r="W577" s="31" t="n"/>
      <c r="X577" s="31" t="n"/>
      <c r="Y577" s="31" t="n"/>
    </row>
    <row r="578" ht="14.25" customHeight="1">
      <c r="A578" s="31" t="n"/>
      <c r="P578" s="31" t="n"/>
      <c r="Q578" s="31" t="n"/>
      <c r="R578" s="31" t="n"/>
      <c r="S578" s="31" t="n"/>
      <c r="T578" s="31" t="n"/>
      <c r="U578" s="31" t="n"/>
      <c r="V578" s="31" t="n"/>
      <c r="W578" s="31" t="n"/>
      <c r="X578" s="31" t="n"/>
      <c r="Y578" s="31" t="n"/>
    </row>
    <row r="579" ht="14.25" customHeight="1">
      <c r="A579" s="31" t="n"/>
      <c r="P579" s="31" t="n"/>
      <c r="Q579" s="31" t="n"/>
      <c r="R579" s="31" t="n"/>
      <c r="S579" s="31" t="n"/>
      <c r="T579" s="31" t="n"/>
      <c r="U579" s="31" t="n"/>
      <c r="V579" s="31" t="n"/>
      <c r="W579" s="31" t="n"/>
      <c r="X579" s="31" t="n"/>
      <c r="Y579" s="31" t="n"/>
    </row>
    <row r="580" ht="14.25" customHeight="1">
      <c r="A580" s="31" t="n"/>
      <c r="P580" s="31" t="n"/>
      <c r="Q580" s="31" t="n"/>
      <c r="R580" s="31" t="n"/>
      <c r="S580" s="31" t="n"/>
      <c r="T580" s="31" t="n"/>
      <c r="U580" s="31" t="n"/>
      <c r="V580" s="31" t="n"/>
      <c r="W580" s="31" t="n"/>
      <c r="X580" s="31" t="n"/>
      <c r="Y580" s="31" t="n"/>
    </row>
    <row r="581" ht="14.25" customHeight="1">
      <c r="A581" s="31" t="n"/>
      <c r="P581" s="31" t="n"/>
      <c r="Q581" s="31" t="n"/>
      <c r="R581" s="31" t="n"/>
      <c r="S581" s="31" t="n"/>
      <c r="T581" s="31" t="n"/>
      <c r="U581" s="31" t="n"/>
      <c r="V581" s="31" t="n"/>
      <c r="W581" s="31" t="n"/>
      <c r="X581" s="31" t="n"/>
      <c r="Y581" s="31" t="n"/>
    </row>
    <row r="582" ht="14.25" customHeight="1">
      <c r="A582" s="31" t="n"/>
      <c r="P582" s="31" t="n"/>
      <c r="Q582" s="31" t="n"/>
      <c r="R582" s="31" t="n"/>
      <c r="S582" s="31" t="n"/>
      <c r="T582" s="31" t="n"/>
      <c r="U582" s="31" t="n"/>
      <c r="V582" s="31" t="n"/>
      <c r="W582" s="31" t="n"/>
      <c r="X582" s="31" t="n"/>
      <c r="Y582" s="31" t="n"/>
    </row>
    <row r="583" ht="14.25" customHeight="1">
      <c r="A583" s="31" t="n"/>
      <c r="P583" s="31" t="n"/>
      <c r="Q583" s="31" t="n"/>
      <c r="R583" s="31" t="n"/>
      <c r="S583" s="31" t="n"/>
      <c r="T583" s="31" t="n"/>
      <c r="U583" s="31" t="n"/>
      <c r="V583" s="31" t="n"/>
      <c r="W583" s="31" t="n"/>
      <c r="X583" s="31" t="n"/>
      <c r="Y583" s="31" t="n"/>
    </row>
    <row r="584" ht="14.25" customHeight="1">
      <c r="A584" s="31" t="n"/>
      <c r="P584" s="31" t="n"/>
      <c r="Q584" s="31" t="n"/>
      <c r="R584" s="31" t="n"/>
      <c r="S584" s="31" t="n"/>
      <c r="T584" s="31" t="n"/>
      <c r="U584" s="31" t="n"/>
      <c r="V584" s="31" t="n"/>
      <c r="W584" s="31" t="n"/>
      <c r="X584" s="31" t="n"/>
      <c r="Y584" s="31" t="n"/>
    </row>
    <row r="585" ht="14.25" customHeight="1">
      <c r="A585" s="31" t="n"/>
      <c r="P585" s="31" t="n"/>
      <c r="Q585" s="31" t="n"/>
      <c r="R585" s="31" t="n"/>
      <c r="S585" s="31" t="n"/>
      <c r="T585" s="31" t="n"/>
      <c r="U585" s="31" t="n"/>
      <c r="V585" s="31" t="n"/>
      <c r="W585" s="31" t="n"/>
      <c r="X585" s="31" t="n"/>
      <c r="Y585" s="31" t="n"/>
    </row>
    <row r="586" ht="14.25" customHeight="1">
      <c r="A586" s="31" t="n"/>
      <c r="P586" s="31" t="n"/>
      <c r="Q586" s="31" t="n"/>
      <c r="R586" s="31" t="n"/>
      <c r="S586" s="31" t="n"/>
      <c r="T586" s="31" t="n"/>
      <c r="U586" s="31" t="n"/>
      <c r="V586" s="31" t="n"/>
      <c r="W586" s="31" t="n"/>
      <c r="X586" s="31" t="n"/>
      <c r="Y586" s="31" t="n"/>
    </row>
    <row r="587" ht="14.25" customHeight="1">
      <c r="A587" s="31" t="n"/>
      <c r="P587" s="31" t="n"/>
      <c r="Q587" s="31" t="n"/>
      <c r="R587" s="31" t="n"/>
      <c r="S587" s="31" t="n"/>
      <c r="T587" s="31" t="n"/>
      <c r="U587" s="31" t="n"/>
      <c r="V587" s="31" t="n"/>
      <c r="W587" s="31" t="n"/>
      <c r="X587" s="31" t="n"/>
      <c r="Y587" s="31" t="n"/>
    </row>
    <row r="588" ht="14.25" customHeight="1">
      <c r="A588" s="31" t="n"/>
      <c r="P588" s="31" t="n"/>
      <c r="Q588" s="31" t="n"/>
      <c r="R588" s="31" t="n"/>
      <c r="S588" s="31" t="n"/>
      <c r="T588" s="31" t="n"/>
      <c r="U588" s="31" t="n"/>
      <c r="V588" s="31" t="n"/>
      <c r="W588" s="31" t="n"/>
      <c r="X588" s="31" t="n"/>
      <c r="Y588" s="31" t="n"/>
    </row>
    <row r="589" ht="14.25" customHeight="1">
      <c r="A589" s="31" t="n"/>
      <c r="P589" s="31" t="n"/>
      <c r="Q589" s="31" t="n"/>
      <c r="R589" s="31" t="n"/>
      <c r="S589" s="31" t="n"/>
      <c r="T589" s="31" t="n"/>
      <c r="U589" s="31" t="n"/>
      <c r="V589" s="31" t="n"/>
      <c r="W589" s="31" t="n"/>
      <c r="X589" s="31" t="n"/>
      <c r="Y589" s="31" t="n"/>
    </row>
    <row r="590" ht="14.25" customHeight="1">
      <c r="A590" s="31" t="n"/>
      <c r="P590" s="31" t="n"/>
      <c r="Q590" s="31" t="n"/>
      <c r="R590" s="31" t="n"/>
      <c r="S590" s="31" t="n"/>
      <c r="T590" s="31" t="n"/>
      <c r="U590" s="31" t="n"/>
      <c r="V590" s="31" t="n"/>
      <c r="W590" s="31" t="n"/>
      <c r="X590" s="31" t="n"/>
      <c r="Y590" s="31" t="n"/>
    </row>
    <row r="591" ht="14.25" customHeight="1">
      <c r="A591" s="31" t="n"/>
      <c r="P591" s="31" t="n"/>
      <c r="Q591" s="31" t="n"/>
      <c r="R591" s="31" t="n"/>
      <c r="S591" s="31" t="n"/>
      <c r="T591" s="31" t="n"/>
      <c r="U591" s="31" t="n"/>
      <c r="V591" s="31" t="n"/>
      <c r="W591" s="31" t="n"/>
      <c r="X591" s="31" t="n"/>
      <c r="Y591" s="31" t="n"/>
    </row>
    <row r="592" ht="14.25" customHeight="1">
      <c r="A592" s="31" t="n"/>
      <c r="P592" s="31" t="n"/>
      <c r="Q592" s="31" t="n"/>
      <c r="R592" s="31" t="n"/>
      <c r="S592" s="31" t="n"/>
      <c r="T592" s="31" t="n"/>
      <c r="U592" s="31" t="n"/>
      <c r="V592" s="31" t="n"/>
      <c r="W592" s="31" t="n"/>
      <c r="X592" s="31" t="n"/>
      <c r="Y592" s="31" t="n"/>
    </row>
    <row r="593" ht="14.25" customHeight="1">
      <c r="A593" s="31" t="n"/>
      <c r="P593" s="31" t="n"/>
      <c r="Q593" s="31" t="n"/>
      <c r="R593" s="31" t="n"/>
      <c r="S593" s="31" t="n"/>
      <c r="T593" s="31" t="n"/>
      <c r="U593" s="31" t="n"/>
      <c r="V593" s="31" t="n"/>
      <c r="W593" s="31" t="n"/>
      <c r="X593" s="31" t="n"/>
      <c r="Y593" s="31" t="n"/>
    </row>
    <row r="594" ht="14.25" customHeight="1">
      <c r="A594" s="31" t="n"/>
      <c r="P594" s="31" t="n"/>
      <c r="Q594" s="31" t="n"/>
      <c r="R594" s="31" t="n"/>
      <c r="S594" s="31" t="n"/>
      <c r="T594" s="31" t="n"/>
      <c r="U594" s="31" t="n"/>
      <c r="V594" s="31" t="n"/>
      <c r="W594" s="31" t="n"/>
      <c r="X594" s="31" t="n"/>
      <c r="Y594" s="31" t="n"/>
    </row>
    <row r="595" ht="14.25" customHeight="1">
      <c r="A595" s="31" t="n"/>
      <c r="P595" s="31" t="n"/>
      <c r="Q595" s="31" t="n"/>
      <c r="R595" s="31" t="n"/>
      <c r="S595" s="31" t="n"/>
      <c r="T595" s="31" t="n"/>
      <c r="U595" s="31" t="n"/>
      <c r="V595" s="31" t="n"/>
      <c r="W595" s="31" t="n"/>
      <c r="X595" s="31" t="n"/>
      <c r="Y595" s="31" t="n"/>
    </row>
    <row r="596" ht="14.25" customHeight="1">
      <c r="A596" s="31" t="n"/>
      <c r="P596" s="31" t="n"/>
      <c r="Q596" s="31" t="n"/>
      <c r="R596" s="31" t="n"/>
      <c r="S596" s="31" t="n"/>
      <c r="T596" s="31" t="n"/>
      <c r="U596" s="31" t="n"/>
      <c r="V596" s="31" t="n"/>
      <c r="W596" s="31" t="n"/>
      <c r="X596" s="31" t="n"/>
      <c r="Y596" s="31" t="n"/>
    </row>
    <row r="597" ht="14.25" customHeight="1">
      <c r="A597" s="31" t="n"/>
      <c r="P597" s="31" t="n"/>
      <c r="Q597" s="31" t="n"/>
      <c r="R597" s="31" t="n"/>
      <c r="S597" s="31" t="n"/>
      <c r="T597" s="31" t="n"/>
      <c r="U597" s="31" t="n"/>
      <c r="V597" s="31" t="n"/>
      <c r="W597" s="31" t="n"/>
      <c r="X597" s="31" t="n"/>
      <c r="Y597" s="31" t="n"/>
    </row>
    <row r="598" ht="14.25" customHeight="1">
      <c r="A598" s="31" t="n"/>
      <c r="P598" s="31" t="n"/>
      <c r="Q598" s="31" t="n"/>
      <c r="R598" s="31" t="n"/>
      <c r="S598" s="31" t="n"/>
      <c r="T598" s="31" t="n"/>
      <c r="U598" s="31" t="n"/>
      <c r="V598" s="31" t="n"/>
      <c r="W598" s="31" t="n"/>
      <c r="X598" s="31" t="n"/>
      <c r="Y598" s="31" t="n"/>
    </row>
    <row r="599" ht="14.25" customHeight="1">
      <c r="A599" s="31" t="n"/>
      <c r="P599" s="31" t="n"/>
      <c r="Q599" s="31" t="n"/>
      <c r="R599" s="31" t="n"/>
      <c r="S599" s="31" t="n"/>
      <c r="T599" s="31" t="n"/>
      <c r="U599" s="31" t="n"/>
      <c r="V599" s="31" t="n"/>
      <c r="W599" s="31" t="n"/>
      <c r="X599" s="31" t="n"/>
      <c r="Y599" s="31" t="n"/>
    </row>
    <row r="600" ht="14.25" customHeight="1">
      <c r="A600" s="31" t="n"/>
      <c r="P600" s="31" t="n"/>
      <c r="Q600" s="31" t="n"/>
      <c r="R600" s="31" t="n"/>
      <c r="S600" s="31" t="n"/>
      <c r="T600" s="31" t="n"/>
      <c r="U600" s="31" t="n"/>
      <c r="V600" s="31" t="n"/>
      <c r="W600" s="31" t="n"/>
      <c r="X600" s="31" t="n"/>
      <c r="Y600" s="31" t="n"/>
    </row>
    <row r="601" ht="14.25" customHeight="1">
      <c r="A601" s="31" t="n"/>
      <c r="P601" s="31" t="n"/>
      <c r="Q601" s="31" t="n"/>
      <c r="R601" s="31" t="n"/>
      <c r="S601" s="31" t="n"/>
      <c r="T601" s="31" t="n"/>
      <c r="U601" s="31" t="n"/>
      <c r="V601" s="31" t="n"/>
      <c r="W601" s="31" t="n"/>
      <c r="X601" s="31" t="n"/>
      <c r="Y601" s="31" t="n"/>
    </row>
    <row r="602" ht="14.25" customHeight="1">
      <c r="A602" s="31" t="n"/>
      <c r="P602" s="31" t="n"/>
      <c r="Q602" s="31" t="n"/>
      <c r="R602" s="31" t="n"/>
      <c r="S602" s="31" t="n"/>
      <c r="T602" s="31" t="n"/>
      <c r="U602" s="31" t="n"/>
      <c r="V602" s="31" t="n"/>
      <c r="W602" s="31" t="n"/>
      <c r="X602" s="31" t="n"/>
      <c r="Y602" s="31" t="n"/>
    </row>
    <row r="603" ht="14.25" customHeight="1">
      <c r="A603" s="31" t="n"/>
      <c r="P603" s="31" t="n"/>
      <c r="Q603" s="31" t="n"/>
      <c r="R603" s="31" t="n"/>
      <c r="S603" s="31" t="n"/>
      <c r="T603" s="31" t="n"/>
      <c r="U603" s="31" t="n"/>
      <c r="V603" s="31" t="n"/>
      <c r="W603" s="31" t="n"/>
      <c r="X603" s="31" t="n"/>
      <c r="Y603" s="31" t="n"/>
    </row>
    <row r="604" ht="14.25" customHeight="1">
      <c r="A604" s="31" t="n"/>
      <c r="P604" s="31" t="n"/>
      <c r="Q604" s="31" t="n"/>
      <c r="R604" s="31" t="n"/>
      <c r="S604" s="31" t="n"/>
      <c r="T604" s="31" t="n"/>
      <c r="U604" s="31" t="n"/>
      <c r="V604" s="31" t="n"/>
      <c r="W604" s="31" t="n"/>
      <c r="X604" s="31" t="n"/>
      <c r="Y604" s="31" t="n"/>
    </row>
    <row r="605" ht="14.25" customHeight="1">
      <c r="A605" s="31" t="n"/>
      <c r="P605" s="31" t="n"/>
      <c r="Q605" s="31" t="n"/>
      <c r="R605" s="31" t="n"/>
      <c r="S605" s="31" t="n"/>
      <c r="T605" s="31" t="n"/>
      <c r="U605" s="31" t="n"/>
      <c r="V605" s="31" t="n"/>
      <c r="W605" s="31" t="n"/>
      <c r="X605" s="31" t="n"/>
      <c r="Y605" s="31" t="n"/>
    </row>
    <row r="606" ht="14.25" customHeight="1">
      <c r="A606" s="31" t="n"/>
      <c r="P606" s="31" t="n"/>
      <c r="Q606" s="31" t="n"/>
      <c r="R606" s="31" t="n"/>
      <c r="S606" s="31" t="n"/>
      <c r="T606" s="31" t="n"/>
      <c r="U606" s="31" t="n"/>
      <c r="V606" s="31" t="n"/>
      <c r="W606" s="31" t="n"/>
      <c r="X606" s="31" t="n"/>
      <c r="Y606" s="31" t="n"/>
    </row>
    <row r="607" ht="14.25" customHeight="1">
      <c r="A607" s="31" t="n"/>
      <c r="P607" s="31" t="n"/>
      <c r="Q607" s="31" t="n"/>
      <c r="R607" s="31" t="n"/>
      <c r="S607" s="31" t="n"/>
      <c r="T607" s="31" t="n"/>
      <c r="U607" s="31" t="n"/>
      <c r="V607" s="31" t="n"/>
      <c r="W607" s="31" t="n"/>
      <c r="X607" s="31" t="n"/>
      <c r="Y607" s="31" t="n"/>
    </row>
    <row r="608" ht="14.25" customHeight="1">
      <c r="A608" s="31" t="n"/>
      <c r="P608" s="31" t="n"/>
      <c r="Q608" s="31" t="n"/>
      <c r="R608" s="31" t="n"/>
      <c r="S608" s="31" t="n"/>
      <c r="T608" s="31" t="n"/>
      <c r="U608" s="31" t="n"/>
      <c r="V608" s="31" t="n"/>
      <c r="W608" s="31" t="n"/>
      <c r="X608" s="31" t="n"/>
      <c r="Y608" s="31" t="n"/>
    </row>
    <row r="609" ht="14.25" customHeight="1">
      <c r="A609" s="31" t="n"/>
      <c r="P609" s="31" t="n"/>
      <c r="Q609" s="31" t="n"/>
      <c r="R609" s="31" t="n"/>
      <c r="S609" s="31" t="n"/>
      <c r="T609" s="31" t="n"/>
      <c r="U609" s="31" t="n"/>
      <c r="V609" s="31" t="n"/>
      <c r="W609" s="31" t="n"/>
      <c r="X609" s="31" t="n"/>
      <c r="Y609" s="31" t="n"/>
    </row>
    <row r="610" ht="14.25" customHeight="1">
      <c r="A610" s="31" t="n"/>
      <c r="P610" s="31" t="n"/>
      <c r="Q610" s="31" t="n"/>
      <c r="R610" s="31" t="n"/>
      <c r="S610" s="31" t="n"/>
      <c r="T610" s="31" t="n"/>
      <c r="U610" s="31" t="n"/>
      <c r="V610" s="31" t="n"/>
      <c r="W610" s="31" t="n"/>
      <c r="X610" s="31" t="n"/>
      <c r="Y610" s="31" t="n"/>
    </row>
    <row r="611" ht="14.25" customHeight="1">
      <c r="A611" s="31" t="n"/>
      <c r="P611" s="31" t="n"/>
      <c r="Q611" s="31" t="n"/>
      <c r="R611" s="31" t="n"/>
      <c r="S611" s="31" t="n"/>
      <c r="T611" s="31" t="n"/>
      <c r="U611" s="31" t="n"/>
      <c r="V611" s="31" t="n"/>
      <c r="W611" s="31" t="n"/>
      <c r="X611" s="31" t="n"/>
      <c r="Y611" s="31" t="n"/>
    </row>
    <row r="612" ht="14.25" customHeight="1">
      <c r="A612" s="31" t="n"/>
      <c r="P612" s="31" t="n"/>
      <c r="Q612" s="31" t="n"/>
      <c r="R612" s="31" t="n"/>
      <c r="S612" s="31" t="n"/>
      <c r="T612" s="31" t="n"/>
      <c r="U612" s="31" t="n"/>
      <c r="V612" s="31" t="n"/>
      <c r="W612" s="31" t="n"/>
      <c r="X612" s="31" t="n"/>
      <c r="Y612" s="31" t="n"/>
    </row>
    <row r="613" ht="14.25" customHeight="1">
      <c r="A613" s="31" t="n"/>
      <c r="P613" s="31" t="n"/>
      <c r="Q613" s="31" t="n"/>
      <c r="R613" s="31" t="n"/>
      <c r="S613" s="31" t="n"/>
      <c r="T613" s="31" t="n"/>
      <c r="U613" s="31" t="n"/>
      <c r="V613" s="31" t="n"/>
      <c r="W613" s="31" t="n"/>
      <c r="X613" s="31" t="n"/>
      <c r="Y613" s="31" t="n"/>
    </row>
    <row r="614" ht="14.25" customHeight="1">
      <c r="A614" s="31" t="n"/>
      <c r="P614" s="31" t="n"/>
      <c r="Q614" s="31" t="n"/>
      <c r="R614" s="31" t="n"/>
      <c r="S614" s="31" t="n"/>
      <c r="T614" s="31" t="n"/>
      <c r="U614" s="31" t="n"/>
      <c r="V614" s="31" t="n"/>
      <c r="W614" s="31" t="n"/>
      <c r="X614" s="31" t="n"/>
      <c r="Y614" s="31" t="n"/>
    </row>
    <row r="615" ht="14.25" customHeight="1">
      <c r="A615" s="31" t="n"/>
      <c r="P615" s="31" t="n"/>
      <c r="Q615" s="31" t="n"/>
      <c r="R615" s="31" t="n"/>
      <c r="S615" s="31" t="n"/>
      <c r="T615" s="31" t="n"/>
      <c r="U615" s="31" t="n"/>
      <c r="V615" s="31" t="n"/>
      <c r="W615" s="31" t="n"/>
      <c r="X615" s="31" t="n"/>
      <c r="Y615" s="31" t="n"/>
    </row>
    <row r="616" ht="14.25" customHeight="1">
      <c r="A616" s="31" t="n"/>
      <c r="P616" s="31" t="n"/>
      <c r="Q616" s="31" t="n"/>
      <c r="R616" s="31" t="n"/>
      <c r="S616" s="31" t="n"/>
      <c r="T616" s="31" t="n"/>
      <c r="U616" s="31" t="n"/>
      <c r="V616" s="31" t="n"/>
      <c r="W616" s="31" t="n"/>
      <c r="X616" s="31" t="n"/>
      <c r="Y616" s="31" t="n"/>
    </row>
    <row r="617" ht="14.25" customHeight="1">
      <c r="A617" s="31" t="n"/>
      <c r="P617" s="31" t="n"/>
      <c r="Q617" s="31" t="n"/>
      <c r="R617" s="31" t="n"/>
      <c r="S617" s="31" t="n"/>
      <c r="T617" s="31" t="n"/>
      <c r="U617" s="31" t="n"/>
      <c r="V617" s="31" t="n"/>
      <c r="W617" s="31" t="n"/>
      <c r="X617" s="31" t="n"/>
      <c r="Y617" s="31" t="n"/>
    </row>
    <row r="618" ht="14.25" customHeight="1">
      <c r="A618" s="31" t="n"/>
      <c r="P618" s="31" t="n"/>
      <c r="Q618" s="31" t="n"/>
      <c r="R618" s="31" t="n"/>
      <c r="S618" s="31" t="n"/>
      <c r="T618" s="31" t="n"/>
      <c r="U618" s="31" t="n"/>
      <c r="V618" s="31" t="n"/>
      <c r="W618" s="31" t="n"/>
      <c r="X618" s="31" t="n"/>
      <c r="Y618" s="31" t="n"/>
    </row>
    <row r="619" ht="14.25" customHeight="1">
      <c r="A619" s="31" t="n"/>
      <c r="P619" s="31" t="n"/>
      <c r="Q619" s="31" t="n"/>
      <c r="R619" s="31" t="n"/>
      <c r="S619" s="31" t="n"/>
      <c r="T619" s="31" t="n"/>
      <c r="U619" s="31" t="n"/>
      <c r="V619" s="31" t="n"/>
      <c r="W619" s="31" t="n"/>
      <c r="X619" s="31" t="n"/>
      <c r="Y619" s="31" t="n"/>
    </row>
    <row r="620" ht="14.25" customHeight="1">
      <c r="A620" s="31" t="n"/>
      <c r="P620" s="31" t="n"/>
      <c r="Q620" s="31" t="n"/>
      <c r="R620" s="31" t="n"/>
      <c r="S620" s="31" t="n"/>
      <c r="T620" s="31" t="n"/>
      <c r="U620" s="31" t="n"/>
      <c r="V620" s="31" t="n"/>
      <c r="W620" s="31" t="n"/>
      <c r="X620" s="31" t="n"/>
      <c r="Y620" s="31" t="n"/>
    </row>
    <row r="621" ht="14.25" customHeight="1">
      <c r="A621" s="31" t="n"/>
      <c r="P621" s="31" t="n"/>
      <c r="Q621" s="31" t="n"/>
      <c r="R621" s="31" t="n"/>
      <c r="S621" s="31" t="n"/>
      <c r="T621" s="31" t="n"/>
      <c r="U621" s="31" t="n"/>
      <c r="V621" s="31" t="n"/>
      <c r="W621" s="31" t="n"/>
      <c r="X621" s="31" t="n"/>
      <c r="Y621" s="31" t="n"/>
    </row>
    <row r="622" ht="14.25" customHeight="1">
      <c r="A622" s="31" t="n"/>
      <c r="P622" s="31" t="n"/>
      <c r="Q622" s="31" t="n"/>
      <c r="R622" s="31" t="n"/>
      <c r="S622" s="31" t="n"/>
      <c r="T622" s="31" t="n"/>
      <c r="U622" s="31" t="n"/>
      <c r="V622" s="31" t="n"/>
      <c r="W622" s="31" t="n"/>
      <c r="X622" s="31" t="n"/>
      <c r="Y622" s="31" t="n"/>
    </row>
    <row r="623" ht="14.25" customHeight="1">
      <c r="A623" s="31" t="n"/>
      <c r="P623" s="31" t="n"/>
      <c r="Q623" s="31" t="n"/>
      <c r="R623" s="31" t="n"/>
      <c r="S623" s="31" t="n"/>
      <c r="T623" s="31" t="n"/>
      <c r="U623" s="31" t="n"/>
      <c r="V623" s="31" t="n"/>
      <c r="W623" s="31" t="n"/>
      <c r="X623" s="31" t="n"/>
      <c r="Y623" s="31" t="n"/>
    </row>
    <row r="624" ht="14.25" customHeight="1">
      <c r="A624" s="31" t="n"/>
      <c r="P624" s="31" t="n"/>
      <c r="Q624" s="31" t="n"/>
      <c r="R624" s="31" t="n"/>
      <c r="S624" s="31" t="n"/>
      <c r="T624" s="31" t="n"/>
      <c r="U624" s="31" t="n"/>
      <c r="V624" s="31" t="n"/>
      <c r="W624" s="31" t="n"/>
      <c r="X624" s="31" t="n"/>
      <c r="Y624" s="31" t="n"/>
    </row>
    <row r="625" ht="14.25" customHeight="1">
      <c r="A625" s="31" t="n"/>
      <c r="P625" s="31" t="n"/>
      <c r="Q625" s="31" t="n"/>
      <c r="R625" s="31" t="n"/>
      <c r="S625" s="31" t="n"/>
      <c r="T625" s="31" t="n"/>
      <c r="U625" s="31" t="n"/>
      <c r="V625" s="31" t="n"/>
      <c r="W625" s="31" t="n"/>
      <c r="X625" s="31" t="n"/>
      <c r="Y625" s="31" t="n"/>
    </row>
    <row r="626" ht="14.25" customHeight="1">
      <c r="A626" s="31" t="n"/>
      <c r="P626" s="31" t="n"/>
      <c r="Q626" s="31" t="n"/>
      <c r="R626" s="31" t="n"/>
      <c r="S626" s="31" t="n"/>
      <c r="T626" s="31" t="n"/>
      <c r="U626" s="31" t="n"/>
      <c r="V626" s="31" t="n"/>
      <c r="W626" s="31" t="n"/>
      <c r="X626" s="31" t="n"/>
      <c r="Y626" s="31" t="n"/>
    </row>
    <row r="627" ht="14.25" customHeight="1">
      <c r="A627" s="31" t="n"/>
      <c r="P627" s="31" t="n"/>
      <c r="Q627" s="31" t="n"/>
      <c r="R627" s="31" t="n"/>
      <c r="S627" s="31" t="n"/>
      <c r="T627" s="31" t="n"/>
      <c r="U627" s="31" t="n"/>
      <c r="V627" s="31" t="n"/>
      <c r="W627" s="31" t="n"/>
      <c r="X627" s="31" t="n"/>
      <c r="Y627" s="31" t="n"/>
    </row>
    <row r="628" ht="14.25" customHeight="1">
      <c r="A628" s="31" t="n"/>
      <c r="P628" s="31" t="n"/>
      <c r="Q628" s="31" t="n"/>
      <c r="R628" s="31" t="n"/>
      <c r="S628" s="31" t="n"/>
      <c r="T628" s="31" t="n"/>
      <c r="U628" s="31" t="n"/>
      <c r="V628" s="31" t="n"/>
      <c r="W628" s="31" t="n"/>
      <c r="X628" s="31" t="n"/>
      <c r="Y628" s="31" t="n"/>
    </row>
    <row r="629" ht="14.25" customHeight="1">
      <c r="A629" s="31" t="n"/>
      <c r="P629" s="31" t="n"/>
      <c r="Q629" s="31" t="n"/>
      <c r="R629" s="31" t="n"/>
      <c r="S629" s="31" t="n"/>
      <c r="T629" s="31" t="n"/>
      <c r="U629" s="31" t="n"/>
      <c r="V629" s="31" t="n"/>
      <c r="W629" s="31" t="n"/>
      <c r="X629" s="31" t="n"/>
      <c r="Y629" s="31" t="n"/>
    </row>
    <row r="630" ht="14.25" customHeight="1">
      <c r="A630" s="31" t="n"/>
      <c r="P630" s="31" t="n"/>
      <c r="Q630" s="31" t="n"/>
      <c r="R630" s="31" t="n"/>
      <c r="S630" s="31" t="n"/>
      <c r="T630" s="31" t="n"/>
      <c r="U630" s="31" t="n"/>
      <c r="V630" s="31" t="n"/>
      <c r="W630" s="31" t="n"/>
      <c r="X630" s="31" t="n"/>
      <c r="Y630" s="31" t="n"/>
    </row>
    <row r="631" ht="14.25" customHeight="1">
      <c r="A631" s="31" t="n"/>
      <c r="P631" s="31" t="n"/>
      <c r="Q631" s="31" t="n"/>
      <c r="R631" s="31" t="n"/>
      <c r="S631" s="31" t="n"/>
      <c r="T631" s="31" t="n"/>
      <c r="U631" s="31" t="n"/>
      <c r="V631" s="31" t="n"/>
      <c r="W631" s="31" t="n"/>
      <c r="X631" s="31" t="n"/>
      <c r="Y631" s="31" t="n"/>
    </row>
    <row r="632" ht="14.25" customHeight="1">
      <c r="A632" s="31" t="n"/>
      <c r="P632" s="31" t="n"/>
      <c r="Q632" s="31" t="n"/>
      <c r="R632" s="31" t="n"/>
      <c r="S632" s="31" t="n"/>
      <c r="T632" s="31" t="n"/>
      <c r="U632" s="31" t="n"/>
      <c r="V632" s="31" t="n"/>
      <c r="W632" s="31" t="n"/>
      <c r="X632" s="31" t="n"/>
      <c r="Y632" s="31" t="n"/>
    </row>
    <row r="633" ht="14.25" customHeight="1">
      <c r="A633" s="31" t="n"/>
      <c r="P633" s="31" t="n"/>
      <c r="Q633" s="31" t="n"/>
      <c r="R633" s="31" t="n"/>
      <c r="S633" s="31" t="n"/>
      <c r="T633" s="31" t="n"/>
      <c r="U633" s="31" t="n"/>
      <c r="V633" s="31" t="n"/>
      <c r="W633" s="31" t="n"/>
      <c r="X633" s="31" t="n"/>
      <c r="Y633" s="31" t="n"/>
    </row>
    <row r="634" ht="14.25" customHeight="1">
      <c r="A634" s="31" t="n"/>
      <c r="P634" s="31" t="n"/>
      <c r="Q634" s="31" t="n"/>
      <c r="R634" s="31" t="n"/>
      <c r="S634" s="31" t="n"/>
      <c r="T634" s="31" t="n"/>
      <c r="U634" s="31" t="n"/>
      <c r="V634" s="31" t="n"/>
      <c r="W634" s="31" t="n"/>
      <c r="X634" s="31" t="n"/>
      <c r="Y634" s="31" t="n"/>
    </row>
    <row r="635" ht="14.25" customHeight="1">
      <c r="A635" s="31" t="n"/>
      <c r="P635" s="31" t="n"/>
      <c r="Q635" s="31" t="n"/>
      <c r="R635" s="31" t="n"/>
      <c r="S635" s="31" t="n"/>
      <c r="T635" s="31" t="n"/>
      <c r="U635" s="31" t="n"/>
      <c r="V635" s="31" t="n"/>
      <c r="W635" s="31" t="n"/>
      <c r="X635" s="31" t="n"/>
      <c r="Y635" s="31" t="n"/>
    </row>
    <row r="636" ht="14.25" customHeight="1">
      <c r="A636" s="31" t="n"/>
      <c r="P636" s="31" t="n"/>
      <c r="Q636" s="31" t="n"/>
      <c r="R636" s="31" t="n"/>
      <c r="S636" s="31" t="n"/>
      <c r="T636" s="31" t="n"/>
      <c r="U636" s="31" t="n"/>
      <c r="V636" s="31" t="n"/>
      <c r="W636" s="31" t="n"/>
      <c r="X636" s="31" t="n"/>
      <c r="Y636" s="31" t="n"/>
    </row>
    <row r="637" ht="14.25" customHeight="1">
      <c r="A637" s="31" t="n"/>
      <c r="P637" s="31" t="n"/>
      <c r="Q637" s="31" t="n"/>
      <c r="R637" s="31" t="n"/>
      <c r="S637" s="31" t="n"/>
      <c r="T637" s="31" t="n"/>
      <c r="U637" s="31" t="n"/>
      <c r="V637" s="31" t="n"/>
      <c r="W637" s="31" t="n"/>
      <c r="X637" s="31" t="n"/>
      <c r="Y637" s="31" t="n"/>
    </row>
    <row r="638" ht="14.25" customHeight="1">
      <c r="A638" s="31" t="n"/>
      <c r="P638" s="31" t="n"/>
      <c r="Q638" s="31" t="n"/>
      <c r="R638" s="31" t="n"/>
      <c r="S638" s="31" t="n"/>
      <c r="T638" s="31" t="n"/>
      <c r="U638" s="31" t="n"/>
      <c r="V638" s="31" t="n"/>
      <c r="W638" s="31" t="n"/>
      <c r="X638" s="31" t="n"/>
      <c r="Y638" s="31" t="n"/>
    </row>
    <row r="639" ht="14.25" customHeight="1">
      <c r="A639" s="31" t="n"/>
      <c r="P639" s="31" t="n"/>
      <c r="Q639" s="31" t="n"/>
      <c r="R639" s="31" t="n"/>
      <c r="S639" s="31" t="n"/>
      <c r="T639" s="31" t="n"/>
      <c r="U639" s="31" t="n"/>
      <c r="V639" s="31" t="n"/>
      <c r="W639" s="31" t="n"/>
      <c r="X639" s="31" t="n"/>
      <c r="Y639" s="31" t="n"/>
    </row>
    <row r="640" ht="14.25" customHeight="1">
      <c r="A640" s="31" t="n"/>
      <c r="P640" s="31" t="n"/>
      <c r="Q640" s="31" t="n"/>
      <c r="R640" s="31" t="n"/>
      <c r="S640" s="31" t="n"/>
      <c r="T640" s="31" t="n"/>
      <c r="U640" s="31" t="n"/>
      <c r="V640" s="31" t="n"/>
      <c r="W640" s="31" t="n"/>
      <c r="X640" s="31" t="n"/>
      <c r="Y640" s="31" t="n"/>
    </row>
    <row r="641" ht="14.25" customHeight="1">
      <c r="A641" s="31" t="n"/>
      <c r="P641" s="31" t="n"/>
      <c r="Q641" s="31" t="n"/>
      <c r="R641" s="31" t="n"/>
      <c r="S641" s="31" t="n"/>
      <c r="T641" s="31" t="n"/>
      <c r="U641" s="31" t="n"/>
      <c r="V641" s="31" t="n"/>
      <c r="W641" s="31" t="n"/>
      <c r="X641" s="31" t="n"/>
      <c r="Y641" s="31" t="n"/>
    </row>
    <row r="642" ht="14.25" customHeight="1">
      <c r="A642" s="31" t="n"/>
      <c r="P642" s="31" t="n"/>
      <c r="Q642" s="31" t="n"/>
      <c r="R642" s="31" t="n"/>
      <c r="S642" s="31" t="n"/>
      <c r="T642" s="31" t="n"/>
      <c r="U642" s="31" t="n"/>
      <c r="V642" s="31" t="n"/>
      <c r="W642" s="31" t="n"/>
      <c r="X642" s="31" t="n"/>
      <c r="Y642" s="31" t="n"/>
    </row>
    <row r="643" ht="14.25" customHeight="1">
      <c r="A643" s="31" t="n"/>
      <c r="P643" s="31" t="n"/>
      <c r="Q643" s="31" t="n"/>
      <c r="R643" s="31" t="n"/>
      <c r="S643" s="31" t="n"/>
      <c r="T643" s="31" t="n"/>
      <c r="U643" s="31" t="n"/>
      <c r="V643" s="31" t="n"/>
      <c r="W643" s="31" t="n"/>
      <c r="X643" s="31" t="n"/>
      <c r="Y643" s="31" t="n"/>
    </row>
    <row r="644" ht="14.25" customHeight="1">
      <c r="A644" s="31" t="n"/>
      <c r="P644" s="31" t="n"/>
      <c r="Q644" s="31" t="n"/>
      <c r="R644" s="31" t="n"/>
      <c r="S644" s="31" t="n"/>
      <c r="T644" s="31" t="n"/>
      <c r="U644" s="31" t="n"/>
      <c r="V644" s="31" t="n"/>
      <c r="W644" s="31" t="n"/>
      <c r="X644" s="31" t="n"/>
      <c r="Y644" s="31" t="n"/>
    </row>
    <row r="645" ht="14.25" customHeight="1">
      <c r="A645" s="31" t="n"/>
      <c r="P645" s="31" t="n"/>
      <c r="Q645" s="31" t="n"/>
      <c r="R645" s="31" t="n"/>
      <c r="S645" s="31" t="n"/>
      <c r="T645" s="31" t="n"/>
      <c r="U645" s="31" t="n"/>
      <c r="V645" s="31" t="n"/>
      <c r="W645" s="31" t="n"/>
      <c r="X645" s="31" t="n"/>
      <c r="Y645" s="31" t="n"/>
    </row>
    <row r="646" ht="14.25" customHeight="1">
      <c r="A646" s="31" t="n"/>
      <c r="P646" s="31" t="n"/>
      <c r="Q646" s="31" t="n"/>
      <c r="R646" s="31" t="n"/>
      <c r="S646" s="31" t="n"/>
      <c r="T646" s="31" t="n"/>
      <c r="U646" s="31" t="n"/>
      <c r="V646" s="31" t="n"/>
      <c r="W646" s="31" t="n"/>
      <c r="X646" s="31" t="n"/>
      <c r="Y646" s="31" t="n"/>
    </row>
    <row r="647" ht="14.25" customHeight="1">
      <c r="A647" s="31" t="n"/>
      <c r="P647" s="31" t="n"/>
      <c r="Q647" s="31" t="n"/>
      <c r="R647" s="31" t="n"/>
      <c r="S647" s="31" t="n"/>
      <c r="T647" s="31" t="n"/>
      <c r="U647" s="31" t="n"/>
      <c r="V647" s="31" t="n"/>
      <c r="W647" s="31" t="n"/>
      <c r="X647" s="31" t="n"/>
      <c r="Y647" s="31" t="n"/>
    </row>
    <row r="648" ht="14.25" customHeight="1">
      <c r="A648" s="31" t="n"/>
      <c r="P648" s="31" t="n"/>
      <c r="Q648" s="31" t="n"/>
      <c r="R648" s="31" t="n"/>
      <c r="S648" s="31" t="n"/>
      <c r="T648" s="31" t="n"/>
      <c r="U648" s="31" t="n"/>
      <c r="V648" s="31" t="n"/>
      <c r="W648" s="31" t="n"/>
      <c r="X648" s="31" t="n"/>
      <c r="Y648" s="31" t="n"/>
    </row>
    <row r="649" ht="14.25" customHeight="1">
      <c r="A649" s="31" t="n"/>
      <c r="P649" s="31" t="n"/>
      <c r="Q649" s="31" t="n"/>
      <c r="R649" s="31" t="n"/>
      <c r="S649" s="31" t="n"/>
      <c r="T649" s="31" t="n"/>
      <c r="U649" s="31" t="n"/>
      <c r="V649" s="31" t="n"/>
      <c r="W649" s="31" t="n"/>
      <c r="X649" s="31" t="n"/>
      <c r="Y649" s="31" t="n"/>
    </row>
    <row r="650" ht="14.25" customHeight="1">
      <c r="A650" s="31" t="n"/>
      <c r="P650" s="31" t="n"/>
      <c r="Q650" s="31" t="n"/>
      <c r="R650" s="31" t="n"/>
      <c r="S650" s="31" t="n"/>
      <c r="T650" s="31" t="n"/>
      <c r="U650" s="31" t="n"/>
      <c r="V650" s="31" t="n"/>
      <c r="W650" s="31" t="n"/>
      <c r="X650" s="31" t="n"/>
      <c r="Y650" s="31" t="n"/>
    </row>
    <row r="651" ht="14.25" customHeight="1">
      <c r="A651" s="31" t="n"/>
      <c r="P651" s="31" t="n"/>
      <c r="Q651" s="31" t="n"/>
      <c r="R651" s="31" t="n"/>
      <c r="S651" s="31" t="n"/>
      <c r="T651" s="31" t="n"/>
      <c r="U651" s="31" t="n"/>
      <c r="V651" s="31" t="n"/>
      <c r="W651" s="31" t="n"/>
      <c r="X651" s="31" t="n"/>
      <c r="Y651" s="31" t="n"/>
    </row>
    <row r="652" ht="14.25" customHeight="1">
      <c r="A652" s="31" t="n"/>
      <c r="P652" s="31" t="n"/>
      <c r="Q652" s="31" t="n"/>
      <c r="R652" s="31" t="n"/>
      <c r="S652" s="31" t="n"/>
      <c r="T652" s="31" t="n"/>
      <c r="U652" s="31" t="n"/>
      <c r="V652" s="31" t="n"/>
      <c r="W652" s="31" t="n"/>
      <c r="X652" s="31" t="n"/>
      <c r="Y652" s="31" t="n"/>
    </row>
    <row r="653" ht="14.25" customHeight="1">
      <c r="A653" s="31" t="n"/>
      <c r="P653" s="31" t="n"/>
      <c r="Q653" s="31" t="n"/>
      <c r="R653" s="31" t="n"/>
      <c r="S653" s="31" t="n"/>
      <c r="T653" s="31" t="n"/>
      <c r="U653" s="31" t="n"/>
      <c r="V653" s="31" t="n"/>
      <c r="W653" s="31" t="n"/>
      <c r="X653" s="31" t="n"/>
      <c r="Y653" s="31" t="n"/>
    </row>
    <row r="654" ht="14.25" customHeight="1">
      <c r="A654" s="31" t="n"/>
      <c r="P654" s="31" t="n"/>
      <c r="Q654" s="31" t="n"/>
      <c r="R654" s="31" t="n"/>
      <c r="S654" s="31" t="n"/>
      <c r="T654" s="31" t="n"/>
      <c r="U654" s="31" t="n"/>
      <c r="V654" s="31" t="n"/>
      <c r="W654" s="31" t="n"/>
      <c r="X654" s="31" t="n"/>
      <c r="Y654" s="31" t="n"/>
    </row>
    <row r="655" ht="14.25" customHeight="1">
      <c r="A655" s="31" t="n"/>
      <c r="P655" s="31" t="n"/>
      <c r="Q655" s="31" t="n"/>
      <c r="R655" s="31" t="n"/>
      <c r="S655" s="31" t="n"/>
      <c r="T655" s="31" t="n"/>
      <c r="U655" s="31" t="n"/>
      <c r="V655" s="31" t="n"/>
      <c r="W655" s="31" t="n"/>
      <c r="X655" s="31" t="n"/>
      <c r="Y655" s="31" t="n"/>
    </row>
    <row r="656" ht="14.25" customHeight="1">
      <c r="A656" s="31" t="n"/>
      <c r="P656" s="31" t="n"/>
      <c r="Q656" s="31" t="n"/>
      <c r="R656" s="31" t="n"/>
      <c r="S656" s="31" t="n"/>
      <c r="T656" s="31" t="n"/>
      <c r="U656" s="31" t="n"/>
      <c r="V656" s="31" t="n"/>
      <c r="W656" s="31" t="n"/>
      <c r="X656" s="31" t="n"/>
      <c r="Y656" s="31" t="n"/>
    </row>
    <row r="657" ht="14.25" customHeight="1">
      <c r="A657" s="31" t="n"/>
      <c r="P657" s="31" t="n"/>
      <c r="Q657" s="31" t="n"/>
      <c r="R657" s="31" t="n"/>
      <c r="S657" s="31" t="n"/>
      <c r="T657" s="31" t="n"/>
      <c r="U657" s="31" t="n"/>
      <c r="V657" s="31" t="n"/>
      <c r="W657" s="31" t="n"/>
      <c r="X657" s="31" t="n"/>
      <c r="Y657" s="31" t="n"/>
    </row>
    <row r="658" ht="14.25" customHeight="1">
      <c r="A658" s="31" t="n"/>
      <c r="P658" s="31" t="n"/>
      <c r="Q658" s="31" t="n"/>
      <c r="R658" s="31" t="n"/>
      <c r="S658" s="31" t="n"/>
      <c r="T658" s="31" t="n"/>
      <c r="U658" s="31" t="n"/>
      <c r="V658" s="31" t="n"/>
      <c r="W658" s="31" t="n"/>
      <c r="X658" s="31" t="n"/>
      <c r="Y658" s="31" t="n"/>
    </row>
    <row r="659" ht="14.25" customHeight="1">
      <c r="A659" s="31" t="n"/>
      <c r="P659" s="31" t="n"/>
      <c r="Q659" s="31" t="n"/>
      <c r="R659" s="31" t="n"/>
      <c r="S659" s="31" t="n"/>
      <c r="T659" s="31" t="n"/>
      <c r="U659" s="31" t="n"/>
      <c r="V659" s="31" t="n"/>
      <c r="W659" s="31" t="n"/>
      <c r="X659" s="31" t="n"/>
      <c r="Y659" s="31" t="n"/>
    </row>
    <row r="660" ht="14.25" customHeight="1">
      <c r="A660" s="31" t="n"/>
      <c r="P660" s="31" t="n"/>
      <c r="Q660" s="31" t="n"/>
      <c r="R660" s="31" t="n"/>
      <c r="S660" s="31" t="n"/>
      <c r="T660" s="31" t="n"/>
      <c r="U660" s="31" t="n"/>
      <c r="V660" s="31" t="n"/>
      <c r="W660" s="31" t="n"/>
      <c r="X660" s="31" t="n"/>
      <c r="Y660" s="31" t="n"/>
    </row>
    <row r="661" ht="14.25" customHeight="1">
      <c r="A661" s="31" t="n"/>
      <c r="P661" s="31" t="n"/>
      <c r="Q661" s="31" t="n"/>
      <c r="R661" s="31" t="n"/>
      <c r="S661" s="31" t="n"/>
      <c r="T661" s="31" t="n"/>
      <c r="U661" s="31" t="n"/>
      <c r="V661" s="31" t="n"/>
      <c r="W661" s="31" t="n"/>
      <c r="X661" s="31" t="n"/>
      <c r="Y661" s="31" t="n"/>
    </row>
    <row r="662" ht="14.25" customHeight="1">
      <c r="A662" s="31" t="n"/>
      <c r="P662" s="31" t="n"/>
      <c r="Q662" s="31" t="n"/>
      <c r="R662" s="31" t="n"/>
      <c r="S662" s="31" t="n"/>
      <c r="T662" s="31" t="n"/>
      <c r="U662" s="31" t="n"/>
      <c r="V662" s="31" t="n"/>
      <c r="W662" s="31" t="n"/>
      <c r="X662" s="31" t="n"/>
      <c r="Y662" s="31" t="n"/>
    </row>
    <row r="663" ht="14.25" customHeight="1">
      <c r="A663" s="31" t="n"/>
      <c r="P663" s="31" t="n"/>
      <c r="Q663" s="31" t="n"/>
      <c r="R663" s="31" t="n"/>
      <c r="S663" s="31" t="n"/>
      <c r="T663" s="31" t="n"/>
      <c r="U663" s="31" t="n"/>
      <c r="V663" s="31" t="n"/>
      <c r="W663" s="31" t="n"/>
      <c r="X663" s="31" t="n"/>
      <c r="Y663" s="31" t="n"/>
    </row>
    <row r="664" ht="14.25" customHeight="1">
      <c r="A664" s="31" t="n"/>
      <c r="P664" s="31" t="n"/>
      <c r="Q664" s="31" t="n"/>
      <c r="R664" s="31" t="n"/>
      <c r="S664" s="31" t="n"/>
      <c r="T664" s="31" t="n"/>
      <c r="U664" s="31" t="n"/>
      <c r="V664" s="31" t="n"/>
      <c r="W664" s="31" t="n"/>
      <c r="X664" s="31" t="n"/>
      <c r="Y664" s="31" t="n"/>
    </row>
    <row r="665" ht="14.25" customHeight="1">
      <c r="A665" s="31" t="n"/>
      <c r="P665" s="31" t="n"/>
      <c r="Q665" s="31" t="n"/>
      <c r="R665" s="31" t="n"/>
      <c r="S665" s="31" t="n"/>
      <c r="T665" s="31" t="n"/>
      <c r="U665" s="31" t="n"/>
      <c r="V665" s="31" t="n"/>
      <c r="W665" s="31" t="n"/>
      <c r="X665" s="31" t="n"/>
      <c r="Y665" s="31" t="n"/>
    </row>
    <row r="666" ht="14.25" customHeight="1">
      <c r="A666" s="31" t="n"/>
      <c r="P666" s="31" t="n"/>
      <c r="Q666" s="31" t="n"/>
      <c r="R666" s="31" t="n"/>
      <c r="S666" s="31" t="n"/>
      <c r="T666" s="31" t="n"/>
      <c r="U666" s="31" t="n"/>
      <c r="V666" s="31" t="n"/>
      <c r="W666" s="31" t="n"/>
      <c r="X666" s="31" t="n"/>
      <c r="Y666" s="31" t="n"/>
    </row>
    <row r="667" ht="14.25" customHeight="1">
      <c r="A667" s="31" t="n"/>
      <c r="P667" s="31" t="n"/>
      <c r="Q667" s="31" t="n"/>
      <c r="R667" s="31" t="n"/>
      <c r="S667" s="31" t="n"/>
      <c r="T667" s="31" t="n"/>
      <c r="U667" s="31" t="n"/>
      <c r="V667" s="31" t="n"/>
      <c r="W667" s="31" t="n"/>
      <c r="X667" s="31" t="n"/>
      <c r="Y667" s="31" t="n"/>
    </row>
    <row r="668" ht="14.25" customHeight="1">
      <c r="A668" s="31" t="n"/>
      <c r="P668" s="31" t="n"/>
      <c r="Q668" s="31" t="n"/>
      <c r="R668" s="31" t="n"/>
      <c r="S668" s="31" t="n"/>
      <c r="T668" s="31" t="n"/>
      <c r="U668" s="31" t="n"/>
      <c r="V668" s="31" t="n"/>
      <c r="W668" s="31" t="n"/>
      <c r="X668" s="31" t="n"/>
      <c r="Y668" s="31" t="n"/>
    </row>
    <row r="669" ht="14.25" customHeight="1">
      <c r="A669" s="31" t="n"/>
      <c r="P669" s="31" t="n"/>
      <c r="Q669" s="31" t="n"/>
      <c r="R669" s="31" t="n"/>
      <c r="S669" s="31" t="n"/>
      <c r="T669" s="31" t="n"/>
      <c r="U669" s="31" t="n"/>
      <c r="V669" s="31" t="n"/>
      <c r="W669" s="31" t="n"/>
      <c r="X669" s="31" t="n"/>
      <c r="Y669" s="31" t="n"/>
    </row>
    <row r="670" ht="14.25" customHeight="1">
      <c r="A670" s="31" t="n"/>
      <c r="P670" s="31" t="n"/>
      <c r="Q670" s="31" t="n"/>
      <c r="R670" s="31" t="n"/>
      <c r="S670" s="31" t="n"/>
      <c r="T670" s="31" t="n"/>
      <c r="U670" s="31" t="n"/>
      <c r="V670" s="31" t="n"/>
      <c r="W670" s="31" t="n"/>
      <c r="X670" s="31" t="n"/>
      <c r="Y670" s="31" t="n"/>
    </row>
    <row r="671" ht="14.25" customHeight="1">
      <c r="A671" s="31" t="n"/>
      <c r="P671" s="31" t="n"/>
      <c r="Q671" s="31" t="n"/>
      <c r="R671" s="31" t="n"/>
      <c r="S671" s="31" t="n"/>
      <c r="T671" s="31" t="n"/>
      <c r="U671" s="31" t="n"/>
      <c r="V671" s="31" t="n"/>
      <c r="W671" s="31" t="n"/>
      <c r="X671" s="31" t="n"/>
      <c r="Y671" s="31" t="n"/>
    </row>
    <row r="672" ht="14.25" customHeight="1">
      <c r="A672" s="31" t="n"/>
      <c r="P672" s="31" t="n"/>
      <c r="Q672" s="31" t="n"/>
      <c r="R672" s="31" t="n"/>
      <c r="S672" s="31" t="n"/>
      <c r="T672" s="31" t="n"/>
      <c r="U672" s="31" t="n"/>
      <c r="V672" s="31" t="n"/>
      <c r="W672" s="31" t="n"/>
      <c r="X672" s="31" t="n"/>
      <c r="Y672" s="31" t="n"/>
    </row>
    <row r="673" ht="14.25" customHeight="1">
      <c r="A673" s="31" t="n"/>
      <c r="P673" s="31" t="n"/>
      <c r="Q673" s="31" t="n"/>
      <c r="R673" s="31" t="n"/>
      <c r="S673" s="31" t="n"/>
      <c r="T673" s="31" t="n"/>
      <c r="U673" s="31" t="n"/>
      <c r="V673" s="31" t="n"/>
      <c r="W673" s="31" t="n"/>
      <c r="X673" s="31" t="n"/>
      <c r="Y673" s="31" t="n"/>
    </row>
    <row r="674" ht="14.25" customHeight="1">
      <c r="A674" s="31" t="n"/>
      <c r="P674" s="31" t="n"/>
      <c r="Q674" s="31" t="n"/>
      <c r="R674" s="31" t="n"/>
      <c r="S674" s="31" t="n"/>
      <c r="T674" s="31" t="n"/>
      <c r="U674" s="31" t="n"/>
      <c r="V674" s="31" t="n"/>
      <c r="W674" s="31" t="n"/>
      <c r="X674" s="31" t="n"/>
      <c r="Y674" s="31" t="n"/>
    </row>
    <row r="675" ht="14.25" customHeight="1">
      <c r="A675" s="31" t="n"/>
      <c r="P675" s="31" t="n"/>
      <c r="Q675" s="31" t="n"/>
      <c r="R675" s="31" t="n"/>
      <c r="S675" s="31" t="n"/>
      <c r="T675" s="31" t="n"/>
      <c r="U675" s="31" t="n"/>
      <c r="V675" s="31" t="n"/>
      <c r="W675" s="31" t="n"/>
      <c r="X675" s="31" t="n"/>
      <c r="Y675" s="31" t="n"/>
    </row>
    <row r="676" ht="14.25" customHeight="1">
      <c r="A676" s="31" t="n"/>
      <c r="P676" s="31" t="n"/>
      <c r="Q676" s="31" t="n"/>
      <c r="R676" s="31" t="n"/>
      <c r="S676" s="31" t="n"/>
      <c r="T676" s="31" t="n"/>
      <c r="U676" s="31" t="n"/>
      <c r="V676" s="31" t="n"/>
      <c r="W676" s="31" t="n"/>
      <c r="X676" s="31" t="n"/>
      <c r="Y676" s="31" t="n"/>
    </row>
    <row r="677" ht="14.25" customHeight="1">
      <c r="A677" s="31" t="n"/>
      <c r="P677" s="31" t="n"/>
      <c r="Q677" s="31" t="n"/>
      <c r="R677" s="31" t="n"/>
      <c r="S677" s="31" t="n"/>
      <c r="T677" s="31" t="n"/>
      <c r="U677" s="31" t="n"/>
      <c r="V677" s="31" t="n"/>
      <c r="W677" s="31" t="n"/>
      <c r="X677" s="31" t="n"/>
      <c r="Y677" s="31" t="n"/>
    </row>
    <row r="678" ht="14.25" customHeight="1">
      <c r="A678" s="31" t="n"/>
      <c r="P678" s="31" t="n"/>
      <c r="Q678" s="31" t="n"/>
      <c r="R678" s="31" t="n"/>
      <c r="S678" s="31" t="n"/>
      <c r="T678" s="31" t="n"/>
      <c r="U678" s="31" t="n"/>
      <c r="V678" s="31" t="n"/>
      <c r="W678" s="31" t="n"/>
      <c r="X678" s="31" t="n"/>
      <c r="Y678" s="31" t="n"/>
    </row>
    <row r="679" ht="14.25" customHeight="1">
      <c r="A679" s="31" t="n"/>
      <c r="P679" s="31" t="n"/>
      <c r="Q679" s="31" t="n"/>
      <c r="R679" s="31" t="n"/>
      <c r="S679" s="31" t="n"/>
      <c r="T679" s="31" t="n"/>
      <c r="U679" s="31" t="n"/>
      <c r="V679" s="31" t="n"/>
      <c r="W679" s="31" t="n"/>
      <c r="X679" s="31" t="n"/>
      <c r="Y679" s="31" t="n"/>
    </row>
    <row r="680" ht="14.25" customHeight="1">
      <c r="A680" s="31" t="n"/>
      <c r="P680" s="31" t="n"/>
      <c r="Q680" s="31" t="n"/>
      <c r="R680" s="31" t="n"/>
      <c r="S680" s="31" t="n"/>
      <c r="T680" s="31" t="n"/>
      <c r="U680" s="31" t="n"/>
      <c r="V680" s="31" t="n"/>
      <c r="W680" s="31" t="n"/>
      <c r="X680" s="31" t="n"/>
      <c r="Y680" s="31" t="n"/>
    </row>
    <row r="681" ht="14.25" customHeight="1">
      <c r="A681" s="31" t="n"/>
      <c r="P681" s="31" t="n"/>
      <c r="Q681" s="31" t="n"/>
      <c r="R681" s="31" t="n"/>
      <c r="S681" s="31" t="n"/>
      <c r="T681" s="31" t="n"/>
      <c r="U681" s="31" t="n"/>
      <c r="V681" s="31" t="n"/>
      <c r="W681" s="31" t="n"/>
      <c r="X681" s="31" t="n"/>
      <c r="Y681" s="31" t="n"/>
    </row>
    <row r="682" ht="14.25" customHeight="1">
      <c r="A682" s="31" t="n"/>
      <c r="P682" s="31" t="n"/>
      <c r="Q682" s="31" t="n"/>
      <c r="R682" s="31" t="n"/>
      <c r="S682" s="31" t="n"/>
      <c r="T682" s="31" t="n"/>
      <c r="U682" s="31" t="n"/>
      <c r="V682" s="31" t="n"/>
      <c r="W682" s="31" t="n"/>
      <c r="X682" s="31" t="n"/>
      <c r="Y682" s="31" t="n"/>
    </row>
    <row r="683" ht="14.25" customHeight="1">
      <c r="A683" s="31" t="n"/>
      <c r="P683" s="31" t="n"/>
      <c r="Q683" s="31" t="n"/>
      <c r="R683" s="31" t="n"/>
      <c r="S683" s="31" t="n"/>
      <c r="T683" s="31" t="n"/>
      <c r="U683" s="31" t="n"/>
      <c r="V683" s="31" t="n"/>
      <c r="W683" s="31" t="n"/>
      <c r="X683" s="31" t="n"/>
      <c r="Y683" s="31" t="n"/>
    </row>
    <row r="684" ht="14.25" customHeight="1">
      <c r="A684" s="31" t="n"/>
      <c r="P684" s="31" t="n"/>
      <c r="Q684" s="31" t="n"/>
      <c r="R684" s="31" t="n"/>
      <c r="S684" s="31" t="n"/>
      <c r="T684" s="31" t="n"/>
      <c r="U684" s="31" t="n"/>
      <c r="V684" s="31" t="n"/>
      <c r="W684" s="31" t="n"/>
      <c r="X684" s="31" t="n"/>
      <c r="Y684" s="31" t="n"/>
    </row>
    <row r="685" ht="14.25" customHeight="1">
      <c r="A685" s="31" t="n"/>
      <c r="P685" s="31" t="n"/>
      <c r="Q685" s="31" t="n"/>
      <c r="R685" s="31" t="n"/>
      <c r="S685" s="31" t="n"/>
      <c r="T685" s="31" t="n"/>
      <c r="U685" s="31" t="n"/>
      <c r="V685" s="31" t="n"/>
      <c r="W685" s="31" t="n"/>
      <c r="X685" s="31" t="n"/>
      <c r="Y685" s="31" t="n"/>
    </row>
    <row r="686" ht="14.25" customHeight="1">
      <c r="A686" s="31" t="n"/>
      <c r="P686" s="31" t="n"/>
      <c r="Q686" s="31" t="n"/>
      <c r="R686" s="31" t="n"/>
      <c r="S686" s="31" t="n"/>
      <c r="T686" s="31" t="n"/>
      <c r="U686" s="31" t="n"/>
      <c r="V686" s="31" t="n"/>
      <c r="W686" s="31" t="n"/>
      <c r="X686" s="31" t="n"/>
      <c r="Y686" s="31" t="n"/>
    </row>
    <row r="687" ht="14.25" customHeight="1">
      <c r="A687" s="31" t="n"/>
      <c r="P687" s="31" t="n"/>
      <c r="Q687" s="31" t="n"/>
      <c r="R687" s="31" t="n"/>
      <c r="S687" s="31" t="n"/>
      <c r="T687" s="31" t="n"/>
      <c r="U687" s="31" t="n"/>
      <c r="V687" s="31" t="n"/>
      <c r="W687" s="31" t="n"/>
      <c r="X687" s="31" t="n"/>
      <c r="Y687" s="31" t="n"/>
    </row>
    <row r="688" ht="14.25" customHeight="1">
      <c r="A688" s="31" t="n"/>
      <c r="P688" s="31" t="n"/>
      <c r="Q688" s="31" t="n"/>
      <c r="R688" s="31" t="n"/>
      <c r="S688" s="31" t="n"/>
      <c r="T688" s="31" t="n"/>
      <c r="U688" s="31" t="n"/>
      <c r="V688" s="31" t="n"/>
      <c r="W688" s="31" t="n"/>
      <c r="X688" s="31" t="n"/>
      <c r="Y688" s="31" t="n"/>
    </row>
    <row r="689" ht="14.25" customHeight="1">
      <c r="A689" s="31" t="n"/>
      <c r="P689" s="31" t="n"/>
      <c r="Q689" s="31" t="n"/>
      <c r="R689" s="31" t="n"/>
      <c r="S689" s="31" t="n"/>
      <c r="T689" s="31" t="n"/>
      <c r="U689" s="31" t="n"/>
      <c r="V689" s="31" t="n"/>
      <c r="W689" s="31" t="n"/>
      <c r="X689" s="31" t="n"/>
      <c r="Y689" s="31" t="n"/>
    </row>
    <row r="690" ht="14.25" customHeight="1">
      <c r="A690" s="31" t="n"/>
      <c r="P690" s="31" t="n"/>
      <c r="Q690" s="31" t="n"/>
      <c r="R690" s="31" t="n"/>
      <c r="S690" s="31" t="n"/>
      <c r="T690" s="31" t="n"/>
      <c r="U690" s="31" t="n"/>
      <c r="V690" s="31" t="n"/>
      <c r="W690" s="31" t="n"/>
      <c r="X690" s="31" t="n"/>
      <c r="Y690" s="31" t="n"/>
    </row>
    <row r="691" ht="14.25" customHeight="1">
      <c r="A691" s="31" t="n"/>
      <c r="P691" s="31" t="n"/>
      <c r="Q691" s="31" t="n"/>
      <c r="R691" s="31" t="n"/>
      <c r="S691" s="31" t="n"/>
      <c r="T691" s="31" t="n"/>
      <c r="U691" s="31" t="n"/>
      <c r="V691" s="31" t="n"/>
      <c r="W691" s="31" t="n"/>
      <c r="X691" s="31" t="n"/>
      <c r="Y691" s="31" t="n"/>
    </row>
    <row r="692" ht="14.25" customHeight="1">
      <c r="A692" s="31" t="n"/>
      <c r="P692" s="31" t="n"/>
      <c r="Q692" s="31" t="n"/>
      <c r="R692" s="31" t="n"/>
      <c r="S692" s="31" t="n"/>
      <c r="T692" s="31" t="n"/>
      <c r="U692" s="31" t="n"/>
      <c r="V692" s="31" t="n"/>
      <c r="W692" s="31" t="n"/>
      <c r="X692" s="31" t="n"/>
      <c r="Y692" s="31" t="n"/>
    </row>
    <row r="693" ht="14.25" customHeight="1">
      <c r="A693" s="31" t="n"/>
      <c r="P693" s="31" t="n"/>
      <c r="Q693" s="31" t="n"/>
      <c r="R693" s="31" t="n"/>
      <c r="S693" s="31" t="n"/>
      <c r="T693" s="31" t="n"/>
      <c r="U693" s="31" t="n"/>
      <c r="V693" s="31" t="n"/>
      <c r="W693" s="31" t="n"/>
      <c r="X693" s="31" t="n"/>
      <c r="Y693" s="31" t="n"/>
    </row>
    <row r="694" ht="14.25" customHeight="1">
      <c r="A694" s="31" t="n"/>
      <c r="P694" s="31" t="n"/>
      <c r="Q694" s="31" t="n"/>
      <c r="R694" s="31" t="n"/>
      <c r="S694" s="31" t="n"/>
      <c r="T694" s="31" t="n"/>
      <c r="U694" s="31" t="n"/>
      <c r="V694" s="31" t="n"/>
      <c r="W694" s="31" t="n"/>
      <c r="X694" s="31" t="n"/>
      <c r="Y694" s="31" t="n"/>
    </row>
    <row r="695" ht="14.25" customHeight="1">
      <c r="A695" s="31" t="n"/>
      <c r="P695" s="31" t="n"/>
      <c r="Q695" s="31" t="n"/>
      <c r="R695" s="31" t="n"/>
      <c r="S695" s="31" t="n"/>
      <c r="T695" s="31" t="n"/>
      <c r="U695" s="31" t="n"/>
      <c r="V695" s="31" t="n"/>
      <c r="W695" s="31" t="n"/>
      <c r="X695" s="31" t="n"/>
      <c r="Y695" s="31" t="n"/>
    </row>
    <row r="696" ht="14.25" customHeight="1">
      <c r="A696" s="31" t="n"/>
      <c r="P696" s="31" t="n"/>
      <c r="Q696" s="31" t="n"/>
      <c r="R696" s="31" t="n"/>
      <c r="S696" s="31" t="n"/>
      <c r="T696" s="31" t="n"/>
      <c r="U696" s="31" t="n"/>
      <c r="V696" s="31" t="n"/>
      <c r="W696" s="31" t="n"/>
      <c r="X696" s="31" t="n"/>
      <c r="Y696" s="31" t="n"/>
    </row>
    <row r="697" ht="14.25" customHeight="1">
      <c r="A697" s="31" t="n"/>
      <c r="P697" s="31" t="n"/>
      <c r="Q697" s="31" t="n"/>
      <c r="R697" s="31" t="n"/>
      <c r="S697" s="31" t="n"/>
      <c r="T697" s="31" t="n"/>
      <c r="U697" s="31" t="n"/>
      <c r="V697" s="31" t="n"/>
      <c r="W697" s="31" t="n"/>
      <c r="X697" s="31" t="n"/>
      <c r="Y697" s="31" t="n"/>
    </row>
    <row r="698" ht="14.25" customHeight="1">
      <c r="A698" s="31" t="n"/>
      <c r="P698" s="31" t="n"/>
      <c r="Q698" s="31" t="n"/>
      <c r="R698" s="31" t="n"/>
      <c r="S698" s="31" t="n"/>
      <c r="T698" s="31" t="n"/>
      <c r="U698" s="31" t="n"/>
      <c r="V698" s="31" t="n"/>
      <c r="W698" s="31" t="n"/>
      <c r="X698" s="31" t="n"/>
      <c r="Y698" s="31" t="n"/>
    </row>
    <row r="699" ht="14.25" customHeight="1">
      <c r="A699" s="31" t="n"/>
      <c r="P699" s="31" t="n"/>
      <c r="Q699" s="31" t="n"/>
      <c r="R699" s="31" t="n"/>
      <c r="S699" s="31" t="n"/>
      <c r="T699" s="31" t="n"/>
      <c r="U699" s="31" t="n"/>
      <c r="V699" s="31" t="n"/>
      <c r="W699" s="31" t="n"/>
      <c r="X699" s="31" t="n"/>
      <c r="Y699" s="31" t="n"/>
    </row>
    <row r="700" ht="14.25" customHeight="1">
      <c r="A700" s="31" t="n"/>
      <c r="P700" s="31" t="n"/>
      <c r="Q700" s="31" t="n"/>
      <c r="R700" s="31" t="n"/>
      <c r="S700" s="31" t="n"/>
      <c r="T700" s="31" t="n"/>
      <c r="U700" s="31" t="n"/>
      <c r="V700" s="31" t="n"/>
      <c r="W700" s="31" t="n"/>
      <c r="X700" s="31" t="n"/>
      <c r="Y700" s="31" t="n"/>
    </row>
    <row r="701" ht="14.25" customHeight="1">
      <c r="A701" s="31" t="n"/>
      <c r="P701" s="31" t="n"/>
      <c r="Q701" s="31" t="n"/>
      <c r="R701" s="31" t="n"/>
      <c r="S701" s="31" t="n"/>
      <c r="T701" s="31" t="n"/>
      <c r="U701" s="31" t="n"/>
      <c r="V701" s="31" t="n"/>
      <c r="W701" s="31" t="n"/>
      <c r="X701" s="31" t="n"/>
      <c r="Y701" s="31" t="n"/>
    </row>
    <row r="702" ht="14.25" customHeight="1">
      <c r="A702" s="31" t="n"/>
      <c r="P702" s="31" t="n"/>
      <c r="Q702" s="31" t="n"/>
      <c r="R702" s="31" t="n"/>
      <c r="S702" s="31" t="n"/>
      <c r="T702" s="31" t="n"/>
      <c r="U702" s="31" t="n"/>
      <c r="V702" s="31" t="n"/>
      <c r="W702" s="31" t="n"/>
      <c r="X702" s="31" t="n"/>
      <c r="Y702" s="31" t="n"/>
    </row>
    <row r="703" ht="14.25" customHeight="1">
      <c r="A703" s="31" t="n"/>
      <c r="P703" s="31" t="n"/>
      <c r="Q703" s="31" t="n"/>
      <c r="R703" s="31" t="n"/>
      <c r="S703" s="31" t="n"/>
      <c r="T703" s="31" t="n"/>
      <c r="U703" s="31" t="n"/>
      <c r="V703" s="31" t="n"/>
      <c r="W703" s="31" t="n"/>
      <c r="X703" s="31" t="n"/>
      <c r="Y703" s="31" t="n"/>
    </row>
    <row r="704" ht="14.25" customHeight="1">
      <c r="A704" s="31" t="n"/>
      <c r="P704" s="31" t="n"/>
      <c r="Q704" s="31" t="n"/>
      <c r="R704" s="31" t="n"/>
      <c r="S704" s="31" t="n"/>
      <c r="T704" s="31" t="n"/>
      <c r="U704" s="31" t="n"/>
      <c r="V704" s="31" t="n"/>
      <c r="W704" s="31" t="n"/>
      <c r="X704" s="31" t="n"/>
      <c r="Y704" s="31" t="n"/>
    </row>
    <row r="705" ht="14.25" customHeight="1">
      <c r="A705" s="31" t="n"/>
      <c r="P705" s="31" t="n"/>
      <c r="Q705" s="31" t="n"/>
      <c r="R705" s="31" t="n"/>
      <c r="S705" s="31" t="n"/>
      <c r="T705" s="31" t="n"/>
      <c r="U705" s="31" t="n"/>
      <c r="V705" s="31" t="n"/>
      <c r="W705" s="31" t="n"/>
      <c r="X705" s="31" t="n"/>
      <c r="Y705" s="31" t="n"/>
    </row>
    <row r="706" ht="14.25" customHeight="1">
      <c r="A706" s="31" t="n"/>
      <c r="P706" s="31" t="n"/>
      <c r="Q706" s="31" t="n"/>
      <c r="R706" s="31" t="n"/>
      <c r="S706" s="31" t="n"/>
      <c r="T706" s="31" t="n"/>
      <c r="U706" s="31" t="n"/>
      <c r="V706" s="31" t="n"/>
      <c r="W706" s="31" t="n"/>
      <c r="X706" s="31" t="n"/>
      <c r="Y706" s="31" t="n"/>
    </row>
    <row r="707" ht="14.25" customHeight="1">
      <c r="A707" s="31" t="n"/>
      <c r="P707" s="31" t="n"/>
      <c r="Q707" s="31" t="n"/>
      <c r="R707" s="31" t="n"/>
      <c r="S707" s="31" t="n"/>
      <c r="T707" s="31" t="n"/>
      <c r="U707" s="31" t="n"/>
      <c r="V707" s="31" t="n"/>
      <c r="W707" s="31" t="n"/>
      <c r="X707" s="31" t="n"/>
      <c r="Y707" s="31" t="n"/>
    </row>
    <row r="708" ht="14.25" customHeight="1">
      <c r="A708" s="31" t="n"/>
      <c r="P708" s="31" t="n"/>
      <c r="Q708" s="31" t="n"/>
      <c r="R708" s="31" t="n"/>
      <c r="S708" s="31" t="n"/>
      <c r="T708" s="31" t="n"/>
      <c r="U708" s="31" t="n"/>
      <c r="V708" s="31" t="n"/>
      <c r="W708" s="31" t="n"/>
      <c r="X708" s="31" t="n"/>
      <c r="Y708" s="31" t="n"/>
    </row>
    <row r="709" ht="14.25" customHeight="1">
      <c r="A709" s="31" t="n"/>
      <c r="P709" s="31" t="n"/>
      <c r="Q709" s="31" t="n"/>
      <c r="R709" s="31" t="n"/>
      <c r="S709" s="31" t="n"/>
      <c r="T709" s="31" t="n"/>
      <c r="U709" s="31" t="n"/>
      <c r="V709" s="31" t="n"/>
      <c r="W709" s="31" t="n"/>
      <c r="X709" s="31" t="n"/>
      <c r="Y709" s="31" t="n"/>
    </row>
    <row r="710" ht="14.25" customHeight="1">
      <c r="A710" s="31" t="n"/>
      <c r="P710" s="31" t="n"/>
      <c r="Q710" s="31" t="n"/>
      <c r="R710" s="31" t="n"/>
      <c r="S710" s="31" t="n"/>
      <c r="T710" s="31" t="n"/>
      <c r="U710" s="31" t="n"/>
      <c r="V710" s="31" t="n"/>
      <c r="W710" s="31" t="n"/>
      <c r="X710" s="31" t="n"/>
      <c r="Y710" s="31" t="n"/>
    </row>
    <row r="711" ht="14.25" customHeight="1">
      <c r="A711" s="31" t="n"/>
      <c r="P711" s="31" t="n"/>
      <c r="Q711" s="31" t="n"/>
      <c r="R711" s="31" t="n"/>
      <c r="S711" s="31" t="n"/>
      <c r="T711" s="31" t="n"/>
      <c r="U711" s="31" t="n"/>
      <c r="V711" s="31" t="n"/>
      <c r="W711" s="31" t="n"/>
      <c r="X711" s="31" t="n"/>
      <c r="Y711" s="31" t="n"/>
    </row>
    <row r="712" ht="14.25" customHeight="1">
      <c r="A712" s="31" t="n"/>
      <c r="P712" s="31" t="n"/>
      <c r="Q712" s="31" t="n"/>
      <c r="R712" s="31" t="n"/>
      <c r="S712" s="31" t="n"/>
      <c r="T712" s="31" t="n"/>
      <c r="U712" s="31" t="n"/>
      <c r="V712" s="31" t="n"/>
      <c r="W712" s="31" t="n"/>
      <c r="X712" s="31" t="n"/>
      <c r="Y712" s="31" t="n"/>
    </row>
    <row r="713" ht="14.25" customHeight="1">
      <c r="A713" s="31" t="n"/>
      <c r="P713" s="31" t="n"/>
      <c r="Q713" s="31" t="n"/>
      <c r="R713" s="31" t="n"/>
      <c r="S713" s="31" t="n"/>
      <c r="T713" s="31" t="n"/>
      <c r="U713" s="31" t="n"/>
      <c r="V713" s="31" t="n"/>
      <c r="W713" s="31" t="n"/>
      <c r="X713" s="31" t="n"/>
      <c r="Y713" s="31" t="n"/>
    </row>
    <row r="714" ht="14.25" customHeight="1">
      <c r="A714" s="31" t="n"/>
      <c r="P714" s="31" t="n"/>
      <c r="Q714" s="31" t="n"/>
      <c r="R714" s="31" t="n"/>
      <c r="S714" s="31" t="n"/>
      <c r="T714" s="31" t="n"/>
      <c r="U714" s="31" t="n"/>
      <c r="V714" s="31" t="n"/>
      <c r="W714" s="31" t="n"/>
      <c r="X714" s="31" t="n"/>
      <c r="Y714" s="31" t="n"/>
    </row>
    <row r="715" ht="14.25" customHeight="1">
      <c r="A715" s="31" t="n"/>
      <c r="P715" s="31" t="n"/>
      <c r="Q715" s="31" t="n"/>
      <c r="R715" s="31" t="n"/>
      <c r="S715" s="31" t="n"/>
      <c r="T715" s="31" t="n"/>
      <c r="U715" s="31" t="n"/>
      <c r="V715" s="31" t="n"/>
      <c r="W715" s="31" t="n"/>
      <c r="X715" s="31" t="n"/>
      <c r="Y715" s="31" t="n"/>
    </row>
    <row r="716" ht="14.25" customHeight="1">
      <c r="A716" s="31" t="n"/>
      <c r="P716" s="31" t="n"/>
      <c r="Q716" s="31" t="n"/>
      <c r="R716" s="31" t="n"/>
      <c r="S716" s="31" t="n"/>
      <c r="T716" s="31" t="n"/>
      <c r="U716" s="31" t="n"/>
      <c r="V716" s="31" t="n"/>
      <c r="W716" s="31" t="n"/>
      <c r="X716" s="31" t="n"/>
      <c r="Y716" s="31" t="n"/>
    </row>
    <row r="717" ht="14.25" customHeight="1">
      <c r="A717" s="31" t="n"/>
      <c r="P717" s="31" t="n"/>
      <c r="Q717" s="31" t="n"/>
      <c r="R717" s="31" t="n"/>
      <c r="S717" s="31" t="n"/>
      <c r="T717" s="31" t="n"/>
      <c r="U717" s="31" t="n"/>
      <c r="V717" s="31" t="n"/>
      <c r="W717" s="31" t="n"/>
      <c r="X717" s="31" t="n"/>
      <c r="Y717" s="31" t="n"/>
    </row>
    <row r="718" ht="14.25" customHeight="1">
      <c r="A718" s="31" t="n"/>
      <c r="P718" s="31" t="n"/>
      <c r="Q718" s="31" t="n"/>
      <c r="R718" s="31" t="n"/>
      <c r="S718" s="31" t="n"/>
      <c r="T718" s="31" t="n"/>
      <c r="U718" s="31" t="n"/>
      <c r="V718" s="31" t="n"/>
      <c r="W718" s="31" t="n"/>
      <c r="X718" s="31" t="n"/>
      <c r="Y718" s="31" t="n"/>
    </row>
    <row r="719" ht="14.25" customHeight="1">
      <c r="A719" s="31" t="n"/>
      <c r="P719" s="31" t="n"/>
      <c r="Q719" s="31" t="n"/>
      <c r="R719" s="31" t="n"/>
      <c r="S719" s="31" t="n"/>
      <c r="T719" s="31" t="n"/>
      <c r="U719" s="31" t="n"/>
      <c r="V719" s="31" t="n"/>
      <c r="W719" s="31" t="n"/>
      <c r="X719" s="31" t="n"/>
      <c r="Y719" s="31" t="n"/>
    </row>
    <row r="720" ht="14.25" customHeight="1">
      <c r="A720" s="31" t="n"/>
      <c r="P720" s="31" t="n"/>
      <c r="Q720" s="31" t="n"/>
      <c r="R720" s="31" t="n"/>
      <c r="S720" s="31" t="n"/>
      <c r="T720" s="31" t="n"/>
      <c r="U720" s="31" t="n"/>
      <c r="V720" s="31" t="n"/>
      <c r="W720" s="31" t="n"/>
      <c r="X720" s="31" t="n"/>
      <c r="Y720" s="31" t="n"/>
    </row>
    <row r="721" ht="14.25" customHeight="1">
      <c r="A721" s="31" t="n"/>
      <c r="P721" s="31" t="n"/>
      <c r="Q721" s="31" t="n"/>
      <c r="R721" s="31" t="n"/>
      <c r="S721" s="31" t="n"/>
      <c r="T721" s="31" t="n"/>
      <c r="U721" s="31" t="n"/>
      <c r="V721" s="31" t="n"/>
      <c r="W721" s="31" t="n"/>
      <c r="X721" s="31" t="n"/>
      <c r="Y721" s="31" t="n"/>
    </row>
    <row r="722" ht="14.25" customHeight="1">
      <c r="A722" s="31" t="n"/>
      <c r="P722" s="31" t="n"/>
      <c r="Q722" s="31" t="n"/>
      <c r="R722" s="31" t="n"/>
      <c r="S722" s="31" t="n"/>
      <c r="T722" s="31" t="n"/>
      <c r="U722" s="31" t="n"/>
      <c r="V722" s="31" t="n"/>
      <c r="W722" s="31" t="n"/>
      <c r="X722" s="31" t="n"/>
      <c r="Y722" s="31" t="n"/>
    </row>
    <row r="723" ht="14.25" customHeight="1">
      <c r="A723" s="31" t="n"/>
      <c r="P723" s="31" t="n"/>
      <c r="Q723" s="31" t="n"/>
      <c r="R723" s="31" t="n"/>
      <c r="S723" s="31" t="n"/>
      <c r="T723" s="31" t="n"/>
      <c r="U723" s="31" t="n"/>
      <c r="V723" s="31" t="n"/>
      <c r="W723" s="31" t="n"/>
      <c r="X723" s="31" t="n"/>
      <c r="Y723" s="31" t="n"/>
    </row>
    <row r="724" ht="14.25" customHeight="1">
      <c r="A724" s="31" t="n"/>
      <c r="P724" s="31" t="n"/>
      <c r="Q724" s="31" t="n"/>
      <c r="R724" s="31" t="n"/>
      <c r="S724" s="31" t="n"/>
      <c r="T724" s="31" t="n"/>
      <c r="U724" s="31" t="n"/>
      <c r="V724" s="31" t="n"/>
      <c r="W724" s="31" t="n"/>
      <c r="X724" s="31" t="n"/>
      <c r="Y724" s="31" t="n"/>
    </row>
    <row r="725" ht="14.25" customHeight="1">
      <c r="A725" s="31" t="n"/>
      <c r="P725" s="31" t="n"/>
      <c r="Q725" s="31" t="n"/>
      <c r="R725" s="31" t="n"/>
      <c r="S725" s="31" t="n"/>
      <c r="T725" s="31" t="n"/>
      <c r="U725" s="31" t="n"/>
      <c r="V725" s="31" t="n"/>
      <c r="W725" s="31" t="n"/>
      <c r="X725" s="31" t="n"/>
      <c r="Y725" s="31" t="n"/>
    </row>
    <row r="726" ht="14.25" customHeight="1">
      <c r="A726" s="31" t="n"/>
      <c r="P726" s="31" t="n"/>
      <c r="Q726" s="31" t="n"/>
      <c r="R726" s="31" t="n"/>
      <c r="S726" s="31" t="n"/>
      <c r="T726" s="31" t="n"/>
      <c r="U726" s="31" t="n"/>
      <c r="V726" s="31" t="n"/>
      <c r="W726" s="31" t="n"/>
      <c r="X726" s="31" t="n"/>
      <c r="Y726" s="31" t="n"/>
    </row>
    <row r="727" ht="14.25" customHeight="1">
      <c r="A727" s="31" t="n"/>
      <c r="P727" s="31" t="n"/>
      <c r="Q727" s="31" t="n"/>
      <c r="R727" s="31" t="n"/>
      <c r="S727" s="31" t="n"/>
      <c r="T727" s="31" t="n"/>
      <c r="U727" s="31" t="n"/>
      <c r="V727" s="31" t="n"/>
      <c r="W727" s="31" t="n"/>
      <c r="X727" s="31" t="n"/>
      <c r="Y727" s="31" t="n"/>
    </row>
    <row r="728" ht="14.25" customHeight="1">
      <c r="A728" s="31" t="n"/>
      <c r="P728" s="31" t="n"/>
      <c r="Q728" s="31" t="n"/>
      <c r="R728" s="31" t="n"/>
      <c r="S728" s="31" t="n"/>
      <c r="T728" s="31" t="n"/>
      <c r="U728" s="31" t="n"/>
      <c r="V728" s="31" t="n"/>
      <c r="W728" s="31" t="n"/>
      <c r="X728" s="31" t="n"/>
      <c r="Y728" s="31" t="n"/>
    </row>
    <row r="729" ht="14.25" customHeight="1">
      <c r="A729" s="31" t="n"/>
      <c r="P729" s="31" t="n"/>
      <c r="Q729" s="31" t="n"/>
      <c r="R729" s="31" t="n"/>
      <c r="S729" s="31" t="n"/>
      <c r="T729" s="31" t="n"/>
      <c r="U729" s="31" t="n"/>
      <c r="V729" s="31" t="n"/>
      <c r="W729" s="31" t="n"/>
      <c r="X729" s="31" t="n"/>
      <c r="Y729" s="31" t="n"/>
    </row>
    <row r="730" ht="14.25" customHeight="1">
      <c r="A730" s="31" t="n"/>
      <c r="P730" s="31" t="n"/>
      <c r="Q730" s="31" t="n"/>
      <c r="R730" s="31" t="n"/>
      <c r="S730" s="31" t="n"/>
      <c r="T730" s="31" t="n"/>
      <c r="U730" s="31" t="n"/>
      <c r="V730" s="31" t="n"/>
      <c r="W730" s="31" t="n"/>
      <c r="X730" s="31" t="n"/>
      <c r="Y730" s="31" t="n"/>
    </row>
    <row r="731" ht="14.25" customHeight="1">
      <c r="A731" s="31" t="n"/>
      <c r="P731" s="31" t="n"/>
      <c r="Q731" s="31" t="n"/>
      <c r="R731" s="31" t="n"/>
      <c r="S731" s="31" t="n"/>
      <c r="T731" s="31" t="n"/>
      <c r="U731" s="31" t="n"/>
      <c r="V731" s="31" t="n"/>
      <c r="W731" s="31" t="n"/>
      <c r="X731" s="31" t="n"/>
      <c r="Y731" s="31" t="n"/>
    </row>
    <row r="732" ht="14.25" customHeight="1">
      <c r="A732" s="31" t="n"/>
      <c r="P732" s="31" t="n"/>
      <c r="Q732" s="31" t="n"/>
      <c r="R732" s="31" t="n"/>
      <c r="S732" s="31" t="n"/>
      <c r="T732" s="31" t="n"/>
      <c r="U732" s="31" t="n"/>
      <c r="V732" s="31" t="n"/>
      <c r="W732" s="31" t="n"/>
      <c r="X732" s="31" t="n"/>
      <c r="Y732" s="31" t="n"/>
    </row>
    <row r="733" ht="14.25" customHeight="1">
      <c r="A733" s="31" t="n"/>
      <c r="P733" s="31" t="n"/>
      <c r="Q733" s="31" t="n"/>
      <c r="R733" s="31" t="n"/>
      <c r="S733" s="31" t="n"/>
      <c r="T733" s="31" t="n"/>
      <c r="U733" s="31" t="n"/>
      <c r="V733" s="31" t="n"/>
      <c r="W733" s="31" t="n"/>
      <c r="X733" s="31" t="n"/>
      <c r="Y733" s="31" t="n"/>
    </row>
    <row r="734" ht="14.25" customHeight="1">
      <c r="A734" s="31" t="n"/>
      <c r="P734" s="31" t="n"/>
      <c r="Q734" s="31" t="n"/>
      <c r="R734" s="31" t="n"/>
      <c r="S734" s="31" t="n"/>
      <c r="T734" s="31" t="n"/>
      <c r="U734" s="31" t="n"/>
      <c r="V734" s="31" t="n"/>
      <c r="W734" s="31" t="n"/>
      <c r="X734" s="31" t="n"/>
      <c r="Y734" s="31" t="n"/>
    </row>
    <row r="735" ht="14.25" customHeight="1">
      <c r="A735" s="31" t="n"/>
      <c r="P735" s="31" t="n"/>
      <c r="Q735" s="31" t="n"/>
      <c r="R735" s="31" t="n"/>
      <c r="S735" s="31" t="n"/>
      <c r="T735" s="31" t="n"/>
      <c r="U735" s="31" t="n"/>
      <c r="V735" s="31" t="n"/>
      <c r="W735" s="31" t="n"/>
      <c r="X735" s="31" t="n"/>
      <c r="Y735" s="31" t="n"/>
    </row>
    <row r="736" ht="14.25" customHeight="1">
      <c r="A736" s="31" t="n"/>
      <c r="P736" s="31" t="n"/>
      <c r="Q736" s="31" t="n"/>
      <c r="R736" s="31" t="n"/>
      <c r="S736" s="31" t="n"/>
      <c r="T736" s="31" t="n"/>
      <c r="U736" s="31" t="n"/>
      <c r="V736" s="31" t="n"/>
      <c r="W736" s="31" t="n"/>
      <c r="X736" s="31" t="n"/>
      <c r="Y736" s="31" t="n"/>
    </row>
    <row r="737" ht="14.25" customHeight="1">
      <c r="A737" s="31" t="n"/>
      <c r="P737" s="31" t="n"/>
      <c r="Q737" s="31" t="n"/>
      <c r="R737" s="31" t="n"/>
      <c r="S737" s="31" t="n"/>
      <c r="T737" s="31" t="n"/>
      <c r="U737" s="31" t="n"/>
      <c r="V737" s="31" t="n"/>
      <c r="W737" s="31" t="n"/>
      <c r="X737" s="31" t="n"/>
      <c r="Y737" s="31" t="n"/>
    </row>
    <row r="738" ht="14.25" customHeight="1">
      <c r="A738" s="31" t="n"/>
      <c r="P738" s="31" t="n"/>
      <c r="Q738" s="31" t="n"/>
      <c r="R738" s="31" t="n"/>
      <c r="S738" s="31" t="n"/>
      <c r="T738" s="31" t="n"/>
      <c r="U738" s="31" t="n"/>
      <c r="V738" s="31" t="n"/>
      <c r="W738" s="31" t="n"/>
      <c r="X738" s="31" t="n"/>
      <c r="Y738" s="31" t="n"/>
    </row>
    <row r="739" ht="14.25" customHeight="1">
      <c r="A739" s="31" t="n"/>
      <c r="P739" s="31" t="n"/>
      <c r="Q739" s="31" t="n"/>
      <c r="R739" s="31" t="n"/>
      <c r="S739" s="31" t="n"/>
      <c r="T739" s="31" t="n"/>
      <c r="U739" s="31" t="n"/>
      <c r="V739" s="31" t="n"/>
      <c r="W739" s="31" t="n"/>
      <c r="X739" s="31" t="n"/>
      <c r="Y739" s="31" t="n"/>
    </row>
    <row r="740" ht="14.25" customHeight="1">
      <c r="A740" s="31" t="n"/>
      <c r="P740" s="31" t="n"/>
      <c r="Q740" s="31" t="n"/>
      <c r="R740" s="31" t="n"/>
      <c r="S740" s="31" t="n"/>
      <c r="T740" s="31" t="n"/>
      <c r="U740" s="31" t="n"/>
      <c r="V740" s="31" t="n"/>
      <c r="W740" s="31" t="n"/>
      <c r="X740" s="31" t="n"/>
      <c r="Y740" s="31" t="n"/>
    </row>
    <row r="741" ht="14.25" customHeight="1">
      <c r="A741" s="31" t="n"/>
      <c r="P741" s="31" t="n"/>
      <c r="Q741" s="31" t="n"/>
      <c r="R741" s="31" t="n"/>
      <c r="S741" s="31" t="n"/>
      <c r="T741" s="31" t="n"/>
      <c r="U741" s="31" t="n"/>
      <c r="V741" s="31" t="n"/>
      <c r="W741" s="31" t="n"/>
      <c r="X741" s="31" t="n"/>
      <c r="Y741" s="31" t="n"/>
    </row>
    <row r="742" ht="14.25" customHeight="1">
      <c r="A742" s="31" t="n"/>
      <c r="P742" s="31" t="n"/>
      <c r="Q742" s="31" t="n"/>
      <c r="R742" s="31" t="n"/>
      <c r="S742" s="31" t="n"/>
      <c r="T742" s="31" t="n"/>
      <c r="U742" s="31" t="n"/>
      <c r="V742" s="31" t="n"/>
      <c r="W742" s="31" t="n"/>
      <c r="X742" s="31" t="n"/>
      <c r="Y742" s="31" t="n"/>
    </row>
    <row r="743" ht="14.25" customHeight="1">
      <c r="A743" s="31" t="n"/>
      <c r="P743" s="31" t="n"/>
      <c r="Q743" s="31" t="n"/>
      <c r="R743" s="31" t="n"/>
      <c r="S743" s="31" t="n"/>
      <c r="T743" s="31" t="n"/>
      <c r="U743" s="31" t="n"/>
      <c r="V743" s="31" t="n"/>
      <c r="W743" s="31" t="n"/>
      <c r="X743" s="31" t="n"/>
      <c r="Y743" s="31" t="n"/>
    </row>
    <row r="744" ht="14.25" customHeight="1">
      <c r="A744" s="31" t="n"/>
      <c r="P744" s="31" t="n"/>
      <c r="Q744" s="31" t="n"/>
      <c r="R744" s="31" t="n"/>
      <c r="S744" s="31" t="n"/>
      <c r="T744" s="31" t="n"/>
      <c r="U744" s="31" t="n"/>
      <c r="V744" s="31" t="n"/>
      <c r="W744" s="31" t="n"/>
      <c r="X744" s="31" t="n"/>
      <c r="Y744" s="31" t="n"/>
    </row>
    <row r="745" ht="14.25" customHeight="1">
      <c r="A745" s="31" t="n"/>
      <c r="P745" s="31" t="n"/>
      <c r="Q745" s="31" t="n"/>
      <c r="R745" s="31" t="n"/>
      <c r="S745" s="31" t="n"/>
      <c r="T745" s="31" t="n"/>
      <c r="U745" s="31" t="n"/>
      <c r="V745" s="31" t="n"/>
      <c r="W745" s="31" t="n"/>
      <c r="X745" s="31" t="n"/>
      <c r="Y745" s="31" t="n"/>
    </row>
    <row r="746" ht="14.25" customHeight="1">
      <c r="A746" s="31" t="n"/>
      <c r="P746" s="31" t="n"/>
      <c r="Q746" s="31" t="n"/>
      <c r="R746" s="31" t="n"/>
      <c r="S746" s="31" t="n"/>
      <c r="T746" s="31" t="n"/>
      <c r="U746" s="31" t="n"/>
      <c r="V746" s="31" t="n"/>
      <c r="W746" s="31" t="n"/>
      <c r="X746" s="31" t="n"/>
      <c r="Y746" s="31" t="n"/>
    </row>
    <row r="747" ht="14.25" customHeight="1">
      <c r="A747" s="31" t="n"/>
      <c r="P747" s="31" t="n"/>
      <c r="Q747" s="31" t="n"/>
      <c r="R747" s="31" t="n"/>
      <c r="S747" s="31" t="n"/>
      <c r="T747" s="31" t="n"/>
      <c r="U747" s="31" t="n"/>
      <c r="V747" s="31" t="n"/>
      <c r="W747" s="31" t="n"/>
      <c r="X747" s="31" t="n"/>
      <c r="Y747" s="31" t="n"/>
    </row>
    <row r="748" ht="14.25" customHeight="1">
      <c r="A748" s="31" t="n"/>
      <c r="P748" s="31" t="n"/>
      <c r="Q748" s="31" t="n"/>
      <c r="R748" s="31" t="n"/>
      <c r="S748" s="31" t="n"/>
      <c r="T748" s="31" t="n"/>
      <c r="U748" s="31" t="n"/>
      <c r="V748" s="31" t="n"/>
      <c r="W748" s="31" t="n"/>
      <c r="X748" s="31" t="n"/>
      <c r="Y748" s="31" t="n"/>
    </row>
    <row r="749" ht="14.25" customHeight="1">
      <c r="A749" s="31" t="n"/>
      <c r="P749" s="31" t="n"/>
      <c r="Q749" s="31" t="n"/>
      <c r="R749" s="31" t="n"/>
      <c r="S749" s="31" t="n"/>
      <c r="T749" s="31" t="n"/>
      <c r="U749" s="31" t="n"/>
      <c r="V749" s="31" t="n"/>
      <c r="W749" s="31" t="n"/>
      <c r="X749" s="31" t="n"/>
      <c r="Y749" s="31" t="n"/>
    </row>
    <row r="750" ht="14.25" customHeight="1">
      <c r="A750" s="31" t="n"/>
      <c r="P750" s="31" t="n"/>
      <c r="Q750" s="31" t="n"/>
      <c r="R750" s="31" t="n"/>
      <c r="S750" s="31" t="n"/>
      <c r="T750" s="31" t="n"/>
      <c r="U750" s="31" t="n"/>
      <c r="V750" s="31" t="n"/>
      <c r="W750" s="31" t="n"/>
      <c r="X750" s="31" t="n"/>
      <c r="Y750" s="31" t="n"/>
    </row>
    <row r="751" ht="14.25" customHeight="1">
      <c r="A751" s="31" t="n"/>
      <c r="P751" s="31" t="n"/>
      <c r="Q751" s="31" t="n"/>
      <c r="R751" s="31" t="n"/>
      <c r="S751" s="31" t="n"/>
      <c r="T751" s="31" t="n"/>
      <c r="U751" s="31" t="n"/>
      <c r="V751" s="31" t="n"/>
      <c r="W751" s="31" t="n"/>
      <c r="X751" s="31" t="n"/>
      <c r="Y751" s="31" t="n"/>
    </row>
    <row r="752" ht="14.25" customHeight="1">
      <c r="A752" s="31" t="n"/>
      <c r="P752" s="31" t="n"/>
      <c r="Q752" s="31" t="n"/>
      <c r="R752" s="31" t="n"/>
      <c r="S752" s="31" t="n"/>
      <c r="T752" s="31" t="n"/>
      <c r="U752" s="31" t="n"/>
      <c r="V752" s="31" t="n"/>
      <c r="W752" s="31" t="n"/>
      <c r="X752" s="31" t="n"/>
      <c r="Y752" s="31" t="n"/>
    </row>
    <row r="753" ht="14.25" customHeight="1">
      <c r="A753" s="31" t="n"/>
      <c r="P753" s="31" t="n"/>
      <c r="Q753" s="31" t="n"/>
      <c r="R753" s="31" t="n"/>
      <c r="S753" s="31" t="n"/>
      <c r="T753" s="31" t="n"/>
      <c r="U753" s="31" t="n"/>
      <c r="V753" s="31" t="n"/>
      <c r="W753" s="31" t="n"/>
      <c r="X753" s="31" t="n"/>
      <c r="Y753" s="31" t="n"/>
    </row>
    <row r="754" ht="14.25" customHeight="1">
      <c r="A754" s="31" t="n"/>
      <c r="P754" s="31" t="n"/>
      <c r="Q754" s="31" t="n"/>
      <c r="R754" s="31" t="n"/>
      <c r="S754" s="31" t="n"/>
      <c r="T754" s="31" t="n"/>
      <c r="U754" s="31" t="n"/>
      <c r="V754" s="31" t="n"/>
      <c r="W754" s="31" t="n"/>
      <c r="X754" s="31" t="n"/>
      <c r="Y754" s="31" t="n"/>
    </row>
    <row r="755" ht="14.25" customHeight="1">
      <c r="A755" s="31" t="n"/>
      <c r="P755" s="31" t="n"/>
      <c r="Q755" s="31" t="n"/>
      <c r="R755" s="31" t="n"/>
      <c r="S755" s="31" t="n"/>
      <c r="T755" s="31" t="n"/>
      <c r="U755" s="31" t="n"/>
      <c r="V755" s="31" t="n"/>
      <c r="W755" s="31" t="n"/>
      <c r="X755" s="31" t="n"/>
      <c r="Y755" s="31" t="n"/>
    </row>
    <row r="756" ht="14.25" customHeight="1">
      <c r="A756" s="31" t="n"/>
      <c r="P756" s="31" t="n"/>
      <c r="Q756" s="31" t="n"/>
      <c r="R756" s="31" t="n"/>
      <c r="S756" s="31" t="n"/>
      <c r="T756" s="31" t="n"/>
      <c r="U756" s="31" t="n"/>
      <c r="V756" s="31" t="n"/>
      <c r="W756" s="31" t="n"/>
      <c r="X756" s="31" t="n"/>
      <c r="Y756" s="31" t="n"/>
    </row>
    <row r="757" ht="14.25" customHeight="1">
      <c r="A757" s="31" t="n"/>
      <c r="P757" s="31" t="n"/>
      <c r="Q757" s="31" t="n"/>
      <c r="R757" s="31" t="n"/>
      <c r="S757" s="31" t="n"/>
      <c r="T757" s="31" t="n"/>
      <c r="U757" s="31" t="n"/>
      <c r="V757" s="31" t="n"/>
      <c r="W757" s="31" t="n"/>
      <c r="X757" s="31" t="n"/>
      <c r="Y757" s="31" t="n"/>
    </row>
    <row r="758" ht="14.25" customHeight="1">
      <c r="A758" s="31" t="n"/>
      <c r="P758" s="31" t="n"/>
      <c r="Q758" s="31" t="n"/>
      <c r="R758" s="31" t="n"/>
      <c r="S758" s="31" t="n"/>
      <c r="T758" s="31" t="n"/>
      <c r="U758" s="31" t="n"/>
      <c r="V758" s="31" t="n"/>
      <c r="W758" s="31" t="n"/>
      <c r="X758" s="31" t="n"/>
      <c r="Y758" s="31" t="n"/>
    </row>
    <row r="759" ht="14.25" customHeight="1">
      <c r="A759" s="31" t="n"/>
      <c r="P759" s="31" t="n"/>
      <c r="Q759" s="31" t="n"/>
      <c r="R759" s="31" t="n"/>
      <c r="S759" s="31" t="n"/>
      <c r="T759" s="31" t="n"/>
      <c r="U759" s="31" t="n"/>
      <c r="V759" s="31" t="n"/>
      <c r="W759" s="31" t="n"/>
      <c r="X759" s="31" t="n"/>
      <c r="Y759" s="31" t="n"/>
    </row>
    <row r="760" ht="14.25" customHeight="1">
      <c r="A760" s="31" t="n"/>
      <c r="P760" s="31" t="n"/>
      <c r="Q760" s="31" t="n"/>
      <c r="R760" s="31" t="n"/>
      <c r="S760" s="31" t="n"/>
      <c r="T760" s="31" t="n"/>
      <c r="U760" s="31" t="n"/>
      <c r="V760" s="31" t="n"/>
      <c r="W760" s="31" t="n"/>
      <c r="X760" s="31" t="n"/>
      <c r="Y760" s="31" t="n"/>
    </row>
    <row r="761" ht="14.25" customHeight="1">
      <c r="A761" s="31" t="n"/>
      <c r="P761" s="31" t="n"/>
      <c r="Q761" s="31" t="n"/>
      <c r="R761" s="31" t="n"/>
      <c r="S761" s="31" t="n"/>
      <c r="T761" s="31" t="n"/>
      <c r="U761" s="31" t="n"/>
      <c r="V761" s="31" t="n"/>
      <c r="W761" s="31" t="n"/>
      <c r="X761" s="31" t="n"/>
      <c r="Y761" s="31" t="n"/>
    </row>
    <row r="762" ht="14.25" customHeight="1">
      <c r="A762" s="31" t="n"/>
      <c r="P762" s="31" t="n"/>
      <c r="Q762" s="31" t="n"/>
      <c r="R762" s="31" t="n"/>
      <c r="S762" s="31" t="n"/>
      <c r="T762" s="31" t="n"/>
      <c r="U762" s="31" t="n"/>
      <c r="V762" s="31" t="n"/>
      <c r="W762" s="31" t="n"/>
      <c r="X762" s="31" t="n"/>
      <c r="Y762" s="31" t="n"/>
    </row>
    <row r="763" ht="14.25" customHeight="1">
      <c r="A763" s="31" t="n"/>
      <c r="P763" s="31" t="n"/>
      <c r="Q763" s="31" t="n"/>
      <c r="R763" s="31" t="n"/>
      <c r="S763" s="31" t="n"/>
      <c r="T763" s="31" t="n"/>
      <c r="U763" s="31" t="n"/>
      <c r="V763" s="31" t="n"/>
      <c r="W763" s="31" t="n"/>
      <c r="X763" s="31" t="n"/>
      <c r="Y763" s="31" t="n"/>
    </row>
    <row r="764" ht="14.25" customHeight="1">
      <c r="A764" s="31" t="n"/>
      <c r="P764" s="31" t="n"/>
      <c r="Q764" s="31" t="n"/>
      <c r="R764" s="31" t="n"/>
      <c r="S764" s="31" t="n"/>
      <c r="T764" s="31" t="n"/>
      <c r="U764" s="31" t="n"/>
      <c r="V764" s="31" t="n"/>
      <c r="W764" s="31" t="n"/>
      <c r="X764" s="31" t="n"/>
      <c r="Y764" s="31" t="n"/>
    </row>
    <row r="765" ht="14.25" customHeight="1">
      <c r="A765" s="31" t="n"/>
      <c r="P765" s="31" t="n"/>
      <c r="Q765" s="31" t="n"/>
      <c r="R765" s="31" t="n"/>
      <c r="S765" s="31" t="n"/>
      <c r="T765" s="31" t="n"/>
      <c r="U765" s="31" t="n"/>
      <c r="V765" s="31" t="n"/>
      <c r="W765" s="31" t="n"/>
      <c r="X765" s="31" t="n"/>
      <c r="Y765" s="31" t="n"/>
    </row>
    <row r="766" ht="14.25" customHeight="1">
      <c r="A766" s="31" t="n"/>
      <c r="P766" s="31" t="n"/>
      <c r="Q766" s="31" t="n"/>
      <c r="R766" s="31" t="n"/>
      <c r="S766" s="31" t="n"/>
      <c r="T766" s="31" t="n"/>
      <c r="U766" s="31" t="n"/>
      <c r="V766" s="31" t="n"/>
      <c r="W766" s="31" t="n"/>
      <c r="X766" s="31" t="n"/>
      <c r="Y766" s="31" t="n"/>
    </row>
    <row r="767" ht="14.25" customHeight="1">
      <c r="A767" s="31" t="n"/>
      <c r="P767" s="31" t="n"/>
      <c r="Q767" s="31" t="n"/>
      <c r="R767" s="31" t="n"/>
      <c r="S767" s="31" t="n"/>
      <c r="T767" s="31" t="n"/>
      <c r="U767" s="31" t="n"/>
      <c r="V767" s="31" t="n"/>
      <c r="W767" s="31" t="n"/>
      <c r="X767" s="31" t="n"/>
      <c r="Y767" s="31" t="n"/>
    </row>
    <row r="768" ht="14.25" customHeight="1">
      <c r="A768" s="31" t="n"/>
      <c r="P768" s="31" t="n"/>
      <c r="Q768" s="31" t="n"/>
      <c r="R768" s="31" t="n"/>
      <c r="S768" s="31" t="n"/>
      <c r="T768" s="31" t="n"/>
      <c r="U768" s="31" t="n"/>
      <c r="V768" s="31" t="n"/>
      <c r="W768" s="31" t="n"/>
      <c r="X768" s="31" t="n"/>
      <c r="Y768" s="31" t="n"/>
    </row>
    <row r="769" ht="14.25" customHeight="1">
      <c r="A769" s="31" t="n"/>
      <c r="P769" s="31" t="n"/>
      <c r="Q769" s="31" t="n"/>
      <c r="R769" s="31" t="n"/>
      <c r="S769" s="31" t="n"/>
      <c r="T769" s="31" t="n"/>
      <c r="U769" s="31" t="n"/>
      <c r="V769" s="31" t="n"/>
      <c r="W769" s="31" t="n"/>
      <c r="X769" s="31" t="n"/>
      <c r="Y769" s="31" t="n"/>
    </row>
    <row r="770" ht="14.25" customHeight="1">
      <c r="A770" s="31" t="n"/>
      <c r="P770" s="31" t="n"/>
      <c r="Q770" s="31" t="n"/>
      <c r="R770" s="31" t="n"/>
      <c r="S770" s="31" t="n"/>
      <c r="T770" s="31" t="n"/>
      <c r="U770" s="31" t="n"/>
      <c r="V770" s="31" t="n"/>
      <c r="W770" s="31" t="n"/>
      <c r="X770" s="31" t="n"/>
      <c r="Y770" s="31" t="n"/>
    </row>
    <row r="771" ht="14.25" customHeight="1">
      <c r="A771" s="31" t="n"/>
      <c r="P771" s="31" t="n"/>
      <c r="Q771" s="31" t="n"/>
      <c r="R771" s="31" t="n"/>
      <c r="S771" s="31" t="n"/>
      <c r="T771" s="31" t="n"/>
      <c r="U771" s="31" t="n"/>
      <c r="V771" s="31" t="n"/>
      <c r="W771" s="31" t="n"/>
      <c r="X771" s="31" t="n"/>
      <c r="Y771" s="31" t="n"/>
    </row>
    <row r="772" ht="14.25" customHeight="1">
      <c r="A772" s="31" t="n"/>
      <c r="P772" s="31" t="n"/>
      <c r="Q772" s="31" t="n"/>
      <c r="R772" s="31" t="n"/>
      <c r="S772" s="31" t="n"/>
      <c r="T772" s="31" t="n"/>
      <c r="U772" s="31" t="n"/>
      <c r="V772" s="31" t="n"/>
      <c r="W772" s="31" t="n"/>
      <c r="X772" s="31" t="n"/>
      <c r="Y772" s="31" t="n"/>
    </row>
    <row r="773" ht="14.25" customHeight="1">
      <c r="A773" s="31" t="n"/>
      <c r="P773" s="31" t="n"/>
      <c r="Q773" s="31" t="n"/>
      <c r="R773" s="31" t="n"/>
      <c r="S773" s="31" t="n"/>
      <c r="T773" s="31" t="n"/>
      <c r="U773" s="31" t="n"/>
      <c r="V773" s="31" t="n"/>
      <c r="W773" s="31" t="n"/>
      <c r="X773" s="31" t="n"/>
      <c r="Y773" s="31" t="n"/>
    </row>
    <row r="774" ht="14.25" customHeight="1">
      <c r="A774" s="31" t="n"/>
      <c r="P774" s="31" t="n"/>
      <c r="Q774" s="31" t="n"/>
      <c r="R774" s="31" t="n"/>
      <c r="S774" s="31" t="n"/>
      <c r="T774" s="31" t="n"/>
      <c r="U774" s="31" t="n"/>
      <c r="V774" s="31" t="n"/>
      <c r="W774" s="31" t="n"/>
      <c r="X774" s="31" t="n"/>
      <c r="Y774" s="31" t="n"/>
    </row>
    <row r="775" ht="14.25" customHeight="1">
      <c r="A775" s="31" t="n"/>
      <c r="P775" s="31" t="n"/>
      <c r="Q775" s="31" t="n"/>
      <c r="R775" s="31" t="n"/>
      <c r="S775" s="31" t="n"/>
      <c r="T775" s="31" t="n"/>
      <c r="U775" s="31" t="n"/>
      <c r="V775" s="31" t="n"/>
      <c r="W775" s="31" t="n"/>
      <c r="X775" s="31" t="n"/>
      <c r="Y775" s="31" t="n"/>
    </row>
    <row r="776" ht="14.25" customHeight="1">
      <c r="A776" s="31" t="n"/>
      <c r="P776" s="31" t="n"/>
      <c r="Q776" s="31" t="n"/>
      <c r="R776" s="31" t="n"/>
      <c r="S776" s="31" t="n"/>
      <c r="T776" s="31" t="n"/>
      <c r="U776" s="31" t="n"/>
      <c r="V776" s="31" t="n"/>
      <c r="W776" s="31" t="n"/>
      <c r="X776" s="31" t="n"/>
      <c r="Y776" s="31" t="n"/>
    </row>
    <row r="777" ht="14.25" customHeight="1">
      <c r="A777" s="31" t="n"/>
      <c r="P777" s="31" t="n"/>
      <c r="Q777" s="31" t="n"/>
      <c r="R777" s="31" t="n"/>
      <c r="S777" s="31" t="n"/>
      <c r="T777" s="31" t="n"/>
      <c r="U777" s="31" t="n"/>
      <c r="V777" s="31" t="n"/>
      <c r="W777" s="31" t="n"/>
      <c r="X777" s="31" t="n"/>
      <c r="Y777" s="31" t="n"/>
    </row>
    <row r="778" ht="14.25" customHeight="1">
      <c r="A778" s="31" t="n"/>
      <c r="P778" s="31" t="n"/>
      <c r="Q778" s="31" t="n"/>
      <c r="R778" s="31" t="n"/>
      <c r="S778" s="31" t="n"/>
      <c r="T778" s="31" t="n"/>
      <c r="U778" s="31" t="n"/>
      <c r="V778" s="31" t="n"/>
      <c r="W778" s="31" t="n"/>
      <c r="X778" s="31" t="n"/>
      <c r="Y778" s="31" t="n"/>
    </row>
    <row r="779" ht="14.25" customHeight="1">
      <c r="A779" s="31" t="n"/>
      <c r="P779" s="31" t="n"/>
      <c r="Q779" s="31" t="n"/>
      <c r="R779" s="31" t="n"/>
      <c r="S779" s="31" t="n"/>
      <c r="T779" s="31" t="n"/>
      <c r="U779" s="31" t="n"/>
      <c r="V779" s="31" t="n"/>
      <c r="W779" s="31" t="n"/>
      <c r="X779" s="31" t="n"/>
      <c r="Y779" s="31" t="n"/>
    </row>
    <row r="780" ht="14.25" customHeight="1">
      <c r="A780" s="31" t="n"/>
      <c r="P780" s="31" t="n"/>
      <c r="Q780" s="31" t="n"/>
      <c r="R780" s="31" t="n"/>
      <c r="S780" s="31" t="n"/>
      <c r="T780" s="31" t="n"/>
      <c r="U780" s="31" t="n"/>
      <c r="V780" s="31" t="n"/>
      <c r="W780" s="31" t="n"/>
      <c r="X780" s="31" t="n"/>
      <c r="Y780" s="31" t="n"/>
    </row>
    <row r="781" ht="14.25" customHeight="1">
      <c r="A781" s="31" t="n"/>
      <c r="P781" s="31" t="n"/>
      <c r="Q781" s="31" t="n"/>
      <c r="R781" s="31" t="n"/>
      <c r="S781" s="31" t="n"/>
      <c r="T781" s="31" t="n"/>
      <c r="U781" s="31" t="n"/>
      <c r="V781" s="31" t="n"/>
      <c r="W781" s="31" t="n"/>
      <c r="X781" s="31" t="n"/>
      <c r="Y781" s="31" t="n"/>
    </row>
    <row r="782" ht="14.25" customHeight="1">
      <c r="A782" s="31" t="n"/>
      <c r="P782" s="31" t="n"/>
      <c r="Q782" s="31" t="n"/>
      <c r="R782" s="31" t="n"/>
      <c r="S782" s="31" t="n"/>
      <c r="T782" s="31" t="n"/>
      <c r="U782" s="31" t="n"/>
      <c r="V782" s="31" t="n"/>
      <c r="W782" s="31" t="n"/>
      <c r="X782" s="31" t="n"/>
      <c r="Y782" s="31" t="n"/>
    </row>
    <row r="783" ht="14.25" customHeight="1">
      <c r="A783" s="31" t="n"/>
      <c r="P783" s="31" t="n"/>
      <c r="Q783" s="31" t="n"/>
      <c r="R783" s="31" t="n"/>
      <c r="S783" s="31" t="n"/>
      <c r="T783" s="31" t="n"/>
      <c r="U783" s="31" t="n"/>
      <c r="V783" s="31" t="n"/>
      <c r="W783" s="31" t="n"/>
      <c r="X783" s="31" t="n"/>
      <c r="Y783" s="31" t="n"/>
    </row>
    <row r="784" ht="14.25" customHeight="1">
      <c r="A784" s="31" t="n"/>
      <c r="P784" s="31" t="n"/>
      <c r="Q784" s="31" t="n"/>
      <c r="R784" s="31" t="n"/>
      <c r="S784" s="31" t="n"/>
      <c r="T784" s="31" t="n"/>
      <c r="U784" s="31" t="n"/>
      <c r="V784" s="31" t="n"/>
      <c r="W784" s="31" t="n"/>
      <c r="X784" s="31" t="n"/>
      <c r="Y784" s="31" t="n"/>
    </row>
    <row r="785" ht="14.25" customHeight="1">
      <c r="A785" s="31" t="n"/>
      <c r="P785" s="31" t="n"/>
      <c r="Q785" s="31" t="n"/>
      <c r="R785" s="31" t="n"/>
      <c r="S785" s="31" t="n"/>
      <c r="T785" s="31" t="n"/>
      <c r="U785" s="31" t="n"/>
      <c r="V785" s="31" t="n"/>
      <c r="W785" s="31" t="n"/>
      <c r="X785" s="31" t="n"/>
      <c r="Y785" s="31" t="n"/>
    </row>
    <row r="786" ht="14.25" customHeight="1">
      <c r="A786" s="31" t="n"/>
      <c r="P786" s="31" t="n"/>
      <c r="Q786" s="31" t="n"/>
      <c r="R786" s="31" t="n"/>
      <c r="S786" s="31" t="n"/>
      <c r="T786" s="31" t="n"/>
      <c r="U786" s="31" t="n"/>
      <c r="V786" s="31" t="n"/>
      <c r="W786" s="31" t="n"/>
      <c r="X786" s="31" t="n"/>
      <c r="Y786" s="31" t="n"/>
    </row>
    <row r="787" ht="14.25" customHeight="1">
      <c r="A787" s="31" t="n"/>
      <c r="P787" s="31" t="n"/>
      <c r="Q787" s="31" t="n"/>
      <c r="R787" s="31" t="n"/>
      <c r="S787" s="31" t="n"/>
      <c r="T787" s="31" t="n"/>
      <c r="U787" s="31" t="n"/>
      <c r="V787" s="31" t="n"/>
      <c r="W787" s="31" t="n"/>
      <c r="X787" s="31" t="n"/>
      <c r="Y787" s="31" t="n"/>
    </row>
    <row r="788" ht="14.25" customHeight="1">
      <c r="A788" s="31" t="n"/>
      <c r="P788" s="31" t="n"/>
      <c r="Q788" s="31" t="n"/>
      <c r="R788" s="31" t="n"/>
      <c r="S788" s="31" t="n"/>
      <c r="T788" s="31" t="n"/>
      <c r="U788" s="31" t="n"/>
      <c r="V788" s="31" t="n"/>
      <c r="W788" s="31" t="n"/>
      <c r="X788" s="31" t="n"/>
      <c r="Y788" s="31" t="n"/>
    </row>
    <row r="789" ht="14.25" customHeight="1">
      <c r="A789" s="31" t="n"/>
      <c r="P789" s="31" t="n"/>
      <c r="Q789" s="31" t="n"/>
      <c r="R789" s="31" t="n"/>
      <c r="S789" s="31" t="n"/>
      <c r="T789" s="31" t="n"/>
      <c r="U789" s="31" t="n"/>
      <c r="V789" s="31" t="n"/>
      <c r="W789" s="31" t="n"/>
      <c r="X789" s="31" t="n"/>
      <c r="Y789" s="31" t="n"/>
    </row>
    <row r="790" ht="14.25" customHeight="1">
      <c r="A790" s="31" t="n"/>
      <c r="P790" s="31" t="n"/>
      <c r="Q790" s="31" t="n"/>
      <c r="R790" s="31" t="n"/>
      <c r="S790" s="31" t="n"/>
      <c r="T790" s="31" t="n"/>
      <c r="U790" s="31" t="n"/>
      <c r="V790" s="31" t="n"/>
      <c r="W790" s="31" t="n"/>
      <c r="X790" s="31" t="n"/>
      <c r="Y790" s="31" t="n"/>
    </row>
    <row r="791" ht="14.25" customHeight="1">
      <c r="A791" s="31" t="n"/>
      <c r="P791" s="31" t="n"/>
      <c r="Q791" s="31" t="n"/>
      <c r="R791" s="31" t="n"/>
      <c r="S791" s="31" t="n"/>
      <c r="T791" s="31" t="n"/>
      <c r="U791" s="31" t="n"/>
      <c r="V791" s="31" t="n"/>
      <c r="W791" s="31" t="n"/>
      <c r="X791" s="31" t="n"/>
      <c r="Y791" s="31" t="n"/>
    </row>
    <row r="792" ht="14.25" customHeight="1">
      <c r="A792" s="31" t="n"/>
      <c r="P792" s="31" t="n"/>
      <c r="Q792" s="31" t="n"/>
      <c r="R792" s="31" t="n"/>
      <c r="S792" s="31" t="n"/>
      <c r="T792" s="31" t="n"/>
      <c r="U792" s="31" t="n"/>
      <c r="V792" s="31" t="n"/>
      <c r="W792" s="31" t="n"/>
      <c r="X792" s="31" t="n"/>
      <c r="Y792" s="31" t="n"/>
    </row>
    <row r="793" ht="14.25" customHeight="1">
      <c r="A793" s="31" t="n"/>
      <c r="P793" s="31" t="n"/>
      <c r="Q793" s="31" t="n"/>
      <c r="R793" s="31" t="n"/>
      <c r="S793" s="31" t="n"/>
      <c r="T793" s="31" t="n"/>
      <c r="U793" s="31" t="n"/>
      <c r="V793" s="31" t="n"/>
      <c r="W793" s="31" t="n"/>
      <c r="X793" s="31" t="n"/>
      <c r="Y793" s="31" t="n"/>
    </row>
    <row r="794" ht="14.25" customHeight="1">
      <c r="A794" s="31" t="n"/>
      <c r="P794" s="31" t="n"/>
      <c r="Q794" s="31" t="n"/>
      <c r="R794" s="31" t="n"/>
      <c r="S794" s="31" t="n"/>
      <c r="T794" s="31" t="n"/>
      <c r="U794" s="31" t="n"/>
      <c r="V794" s="31" t="n"/>
      <c r="W794" s="31" t="n"/>
      <c r="X794" s="31" t="n"/>
      <c r="Y794" s="31" t="n"/>
    </row>
    <row r="795" ht="14.25" customHeight="1">
      <c r="A795" s="31" t="n"/>
      <c r="P795" s="31" t="n"/>
      <c r="Q795" s="31" t="n"/>
      <c r="R795" s="31" t="n"/>
      <c r="S795" s="31" t="n"/>
      <c r="T795" s="31" t="n"/>
      <c r="U795" s="31" t="n"/>
      <c r="V795" s="31" t="n"/>
      <c r="W795" s="31" t="n"/>
      <c r="X795" s="31" t="n"/>
      <c r="Y795" s="31" t="n"/>
    </row>
    <row r="796" ht="14.25" customHeight="1">
      <c r="A796" s="31" t="n"/>
      <c r="P796" s="31" t="n"/>
      <c r="Q796" s="31" t="n"/>
      <c r="R796" s="31" t="n"/>
      <c r="S796" s="31" t="n"/>
      <c r="T796" s="31" t="n"/>
      <c r="U796" s="31" t="n"/>
      <c r="V796" s="31" t="n"/>
      <c r="W796" s="31" t="n"/>
      <c r="X796" s="31" t="n"/>
      <c r="Y796" s="31" t="n"/>
    </row>
    <row r="797" ht="14.25" customHeight="1">
      <c r="A797" s="31" t="n"/>
      <c r="P797" s="31" t="n"/>
      <c r="Q797" s="31" t="n"/>
      <c r="R797" s="31" t="n"/>
      <c r="S797" s="31" t="n"/>
      <c r="T797" s="31" t="n"/>
      <c r="U797" s="31" t="n"/>
      <c r="V797" s="31" t="n"/>
      <c r="W797" s="31" t="n"/>
      <c r="X797" s="31" t="n"/>
      <c r="Y797" s="31" t="n"/>
    </row>
    <row r="798" ht="14.25" customHeight="1">
      <c r="A798" s="31" t="n"/>
      <c r="P798" s="31" t="n"/>
      <c r="Q798" s="31" t="n"/>
      <c r="R798" s="31" t="n"/>
      <c r="S798" s="31" t="n"/>
      <c r="T798" s="31" t="n"/>
      <c r="U798" s="31" t="n"/>
      <c r="V798" s="31" t="n"/>
      <c r="W798" s="31" t="n"/>
      <c r="X798" s="31" t="n"/>
      <c r="Y798" s="31" t="n"/>
    </row>
    <row r="799" ht="14.25" customHeight="1">
      <c r="A799" s="31" t="n"/>
      <c r="P799" s="31" t="n"/>
      <c r="Q799" s="31" t="n"/>
      <c r="R799" s="31" t="n"/>
      <c r="S799" s="31" t="n"/>
      <c r="T799" s="31" t="n"/>
      <c r="U799" s="31" t="n"/>
      <c r="V799" s="31" t="n"/>
      <c r="W799" s="31" t="n"/>
      <c r="X799" s="31" t="n"/>
      <c r="Y799" s="31" t="n"/>
    </row>
    <row r="800" ht="14.25" customHeight="1">
      <c r="A800" s="31" t="n"/>
      <c r="P800" s="31" t="n"/>
      <c r="Q800" s="31" t="n"/>
      <c r="R800" s="31" t="n"/>
      <c r="S800" s="31" t="n"/>
      <c r="T800" s="31" t="n"/>
      <c r="U800" s="31" t="n"/>
      <c r="V800" s="31" t="n"/>
      <c r="W800" s="31" t="n"/>
      <c r="X800" s="31" t="n"/>
      <c r="Y800" s="31" t="n"/>
    </row>
    <row r="801" ht="14.25" customHeight="1">
      <c r="A801" s="31" t="n"/>
      <c r="P801" s="31" t="n"/>
      <c r="Q801" s="31" t="n"/>
      <c r="R801" s="31" t="n"/>
      <c r="S801" s="31" t="n"/>
      <c r="T801" s="31" t="n"/>
      <c r="U801" s="31" t="n"/>
      <c r="V801" s="31" t="n"/>
      <c r="W801" s="31" t="n"/>
      <c r="X801" s="31" t="n"/>
      <c r="Y801" s="31" t="n"/>
    </row>
    <row r="802" ht="14.25" customHeight="1">
      <c r="A802" s="31" t="n"/>
      <c r="P802" s="31" t="n"/>
      <c r="Q802" s="31" t="n"/>
      <c r="R802" s="31" t="n"/>
      <c r="S802" s="31" t="n"/>
      <c r="T802" s="31" t="n"/>
      <c r="U802" s="31" t="n"/>
      <c r="V802" s="31" t="n"/>
      <c r="W802" s="31" t="n"/>
      <c r="X802" s="31" t="n"/>
      <c r="Y802" s="31" t="n"/>
    </row>
    <row r="803" ht="14.25" customHeight="1">
      <c r="A803" s="31" t="n"/>
      <c r="P803" s="31" t="n"/>
      <c r="Q803" s="31" t="n"/>
      <c r="R803" s="31" t="n"/>
      <c r="S803" s="31" t="n"/>
      <c r="T803" s="31" t="n"/>
      <c r="U803" s="31" t="n"/>
      <c r="V803" s="31" t="n"/>
      <c r="W803" s="31" t="n"/>
      <c r="X803" s="31" t="n"/>
      <c r="Y803" s="31" t="n"/>
    </row>
    <row r="804" ht="14.25" customHeight="1">
      <c r="A804" s="31" t="n"/>
      <c r="P804" s="31" t="n"/>
      <c r="Q804" s="31" t="n"/>
      <c r="R804" s="31" t="n"/>
      <c r="S804" s="31" t="n"/>
      <c r="T804" s="31" t="n"/>
      <c r="U804" s="31" t="n"/>
      <c r="V804" s="31" t="n"/>
      <c r="W804" s="31" t="n"/>
      <c r="X804" s="31" t="n"/>
      <c r="Y804" s="31" t="n"/>
    </row>
    <row r="805" ht="14.25" customHeight="1">
      <c r="A805" s="31" t="n"/>
      <c r="P805" s="31" t="n"/>
      <c r="Q805" s="31" t="n"/>
      <c r="R805" s="31" t="n"/>
      <c r="S805" s="31" t="n"/>
      <c r="T805" s="31" t="n"/>
      <c r="U805" s="31" t="n"/>
      <c r="V805" s="31" t="n"/>
      <c r="W805" s="31" t="n"/>
      <c r="X805" s="31" t="n"/>
      <c r="Y805" s="31" t="n"/>
    </row>
    <row r="806" ht="14.25" customHeight="1">
      <c r="A806" s="31" t="n"/>
      <c r="P806" s="31" t="n"/>
      <c r="Q806" s="31" t="n"/>
      <c r="R806" s="31" t="n"/>
      <c r="S806" s="31" t="n"/>
      <c r="T806" s="31" t="n"/>
      <c r="U806" s="31" t="n"/>
      <c r="V806" s="31" t="n"/>
      <c r="W806" s="31" t="n"/>
      <c r="X806" s="31" t="n"/>
      <c r="Y806" s="31" t="n"/>
    </row>
    <row r="807" ht="14.25" customHeight="1">
      <c r="A807" s="31" t="n"/>
      <c r="P807" s="31" t="n"/>
      <c r="Q807" s="31" t="n"/>
      <c r="R807" s="31" t="n"/>
      <c r="S807" s="31" t="n"/>
      <c r="T807" s="31" t="n"/>
      <c r="U807" s="31" t="n"/>
      <c r="V807" s="31" t="n"/>
      <c r="W807" s="31" t="n"/>
      <c r="X807" s="31" t="n"/>
      <c r="Y807" s="31" t="n"/>
    </row>
    <row r="808" ht="14.25" customHeight="1">
      <c r="A808" s="31" t="n"/>
      <c r="P808" s="31" t="n"/>
      <c r="Q808" s="31" t="n"/>
      <c r="R808" s="31" t="n"/>
      <c r="S808" s="31" t="n"/>
      <c r="T808" s="31" t="n"/>
      <c r="U808" s="31" t="n"/>
      <c r="V808" s="31" t="n"/>
      <c r="W808" s="31" t="n"/>
      <c r="X808" s="31" t="n"/>
      <c r="Y808" s="31" t="n"/>
    </row>
    <row r="809" ht="14.25" customHeight="1">
      <c r="A809" s="31" t="n"/>
      <c r="P809" s="31" t="n"/>
      <c r="Q809" s="31" t="n"/>
      <c r="R809" s="31" t="n"/>
      <c r="S809" s="31" t="n"/>
      <c r="T809" s="31" t="n"/>
      <c r="U809" s="31" t="n"/>
      <c r="V809" s="31" t="n"/>
      <c r="W809" s="31" t="n"/>
      <c r="X809" s="31" t="n"/>
      <c r="Y809" s="31" t="n"/>
    </row>
    <row r="810" ht="14.25" customHeight="1">
      <c r="A810" s="31" t="n"/>
      <c r="P810" s="31" t="n"/>
      <c r="Q810" s="31" t="n"/>
      <c r="R810" s="31" t="n"/>
      <c r="S810" s="31" t="n"/>
      <c r="T810" s="31" t="n"/>
      <c r="U810" s="31" t="n"/>
      <c r="V810" s="31" t="n"/>
      <c r="W810" s="31" t="n"/>
      <c r="X810" s="31" t="n"/>
      <c r="Y810" s="31" t="n"/>
    </row>
    <row r="811" ht="14.25" customHeight="1">
      <c r="A811" s="31" t="n"/>
      <c r="P811" s="31" t="n"/>
      <c r="Q811" s="31" t="n"/>
      <c r="R811" s="31" t="n"/>
      <c r="S811" s="31" t="n"/>
      <c r="T811" s="31" t="n"/>
      <c r="U811" s="31" t="n"/>
      <c r="V811" s="31" t="n"/>
      <c r="W811" s="31" t="n"/>
      <c r="X811" s="31" t="n"/>
      <c r="Y811" s="31" t="n"/>
    </row>
    <row r="812" ht="14.25" customHeight="1">
      <c r="A812" s="31" t="n"/>
      <c r="P812" s="31" t="n"/>
      <c r="Q812" s="31" t="n"/>
      <c r="R812" s="31" t="n"/>
      <c r="S812" s="31" t="n"/>
      <c r="T812" s="31" t="n"/>
      <c r="U812" s="31" t="n"/>
      <c r="V812" s="31" t="n"/>
      <c r="W812" s="31" t="n"/>
      <c r="X812" s="31" t="n"/>
      <c r="Y812" s="31" t="n"/>
    </row>
    <row r="813" ht="14.25" customHeight="1">
      <c r="A813" s="31" t="n"/>
      <c r="P813" s="31" t="n"/>
      <c r="Q813" s="31" t="n"/>
      <c r="R813" s="31" t="n"/>
      <c r="S813" s="31" t="n"/>
      <c r="T813" s="31" t="n"/>
      <c r="U813" s="31" t="n"/>
      <c r="V813" s="31" t="n"/>
      <c r="W813" s="31" t="n"/>
      <c r="X813" s="31" t="n"/>
      <c r="Y813" s="31" t="n"/>
    </row>
    <row r="814" ht="14.25" customHeight="1">
      <c r="A814" s="31" t="n"/>
      <c r="P814" s="31" t="n"/>
      <c r="Q814" s="31" t="n"/>
      <c r="R814" s="31" t="n"/>
      <c r="S814" s="31" t="n"/>
      <c r="T814" s="31" t="n"/>
      <c r="U814" s="31" t="n"/>
      <c r="V814" s="31" t="n"/>
      <c r="W814" s="31" t="n"/>
      <c r="X814" s="31" t="n"/>
      <c r="Y814" s="31" t="n"/>
    </row>
    <row r="815" ht="14.25" customHeight="1">
      <c r="A815" s="31" t="n"/>
      <c r="P815" s="31" t="n"/>
      <c r="Q815" s="31" t="n"/>
      <c r="R815" s="31" t="n"/>
      <c r="S815" s="31" t="n"/>
      <c r="T815" s="31" t="n"/>
      <c r="U815" s="31" t="n"/>
      <c r="V815" s="31" t="n"/>
      <c r="W815" s="31" t="n"/>
      <c r="X815" s="31" t="n"/>
      <c r="Y815" s="31" t="n"/>
    </row>
    <row r="816" ht="14.25" customHeight="1">
      <c r="A816" s="31" t="n"/>
      <c r="P816" s="31" t="n"/>
      <c r="Q816" s="31" t="n"/>
      <c r="R816" s="31" t="n"/>
      <c r="S816" s="31" t="n"/>
      <c r="T816" s="31" t="n"/>
      <c r="U816" s="31" t="n"/>
      <c r="V816" s="31" t="n"/>
      <c r="W816" s="31" t="n"/>
      <c r="X816" s="31" t="n"/>
      <c r="Y816" s="31" t="n"/>
    </row>
    <row r="817" ht="14.25" customHeight="1">
      <c r="A817" s="31" t="n"/>
      <c r="P817" s="31" t="n"/>
      <c r="Q817" s="31" t="n"/>
      <c r="R817" s="31" t="n"/>
      <c r="S817" s="31" t="n"/>
      <c r="T817" s="31" t="n"/>
      <c r="U817" s="31" t="n"/>
      <c r="V817" s="31" t="n"/>
      <c r="W817" s="31" t="n"/>
      <c r="X817" s="31" t="n"/>
      <c r="Y817" s="31" t="n"/>
    </row>
    <row r="818" ht="14.25" customHeight="1">
      <c r="A818" s="31" t="n"/>
      <c r="P818" s="31" t="n"/>
      <c r="Q818" s="31" t="n"/>
      <c r="R818" s="31" t="n"/>
      <c r="S818" s="31" t="n"/>
      <c r="T818" s="31" t="n"/>
      <c r="U818" s="31" t="n"/>
      <c r="V818" s="31" t="n"/>
      <c r="W818" s="31" t="n"/>
      <c r="X818" s="31" t="n"/>
      <c r="Y818" s="31" t="n"/>
    </row>
    <row r="819" ht="14.25" customHeight="1">
      <c r="A819" s="31" t="n"/>
      <c r="P819" s="31" t="n"/>
      <c r="Q819" s="31" t="n"/>
      <c r="R819" s="31" t="n"/>
      <c r="S819" s="31" t="n"/>
      <c r="T819" s="31" t="n"/>
      <c r="U819" s="31" t="n"/>
      <c r="V819" s="31" t="n"/>
      <c r="W819" s="31" t="n"/>
      <c r="X819" s="31" t="n"/>
      <c r="Y819" s="31" t="n"/>
    </row>
    <row r="820" ht="14.25" customHeight="1">
      <c r="A820" s="31" t="n"/>
      <c r="P820" s="31" t="n"/>
      <c r="Q820" s="31" t="n"/>
      <c r="R820" s="31" t="n"/>
      <c r="S820" s="31" t="n"/>
      <c r="T820" s="31" t="n"/>
      <c r="U820" s="31" t="n"/>
      <c r="V820" s="31" t="n"/>
      <c r="W820" s="31" t="n"/>
      <c r="X820" s="31" t="n"/>
      <c r="Y820" s="31" t="n"/>
    </row>
    <row r="821" ht="14.25" customHeight="1">
      <c r="A821" s="31" t="n"/>
      <c r="P821" s="31" t="n"/>
      <c r="Q821" s="31" t="n"/>
      <c r="R821" s="31" t="n"/>
      <c r="S821" s="31" t="n"/>
      <c r="T821" s="31" t="n"/>
      <c r="U821" s="31" t="n"/>
      <c r="V821" s="31" t="n"/>
      <c r="W821" s="31" t="n"/>
      <c r="X821" s="31" t="n"/>
      <c r="Y821" s="31" t="n"/>
    </row>
    <row r="822" ht="14.25" customHeight="1">
      <c r="A822" s="31" t="n"/>
      <c r="P822" s="31" t="n"/>
      <c r="Q822" s="31" t="n"/>
      <c r="R822" s="31" t="n"/>
      <c r="S822" s="31" t="n"/>
      <c r="T822" s="31" t="n"/>
      <c r="U822" s="31" t="n"/>
      <c r="V822" s="31" t="n"/>
      <c r="W822" s="31" t="n"/>
      <c r="X822" s="31" t="n"/>
      <c r="Y822" s="31" t="n"/>
    </row>
    <row r="823" ht="14.25" customHeight="1">
      <c r="A823" s="31" t="n"/>
      <c r="P823" s="31" t="n"/>
      <c r="Q823" s="31" t="n"/>
      <c r="R823" s="31" t="n"/>
      <c r="S823" s="31" t="n"/>
      <c r="T823" s="31" t="n"/>
      <c r="U823" s="31" t="n"/>
      <c r="V823" s="31" t="n"/>
      <c r="W823" s="31" t="n"/>
      <c r="X823" s="31" t="n"/>
      <c r="Y823" s="31" t="n"/>
    </row>
    <row r="824" ht="14.25" customHeight="1">
      <c r="A824" s="31" t="n"/>
      <c r="P824" s="31" t="n"/>
      <c r="Q824" s="31" t="n"/>
      <c r="R824" s="31" t="n"/>
      <c r="S824" s="31" t="n"/>
      <c r="T824" s="31" t="n"/>
      <c r="U824" s="31" t="n"/>
      <c r="V824" s="31" t="n"/>
      <c r="W824" s="31" t="n"/>
      <c r="X824" s="31" t="n"/>
      <c r="Y824" s="31" t="n"/>
    </row>
    <row r="825" ht="14.25" customHeight="1">
      <c r="A825" s="31" t="n"/>
      <c r="P825" s="31" t="n"/>
      <c r="Q825" s="31" t="n"/>
      <c r="R825" s="31" t="n"/>
      <c r="S825" s="31" t="n"/>
      <c r="T825" s="31" t="n"/>
      <c r="U825" s="31" t="n"/>
      <c r="V825" s="31" t="n"/>
      <c r="W825" s="31" t="n"/>
      <c r="X825" s="31" t="n"/>
      <c r="Y825" s="31" t="n"/>
    </row>
    <row r="826" ht="14.25" customHeight="1">
      <c r="A826" s="31" t="n"/>
      <c r="P826" s="31" t="n"/>
      <c r="Q826" s="31" t="n"/>
      <c r="R826" s="31" t="n"/>
      <c r="S826" s="31" t="n"/>
      <c r="T826" s="31" t="n"/>
      <c r="U826" s="31" t="n"/>
      <c r="V826" s="31" t="n"/>
      <c r="W826" s="31" t="n"/>
      <c r="X826" s="31" t="n"/>
      <c r="Y826" s="31" t="n"/>
    </row>
    <row r="827" ht="14.25" customHeight="1">
      <c r="A827" s="31" t="n"/>
      <c r="P827" s="31" t="n"/>
      <c r="Q827" s="31" t="n"/>
      <c r="R827" s="31" t="n"/>
      <c r="S827" s="31" t="n"/>
      <c r="T827" s="31" t="n"/>
      <c r="U827" s="31" t="n"/>
      <c r="V827" s="31" t="n"/>
      <c r="W827" s="31" t="n"/>
      <c r="X827" s="31" t="n"/>
      <c r="Y827" s="31" t="n"/>
    </row>
    <row r="828" ht="14.25" customHeight="1">
      <c r="A828" s="31" t="n"/>
      <c r="P828" s="31" t="n"/>
      <c r="Q828" s="31" t="n"/>
      <c r="R828" s="31" t="n"/>
      <c r="S828" s="31" t="n"/>
      <c r="T828" s="31" t="n"/>
      <c r="U828" s="31" t="n"/>
      <c r="V828" s="31" t="n"/>
      <c r="W828" s="31" t="n"/>
      <c r="X828" s="31" t="n"/>
      <c r="Y828" s="31" t="n"/>
    </row>
    <row r="829" ht="14.25" customHeight="1">
      <c r="A829" s="31" t="n"/>
      <c r="P829" s="31" t="n"/>
      <c r="Q829" s="31" t="n"/>
      <c r="R829" s="31" t="n"/>
      <c r="S829" s="31" t="n"/>
      <c r="T829" s="31" t="n"/>
      <c r="U829" s="31" t="n"/>
      <c r="V829" s="31" t="n"/>
      <c r="W829" s="31" t="n"/>
      <c r="X829" s="31" t="n"/>
      <c r="Y829" s="31" t="n"/>
    </row>
    <row r="830" ht="14.25" customHeight="1">
      <c r="A830" s="31" t="n"/>
      <c r="P830" s="31" t="n"/>
      <c r="Q830" s="31" t="n"/>
      <c r="R830" s="31" t="n"/>
      <c r="S830" s="31" t="n"/>
      <c r="T830" s="31" t="n"/>
      <c r="U830" s="31" t="n"/>
      <c r="V830" s="31" t="n"/>
      <c r="W830" s="31" t="n"/>
      <c r="X830" s="31" t="n"/>
      <c r="Y830" s="31" t="n"/>
    </row>
    <row r="831" ht="14.25" customHeight="1">
      <c r="A831" s="31" t="n"/>
      <c r="P831" s="31" t="n"/>
      <c r="Q831" s="31" t="n"/>
      <c r="R831" s="31" t="n"/>
      <c r="S831" s="31" t="n"/>
      <c r="T831" s="31" t="n"/>
      <c r="U831" s="31" t="n"/>
      <c r="V831" s="31" t="n"/>
      <c r="W831" s="31" t="n"/>
      <c r="X831" s="31" t="n"/>
      <c r="Y831" s="31" t="n"/>
    </row>
    <row r="832" ht="14.25" customHeight="1">
      <c r="A832" s="31" t="n"/>
      <c r="P832" s="31" t="n"/>
      <c r="Q832" s="31" t="n"/>
      <c r="R832" s="31" t="n"/>
      <c r="S832" s="31" t="n"/>
      <c r="T832" s="31" t="n"/>
      <c r="U832" s="31" t="n"/>
      <c r="V832" s="31" t="n"/>
      <c r="W832" s="31" t="n"/>
      <c r="X832" s="31" t="n"/>
      <c r="Y832" s="31" t="n"/>
    </row>
    <row r="833" ht="14.25" customHeight="1">
      <c r="A833" s="31" t="n"/>
      <c r="P833" s="31" t="n"/>
      <c r="Q833" s="31" t="n"/>
      <c r="R833" s="31" t="n"/>
      <c r="S833" s="31" t="n"/>
      <c r="T833" s="31" t="n"/>
      <c r="U833" s="31" t="n"/>
      <c r="V833" s="31" t="n"/>
      <c r="W833" s="31" t="n"/>
      <c r="X833" s="31" t="n"/>
      <c r="Y833" s="31" t="n"/>
    </row>
    <row r="834" ht="14.25" customHeight="1">
      <c r="A834" s="31" t="n"/>
      <c r="P834" s="31" t="n"/>
      <c r="Q834" s="31" t="n"/>
      <c r="R834" s="31" t="n"/>
      <c r="S834" s="31" t="n"/>
      <c r="T834" s="31" t="n"/>
      <c r="U834" s="31" t="n"/>
      <c r="V834" s="31" t="n"/>
      <c r="W834" s="31" t="n"/>
      <c r="X834" s="31" t="n"/>
      <c r="Y834" s="31" t="n"/>
    </row>
    <row r="835" ht="14.25" customHeight="1">
      <c r="A835" s="31" t="n"/>
      <c r="P835" s="31" t="n"/>
      <c r="Q835" s="31" t="n"/>
      <c r="R835" s="31" t="n"/>
      <c r="S835" s="31" t="n"/>
      <c r="T835" s="31" t="n"/>
      <c r="U835" s="31" t="n"/>
      <c r="V835" s="31" t="n"/>
      <c r="W835" s="31" t="n"/>
      <c r="X835" s="31" t="n"/>
      <c r="Y835" s="31" t="n"/>
    </row>
    <row r="836" ht="14.25" customHeight="1">
      <c r="A836" s="31" t="n"/>
      <c r="P836" s="31" t="n"/>
      <c r="Q836" s="31" t="n"/>
      <c r="R836" s="31" t="n"/>
      <c r="S836" s="31" t="n"/>
      <c r="T836" s="31" t="n"/>
      <c r="U836" s="31" t="n"/>
      <c r="V836" s="31" t="n"/>
      <c r="W836" s="31" t="n"/>
      <c r="X836" s="31" t="n"/>
      <c r="Y836" s="31" t="n"/>
    </row>
    <row r="837" ht="14.25" customHeight="1">
      <c r="A837" s="31" t="n"/>
      <c r="P837" s="31" t="n"/>
      <c r="Q837" s="31" t="n"/>
      <c r="R837" s="31" t="n"/>
      <c r="S837" s="31" t="n"/>
      <c r="T837" s="31" t="n"/>
      <c r="U837" s="31" t="n"/>
      <c r="V837" s="31" t="n"/>
      <c r="W837" s="31" t="n"/>
      <c r="X837" s="31" t="n"/>
      <c r="Y837" s="31" t="n"/>
    </row>
    <row r="838" ht="14.25" customHeight="1">
      <c r="A838" s="31" t="n"/>
      <c r="P838" s="31" t="n"/>
      <c r="Q838" s="31" t="n"/>
      <c r="R838" s="31" t="n"/>
      <c r="S838" s="31" t="n"/>
      <c r="T838" s="31" t="n"/>
      <c r="U838" s="31" t="n"/>
      <c r="V838" s="31" t="n"/>
      <c r="W838" s="31" t="n"/>
      <c r="X838" s="31" t="n"/>
      <c r="Y838" s="31" t="n"/>
    </row>
    <row r="839" ht="14.25" customHeight="1">
      <c r="A839" s="31" t="n"/>
      <c r="P839" s="31" t="n"/>
      <c r="Q839" s="31" t="n"/>
      <c r="R839" s="31" t="n"/>
      <c r="S839" s="31" t="n"/>
      <c r="T839" s="31" t="n"/>
      <c r="U839" s="31" t="n"/>
      <c r="V839" s="31" t="n"/>
      <c r="W839" s="31" t="n"/>
      <c r="X839" s="31" t="n"/>
      <c r="Y839" s="31" t="n"/>
    </row>
    <row r="840" ht="14.25" customHeight="1">
      <c r="A840" s="31" t="n"/>
      <c r="P840" s="31" t="n"/>
      <c r="Q840" s="31" t="n"/>
      <c r="R840" s="31" t="n"/>
      <c r="S840" s="31" t="n"/>
      <c r="T840" s="31" t="n"/>
      <c r="U840" s="31" t="n"/>
      <c r="V840" s="31" t="n"/>
      <c r="W840" s="31" t="n"/>
      <c r="X840" s="31" t="n"/>
      <c r="Y840" s="31" t="n"/>
    </row>
    <row r="841" ht="14.25" customHeight="1">
      <c r="A841" s="31" t="n"/>
      <c r="P841" s="31" t="n"/>
      <c r="Q841" s="31" t="n"/>
      <c r="R841" s="31" t="n"/>
      <c r="S841" s="31" t="n"/>
      <c r="T841" s="31" t="n"/>
      <c r="U841" s="31" t="n"/>
      <c r="V841" s="31" t="n"/>
      <c r="W841" s="31" t="n"/>
      <c r="X841" s="31" t="n"/>
      <c r="Y841" s="31" t="n"/>
    </row>
    <row r="842" ht="14.25" customHeight="1">
      <c r="A842" s="31" t="n"/>
      <c r="P842" s="31" t="n"/>
      <c r="Q842" s="31" t="n"/>
      <c r="R842" s="31" t="n"/>
      <c r="S842" s="31" t="n"/>
      <c r="T842" s="31" t="n"/>
      <c r="U842" s="31" t="n"/>
      <c r="V842" s="31" t="n"/>
      <c r="W842" s="31" t="n"/>
      <c r="X842" s="31" t="n"/>
      <c r="Y842" s="31" t="n"/>
    </row>
    <row r="843" ht="14.25" customHeight="1">
      <c r="A843" s="31" t="n"/>
      <c r="P843" s="31" t="n"/>
      <c r="Q843" s="31" t="n"/>
      <c r="R843" s="31" t="n"/>
      <c r="S843" s="31" t="n"/>
      <c r="T843" s="31" t="n"/>
      <c r="U843" s="31" t="n"/>
      <c r="V843" s="31" t="n"/>
      <c r="W843" s="31" t="n"/>
      <c r="X843" s="31" t="n"/>
      <c r="Y843" s="31" t="n"/>
    </row>
    <row r="844" ht="14.25" customHeight="1">
      <c r="A844" s="31" t="n"/>
      <c r="P844" s="31" t="n"/>
      <c r="Q844" s="31" t="n"/>
      <c r="R844" s="31" t="n"/>
      <c r="S844" s="31" t="n"/>
      <c r="T844" s="31" t="n"/>
      <c r="U844" s="31" t="n"/>
      <c r="V844" s="31" t="n"/>
      <c r="W844" s="31" t="n"/>
      <c r="X844" s="31" t="n"/>
      <c r="Y844" s="31" t="n"/>
    </row>
    <row r="845" ht="14.25" customHeight="1">
      <c r="A845" s="31" t="n"/>
      <c r="P845" s="31" t="n"/>
      <c r="Q845" s="31" t="n"/>
      <c r="R845" s="31" t="n"/>
      <c r="S845" s="31" t="n"/>
      <c r="T845" s="31" t="n"/>
      <c r="U845" s="31" t="n"/>
      <c r="V845" s="31" t="n"/>
      <c r="W845" s="31" t="n"/>
      <c r="X845" s="31" t="n"/>
      <c r="Y845" s="31" t="n"/>
    </row>
    <row r="846" ht="14.25" customHeight="1">
      <c r="A846" s="31" t="n"/>
      <c r="P846" s="31" t="n"/>
      <c r="Q846" s="31" t="n"/>
      <c r="R846" s="31" t="n"/>
      <c r="S846" s="31" t="n"/>
      <c r="T846" s="31" t="n"/>
      <c r="U846" s="31" t="n"/>
      <c r="V846" s="31" t="n"/>
      <c r="W846" s="31" t="n"/>
      <c r="X846" s="31" t="n"/>
      <c r="Y846" s="31" t="n"/>
    </row>
    <row r="847" ht="14.25" customHeight="1">
      <c r="A847" s="31" t="n"/>
      <c r="P847" s="31" t="n"/>
      <c r="Q847" s="31" t="n"/>
      <c r="R847" s="31" t="n"/>
      <c r="S847" s="31" t="n"/>
      <c r="T847" s="31" t="n"/>
      <c r="U847" s="31" t="n"/>
      <c r="V847" s="31" t="n"/>
      <c r="W847" s="31" t="n"/>
      <c r="X847" s="31" t="n"/>
      <c r="Y847" s="31" t="n"/>
    </row>
    <row r="848" ht="14.25" customHeight="1">
      <c r="A848" s="31" t="n"/>
      <c r="P848" s="31" t="n"/>
      <c r="Q848" s="31" t="n"/>
      <c r="R848" s="31" t="n"/>
      <c r="S848" s="31" t="n"/>
      <c r="T848" s="31" t="n"/>
      <c r="U848" s="31" t="n"/>
      <c r="V848" s="31" t="n"/>
      <c r="W848" s="31" t="n"/>
      <c r="X848" s="31" t="n"/>
      <c r="Y848" s="31" t="n"/>
    </row>
    <row r="849" ht="14.25" customHeight="1">
      <c r="A849" s="31" t="n"/>
      <c r="P849" s="31" t="n"/>
      <c r="Q849" s="31" t="n"/>
      <c r="R849" s="31" t="n"/>
      <c r="S849" s="31" t="n"/>
      <c r="T849" s="31" t="n"/>
      <c r="U849" s="31" t="n"/>
      <c r="V849" s="31" t="n"/>
      <c r="W849" s="31" t="n"/>
      <c r="X849" s="31" t="n"/>
      <c r="Y849" s="31" t="n"/>
    </row>
    <row r="850" ht="14.25" customHeight="1">
      <c r="A850" s="31" t="n"/>
      <c r="P850" s="31" t="n"/>
      <c r="Q850" s="31" t="n"/>
      <c r="R850" s="31" t="n"/>
      <c r="S850" s="31" t="n"/>
      <c r="T850" s="31" t="n"/>
      <c r="U850" s="31" t="n"/>
      <c r="V850" s="31" t="n"/>
      <c r="W850" s="31" t="n"/>
      <c r="X850" s="31" t="n"/>
      <c r="Y850" s="31" t="n"/>
    </row>
    <row r="851" ht="14.25" customHeight="1">
      <c r="A851" s="31" t="n"/>
      <c r="P851" s="31" t="n"/>
      <c r="Q851" s="31" t="n"/>
      <c r="R851" s="31" t="n"/>
      <c r="S851" s="31" t="n"/>
      <c r="T851" s="31" t="n"/>
      <c r="U851" s="31" t="n"/>
      <c r="V851" s="31" t="n"/>
      <c r="W851" s="31" t="n"/>
      <c r="X851" s="31" t="n"/>
      <c r="Y851" s="31" t="n"/>
    </row>
    <row r="852" ht="14.25" customHeight="1">
      <c r="A852" s="31" t="n"/>
      <c r="P852" s="31" t="n"/>
      <c r="Q852" s="31" t="n"/>
      <c r="R852" s="31" t="n"/>
      <c r="S852" s="31" t="n"/>
      <c r="T852" s="31" t="n"/>
      <c r="U852" s="31" t="n"/>
      <c r="V852" s="31" t="n"/>
      <c r="W852" s="31" t="n"/>
      <c r="X852" s="31" t="n"/>
      <c r="Y852" s="31" t="n"/>
    </row>
    <row r="853" ht="14.25" customHeight="1">
      <c r="A853" s="31" t="n"/>
      <c r="P853" s="31" t="n"/>
      <c r="Q853" s="31" t="n"/>
      <c r="R853" s="31" t="n"/>
      <c r="S853" s="31" t="n"/>
      <c r="T853" s="31" t="n"/>
      <c r="U853" s="31" t="n"/>
      <c r="V853" s="31" t="n"/>
      <c r="W853" s="31" t="n"/>
      <c r="X853" s="31" t="n"/>
      <c r="Y853" s="31" t="n"/>
    </row>
    <row r="854" ht="14.25" customHeight="1">
      <c r="A854" s="31" t="n"/>
      <c r="P854" s="31" t="n"/>
      <c r="Q854" s="31" t="n"/>
      <c r="R854" s="31" t="n"/>
      <c r="S854" s="31" t="n"/>
      <c r="T854" s="31" t="n"/>
      <c r="U854" s="31" t="n"/>
      <c r="V854" s="31" t="n"/>
      <c r="W854" s="31" t="n"/>
      <c r="X854" s="31" t="n"/>
      <c r="Y854" s="31" t="n"/>
    </row>
    <row r="855" ht="14.25" customHeight="1">
      <c r="A855" s="31" t="n"/>
      <c r="P855" s="31" t="n"/>
      <c r="Q855" s="31" t="n"/>
      <c r="R855" s="31" t="n"/>
      <c r="S855" s="31" t="n"/>
      <c r="T855" s="31" t="n"/>
      <c r="U855" s="31" t="n"/>
      <c r="V855" s="31" t="n"/>
      <c r="W855" s="31" t="n"/>
      <c r="X855" s="31" t="n"/>
      <c r="Y855" s="31" t="n"/>
    </row>
    <row r="856" ht="14.25" customHeight="1">
      <c r="A856" s="31" t="n"/>
      <c r="P856" s="31" t="n"/>
      <c r="Q856" s="31" t="n"/>
      <c r="R856" s="31" t="n"/>
      <c r="S856" s="31" t="n"/>
      <c r="T856" s="31" t="n"/>
      <c r="U856" s="31" t="n"/>
      <c r="V856" s="31" t="n"/>
      <c r="W856" s="31" t="n"/>
      <c r="X856" s="31" t="n"/>
      <c r="Y856" s="31" t="n"/>
    </row>
    <row r="857" ht="14.25" customHeight="1">
      <c r="A857" s="31" t="n"/>
      <c r="P857" s="31" t="n"/>
      <c r="Q857" s="31" t="n"/>
      <c r="R857" s="31" t="n"/>
      <c r="S857" s="31" t="n"/>
      <c r="T857" s="31" t="n"/>
      <c r="U857" s="31" t="n"/>
      <c r="V857" s="31" t="n"/>
      <c r="W857" s="31" t="n"/>
      <c r="X857" s="31" t="n"/>
      <c r="Y857" s="31" t="n"/>
    </row>
    <row r="858" ht="14.25" customHeight="1">
      <c r="A858" s="31" t="n"/>
      <c r="P858" s="31" t="n"/>
      <c r="Q858" s="31" t="n"/>
      <c r="R858" s="31" t="n"/>
      <c r="S858" s="31" t="n"/>
      <c r="T858" s="31" t="n"/>
      <c r="U858" s="31" t="n"/>
      <c r="V858" s="31" t="n"/>
      <c r="W858" s="31" t="n"/>
      <c r="X858" s="31" t="n"/>
      <c r="Y858" s="31" t="n"/>
    </row>
    <row r="859" ht="14.25" customHeight="1">
      <c r="A859" s="31" t="n"/>
      <c r="P859" s="31" t="n"/>
      <c r="Q859" s="31" t="n"/>
      <c r="R859" s="31" t="n"/>
      <c r="S859" s="31" t="n"/>
      <c r="T859" s="31" t="n"/>
      <c r="U859" s="31" t="n"/>
      <c r="V859" s="31" t="n"/>
      <c r="W859" s="31" t="n"/>
      <c r="X859" s="31" t="n"/>
      <c r="Y859" s="31" t="n"/>
    </row>
    <row r="860" ht="14.25" customHeight="1">
      <c r="A860" s="31" t="n"/>
      <c r="P860" s="31" t="n"/>
      <c r="Q860" s="31" t="n"/>
      <c r="R860" s="31" t="n"/>
      <c r="S860" s="31" t="n"/>
      <c r="T860" s="31" t="n"/>
      <c r="U860" s="31" t="n"/>
      <c r="V860" s="31" t="n"/>
      <c r="W860" s="31" t="n"/>
      <c r="X860" s="31" t="n"/>
      <c r="Y860" s="31" t="n"/>
    </row>
    <row r="861" ht="14.25" customHeight="1">
      <c r="A861" s="31" t="n"/>
      <c r="P861" s="31" t="n"/>
      <c r="Q861" s="31" t="n"/>
      <c r="R861" s="31" t="n"/>
      <c r="S861" s="31" t="n"/>
      <c r="T861" s="31" t="n"/>
      <c r="U861" s="31" t="n"/>
      <c r="V861" s="31" t="n"/>
      <c r="W861" s="31" t="n"/>
      <c r="X861" s="31" t="n"/>
      <c r="Y861" s="31" t="n"/>
    </row>
    <row r="862" ht="14.25" customHeight="1">
      <c r="A862" s="31" t="n"/>
      <c r="P862" s="31" t="n"/>
      <c r="Q862" s="31" t="n"/>
      <c r="R862" s="31" t="n"/>
      <c r="S862" s="31" t="n"/>
      <c r="T862" s="31" t="n"/>
      <c r="U862" s="31" t="n"/>
      <c r="V862" s="31" t="n"/>
      <c r="W862" s="31" t="n"/>
      <c r="X862" s="31" t="n"/>
      <c r="Y862" s="31" t="n"/>
    </row>
    <row r="863" ht="14.25" customHeight="1">
      <c r="A863" s="31" t="n"/>
      <c r="P863" s="31" t="n"/>
      <c r="Q863" s="31" t="n"/>
      <c r="R863" s="31" t="n"/>
      <c r="S863" s="31" t="n"/>
      <c r="T863" s="31" t="n"/>
      <c r="U863" s="31" t="n"/>
      <c r="V863" s="31" t="n"/>
      <c r="W863" s="31" t="n"/>
      <c r="X863" s="31" t="n"/>
      <c r="Y863" s="31" t="n"/>
    </row>
    <row r="864" ht="14.25" customHeight="1">
      <c r="A864" s="31" t="n"/>
      <c r="P864" s="31" t="n"/>
      <c r="Q864" s="31" t="n"/>
      <c r="R864" s="31" t="n"/>
      <c r="S864" s="31" t="n"/>
      <c r="T864" s="31" t="n"/>
      <c r="U864" s="31" t="n"/>
      <c r="V864" s="31" t="n"/>
      <c r="W864" s="31" t="n"/>
      <c r="X864" s="31" t="n"/>
      <c r="Y864" s="31" t="n"/>
    </row>
    <row r="865" ht="14.25" customHeight="1">
      <c r="A865" s="31" t="n"/>
      <c r="P865" s="31" t="n"/>
      <c r="Q865" s="31" t="n"/>
      <c r="R865" s="31" t="n"/>
      <c r="S865" s="31" t="n"/>
      <c r="T865" s="31" t="n"/>
      <c r="U865" s="31" t="n"/>
      <c r="V865" s="31" t="n"/>
      <c r="W865" s="31" t="n"/>
      <c r="X865" s="31" t="n"/>
      <c r="Y865" s="31" t="n"/>
    </row>
    <row r="866" ht="14.25" customHeight="1">
      <c r="A866" s="31" t="n"/>
      <c r="P866" s="31" t="n"/>
      <c r="Q866" s="31" t="n"/>
      <c r="R866" s="31" t="n"/>
      <c r="S866" s="31" t="n"/>
      <c r="T866" s="31" t="n"/>
      <c r="U866" s="31" t="n"/>
      <c r="V866" s="31" t="n"/>
      <c r="W866" s="31" t="n"/>
      <c r="X866" s="31" t="n"/>
      <c r="Y866" s="31" t="n"/>
    </row>
    <row r="867" ht="14.25" customHeight="1">
      <c r="A867" s="31" t="n"/>
      <c r="P867" s="31" t="n"/>
      <c r="Q867" s="31" t="n"/>
      <c r="R867" s="31" t="n"/>
      <c r="S867" s="31" t="n"/>
      <c r="T867" s="31" t="n"/>
      <c r="U867" s="31" t="n"/>
      <c r="V867" s="31" t="n"/>
      <c r="W867" s="31" t="n"/>
      <c r="X867" s="31" t="n"/>
      <c r="Y867" s="31" t="n"/>
    </row>
    <row r="868" ht="14.25" customHeight="1">
      <c r="A868" s="31" t="n"/>
      <c r="P868" s="31" t="n"/>
      <c r="Q868" s="31" t="n"/>
      <c r="R868" s="31" t="n"/>
      <c r="S868" s="31" t="n"/>
      <c r="T868" s="31" t="n"/>
      <c r="U868" s="31" t="n"/>
      <c r="V868" s="31" t="n"/>
      <c r="W868" s="31" t="n"/>
      <c r="X868" s="31" t="n"/>
      <c r="Y868" s="31" t="n"/>
    </row>
    <row r="869" ht="14.25" customHeight="1">
      <c r="A869" s="31" t="n"/>
      <c r="P869" s="31" t="n"/>
      <c r="Q869" s="31" t="n"/>
      <c r="R869" s="31" t="n"/>
      <c r="S869" s="31" t="n"/>
      <c r="T869" s="31" t="n"/>
      <c r="U869" s="31" t="n"/>
      <c r="V869" s="31" t="n"/>
      <c r="W869" s="31" t="n"/>
      <c r="X869" s="31" t="n"/>
      <c r="Y869" s="31" t="n"/>
    </row>
    <row r="870" ht="14.25" customHeight="1">
      <c r="A870" s="31" t="n"/>
      <c r="P870" s="31" t="n"/>
      <c r="Q870" s="31" t="n"/>
      <c r="R870" s="31" t="n"/>
      <c r="S870" s="31" t="n"/>
      <c r="T870" s="31" t="n"/>
      <c r="U870" s="31" t="n"/>
      <c r="V870" s="31" t="n"/>
      <c r="W870" s="31" t="n"/>
      <c r="X870" s="31" t="n"/>
      <c r="Y870" s="31" t="n"/>
    </row>
    <row r="871" ht="14.25" customHeight="1">
      <c r="A871" s="31" t="n"/>
      <c r="P871" s="31" t="n"/>
      <c r="Q871" s="31" t="n"/>
      <c r="R871" s="31" t="n"/>
      <c r="S871" s="31" t="n"/>
      <c r="T871" s="31" t="n"/>
      <c r="U871" s="31" t="n"/>
      <c r="V871" s="31" t="n"/>
      <c r="W871" s="31" t="n"/>
      <c r="X871" s="31" t="n"/>
      <c r="Y871" s="31" t="n"/>
    </row>
    <row r="872" ht="14.25" customHeight="1">
      <c r="A872" s="31" t="n"/>
      <c r="P872" s="31" t="n"/>
      <c r="Q872" s="31" t="n"/>
      <c r="R872" s="31" t="n"/>
      <c r="S872" s="31" t="n"/>
      <c r="T872" s="31" t="n"/>
      <c r="U872" s="31" t="n"/>
      <c r="V872" s="31" t="n"/>
      <c r="W872" s="31" t="n"/>
      <c r="X872" s="31" t="n"/>
      <c r="Y872" s="31" t="n"/>
    </row>
    <row r="873" ht="14.25" customHeight="1">
      <c r="A873" s="31" t="n"/>
      <c r="P873" s="31" t="n"/>
      <c r="Q873" s="31" t="n"/>
      <c r="R873" s="31" t="n"/>
      <c r="S873" s="31" t="n"/>
      <c r="T873" s="31" t="n"/>
      <c r="U873" s="31" t="n"/>
      <c r="V873" s="31" t="n"/>
      <c r="W873" s="31" t="n"/>
      <c r="X873" s="31" t="n"/>
      <c r="Y873" s="31" t="n"/>
    </row>
    <row r="874" ht="14.25" customHeight="1">
      <c r="A874" s="31" t="n"/>
      <c r="P874" s="31" t="n"/>
      <c r="Q874" s="31" t="n"/>
      <c r="R874" s="31" t="n"/>
      <c r="S874" s="31" t="n"/>
      <c r="T874" s="31" t="n"/>
      <c r="U874" s="31" t="n"/>
      <c r="V874" s="31" t="n"/>
      <c r="W874" s="31" t="n"/>
      <c r="X874" s="31" t="n"/>
      <c r="Y874" s="31" t="n"/>
    </row>
    <row r="875" ht="14.25" customHeight="1">
      <c r="A875" s="31" t="n"/>
      <c r="P875" s="31" t="n"/>
      <c r="Q875" s="31" t="n"/>
      <c r="R875" s="31" t="n"/>
      <c r="S875" s="31" t="n"/>
      <c r="T875" s="31" t="n"/>
      <c r="U875" s="31" t="n"/>
      <c r="V875" s="31" t="n"/>
      <c r="W875" s="31" t="n"/>
      <c r="X875" s="31" t="n"/>
      <c r="Y875" s="31" t="n"/>
    </row>
    <row r="876" ht="14.25" customHeight="1">
      <c r="A876" s="31" t="n"/>
      <c r="P876" s="31" t="n"/>
      <c r="Q876" s="31" t="n"/>
      <c r="R876" s="31" t="n"/>
      <c r="S876" s="31" t="n"/>
      <c r="T876" s="31" t="n"/>
      <c r="U876" s="31" t="n"/>
      <c r="V876" s="31" t="n"/>
      <c r="W876" s="31" t="n"/>
      <c r="X876" s="31" t="n"/>
      <c r="Y876" s="31" t="n"/>
    </row>
    <row r="877" ht="14.25" customHeight="1">
      <c r="A877" s="31" t="n"/>
      <c r="P877" s="31" t="n"/>
      <c r="Q877" s="31" t="n"/>
      <c r="R877" s="31" t="n"/>
      <c r="S877" s="31" t="n"/>
      <c r="T877" s="31" t="n"/>
      <c r="U877" s="31" t="n"/>
      <c r="V877" s="31" t="n"/>
      <c r="W877" s="31" t="n"/>
      <c r="X877" s="31" t="n"/>
      <c r="Y877" s="31" t="n"/>
    </row>
    <row r="878" ht="14.25" customHeight="1">
      <c r="A878" s="31" t="n"/>
      <c r="P878" s="31" t="n"/>
      <c r="Q878" s="31" t="n"/>
      <c r="R878" s="31" t="n"/>
      <c r="S878" s="31" t="n"/>
      <c r="T878" s="31" t="n"/>
      <c r="U878" s="31" t="n"/>
      <c r="V878" s="31" t="n"/>
      <c r="W878" s="31" t="n"/>
      <c r="X878" s="31" t="n"/>
      <c r="Y878" s="31" t="n"/>
    </row>
    <row r="879" ht="14.25" customHeight="1">
      <c r="A879" s="31" t="n"/>
      <c r="P879" s="31" t="n"/>
      <c r="Q879" s="31" t="n"/>
      <c r="R879" s="31" t="n"/>
      <c r="S879" s="31" t="n"/>
      <c r="T879" s="31" t="n"/>
      <c r="U879" s="31" t="n"/>
      <c r="V879" s="31" t="n"/>
      <c r="W879" s="31" t="n"/>
      <c r="X879" s="31" t="n"/>
      <c r="Y879" s="31" t="n"/>
    </row>
    <row r="880" ht="14.25" customHeight="1">
      <c r="A880" s="31" t="n"/>
      <c r="P880" s="31" t="n"/>
      <c r="Q880" s="31" t="n"/>
      <c r="R880" s="31" t="n"/>
      <c r="S880" s="31" t="n"/>
      <c r="T880" s="31" t="n"/>
      <c r="U880" s="31" t="n"/>
      <c r="V880" s="31" t="n"/>
      <c r="W880" s="31" t="n"/>
      <c r="X880" s="31" t="n"/>
      <c r="Y880" s="31" t="n"/>
    </row>
    <row r="881" ht="14.25" customHeight="1">
      <c r="A881" s="31" t="n"/>
      <c r="P881" s="31" t="n"/>
      <c r="Q881" s="31" t="n"/>
      <c r="R881" s="31" t="n"/>
      <c r="S881" s="31" t="n"/>
      <c r="T881" s="31" t="n"/>
      <c r="U881" s="31" t="n"/>
      <c r="V881" s="31" t="n"/>
      <c r="W881" s="31" t="n"/>
      <c r="X881" s="31" t="n"/>
      <c r="Y881" s="31" t="n"/>
    </row>
    <row r="882" ht="14.25" customHeight="1">
      <c r="A882" s="31" t="n"/>
      <c r="P882" s="31" t="n"/>
      <c r="Q882" s="31" t="n"/>
      <c r="R882" s="31" t="n"/>
      <c r="S882" s="31" t="n"/>
      <c r="T882" s="31" t="n"/>
      <c r="U882" s="31" t="n"/>
      <c r="V882" s="31" t="n"/>
      <c r="W882" s="31" t="n"/>
      <c r="X882" s="31" t="n"/>
      <c r="Y882" s="31" t="n"/>
    </row>
    <row r="883" ht="14.25" customHeight="1">
      <c r="A883" s="31" t="n"/>
      <c r="P883" s="31" t="n"/>
      <c r="Q883" s="31" t="n"/>
      <c r="R883" s="31" t="n"/>
      <c r="S883" s="31" t="n"/>
      <c r="T883" s="31" t="n"/>
      <c r="U883" s="31" t="n"/>
      <c r="V883" s="31" t="n"/>
      <c r="W883" s="31" t="n"/>
      <c r="X883" s="31" t="n"/>
      <c r="Y883" s="31" t="n"/>
    </row>
    <row r="884" ht="14.25" customHeight="1">
      <c r="A884" s="31" t="n"/>
      <c r="P884" s="31" t="n"/>
      <c r="Q884" s="31" t="n"/>
      <c r="R884" s="31" t="n"/>
      <c r="S884" s="31" t="n"/>
      <c r="T884" s="31" t="n"/>
      <c r="U884" s="31" t="n"/>
      <c r="V884" s="31" t="n"/>
      <c r="W884" s="31" t="n"/>
      <c r="X884" s="31" t="n"/>
      <c r="Y884" s="31" t="n"/>
    </row>
    <row r="885" ht="14.25" customHeight="1">
      <c r="A885" s="31" t="n"/>
      <c r="P885" s="31" t="n"/>
      <c r="Q885" s="31" t="n"/>
      <c r="R885" s="31" t="n"/>
      <c r="S885" s="31" t="n"/>
      <c r="T885" s="31" t="n"/>
      <c r="U885" s="31" t="n"/>
      <c r="V885" s="31" t="n"/>
      <c r="W885" s="31" t="n"/>
      <c r="X885" s="31" t="n"/>
      <c r="Y885" s="31" t="n"/>
    </row>
    <row r="886" ht="14.25" customHeight="1">
      <c r="A886" s="31" t="n"/>
      <c r="P886" s="31" t="n"/>
      <c r="Q886" s="31" t="n"/>
      <c r="R886" s="31" t="n"/>
      <c r="S886" s="31" t="n"/>
      <c r="T886" s="31" t="n"/>
      <c r="U886" s="31" t="n"/>
      <c r="V886" s="31" t="n"/>
      <c r="W886" s="31" t="n"/>
      <c r="X886" s="31" t="n"/>
      <c r="Y886" s="31" t="n"/>
    </row>
    <row r="887" ht="14.25" customHeight="1">
      <c r="A887" s="31" t="n"/>
      <c r="P887" s="31" t="n"/>
      <c r="Q887" s="31" t="n"/>
      <c r="R887" s="31" t="n"/>
      <c r="S887" s="31" t="n"/>
      <c r="T887" s="31" t="n"/>
      <c r="U887" s="31" t="n"/>
      <c r="V887" s="31" t="n"/>
      <c r="W887" s="31" t="n"/>
      <c r="X887" s="31" t="n"/>
      <c r="Y887" s="31" t="n"/>
    </row>
    <row r="888" ht="14.25" customHeight="1">
      <c r="A888" s="31" t="n"/>
      <c r="P888" s="31" t="n"/>
      <c r="Q888" s="31" t="n"/>
      <c r="R888" s="31" t="n"/>
      <c r="S888" s="31" t="n"/>
      <c r="T888" s="31" t="n"/>
      <c r="U888" s="31" t="n"/>
      <c r="V888" s="31" t="n"/>
      <c r="W888" s="31" t="n"/>
      <c r="X888" s="31" t="n"/>
      <c r="Y888" s="31" t="n"/>
    </row>
    <row r="889" ht="14.25" customHeight="1">
      <c r="A889" s="31" t="n"/>
      <c r="P889" s="31" t="n"/>
      <c r="Q889" s="31" t="n"/>
      <c r="R889" s="31" t="n"/>
      <c r="S889" s="31" t="n"/>
      <c r="T889" s="31" t="n"/>
      <c r="U889" s="31" t="n"/>
      <c r="V889" s="31" t="n"/>
      <c r="W889" s="31" t="n"/>
      <c r="X889" s="31" t="n"/>
      <c r="Y889" s="31" t="n"/>
    </row>
    <row r="890" ht="14.25" customHeight="1">
      <c r="A890" s="31" t="n"/>
      <c r="P890" s="31" t="n"/>
      <c r="Q890" s="31" t="n"/>
      <c r="R890" s="31" t="n"/>
      <c r="S890" s="31" t="n"/>
      <c r="T890" s="31" t="n"/>
      <c r="U890" s="31" t="n"/>
      <c r="V890" s="31" t="n"/>
      <c r="W890" s="31" t="n"/>
      <c r="X890" s="31" t="n"/>
      <c r="Y890" s="31" t="n"/>
    </row>
    <row r="891" ht="14.25" customHeight="1">
      <c r="A891" s="31" t="n"/>
      <c r="P891" s="31" t="n"/>
      <c r="Q891" s="31" t="n"/>
      <c r="R891" s="31" t="n"/>
      <c r="S891" s="31" t="n"/>
      <c r="T891" s="31" t="n"/>
      <c r="U891" s="31" t="n"/>
      <c r="V891" s="31" t="n"/>
      <c r="W891" s="31" t="n"/>
      <c r="X891" s="31" t="n"/>
      <c r="Y891" s="31" t="n"/>
    </row>
    <row r="892" ht="14.25" customHeight="1">
      <c r="A892" s="31" t="n"/>
      <c r="P892" s="31" t="n"/>
      <c r="Q892" s="31" t="n"/>
      <c r="R892" s="31" t="n"/>
      <c r="S892" s="31" t="n"/>
      <c r="T892" s="31" t="n"/>
      <c r="U892" s="31" t="n"/>
      <c r="V892" s="31" t="n"/>
      <c r="W892" s="31" t="n"/>
      <c r="X892" s="31" t="n"/>
      <c r="Y892" s="31" t="n"/>
    </row>
    <row r="893" ht="14.25" customHeight="1">
      <c r="A893" s="31" t="n"/>
      <c r="P893" s="31" t="n"/>
      <c r="Q893" s="31" t="n"/>
      <c r="R893" s="31" t="n"/>
      <c r="S893" s="31" t="n"/>
      <c r="T893" s="31" t="n"/>
      <c r="U893" s="31" t="n"/>
      <c r="V893" s="31" t="n"/>
      <c r="W893" s="31" t="n"/>
      <c r="X893" s="31" t="n"/>
      <c r="Y893" s="31" t="n"/>
    </row>
    <row r="894" ht="14.25" customHeight="1">
      <c r="A894" s="31" t="n"/>
      <c r="P894" s="31" t="n"/>
      <c r="Q894" s="31" t="n"/>
      <c r="R894" s="31" t="n"/>
      <c r="S894" s="31" t="n"/>
      <c r="T894" s="31" t="n"/>
      <c r="U894" s="31" t="n"/>
      <c r="V894" s="31" t="n"/>
      <c r="W894" s="31" t="n"/>
      <c r="X894" s="31" t="n"/>
      <c r="Y894" s="31" t="n"/>
    </row>
    <row r="895" ht="14.25" customHeight="1">
      <c r="A895" s="31" t="n"/>
      <c r="P895" s="31" t="n"/>
      <c r="Q895" s="31" t="n"/>
      <c r="R895" s="31" t="n"/>
      <c r="S895" s="31" t="n"/>
      <c r="T895" s="31" t="n"/>
      <c r="U895" s="31" t="n"/>
      <c r="V895" s="31" t="n"/>
      <c r="W895" s="31" t="n"/>
      <c r="X895" s="31" t="n"/>
      <c r="Y895" s="31" t="n"/>
    </row>
    <row r="896" ht="14.25" customHeight="1">
      <c r="A896" s="31" t="n"/>
      <c r="P896" s="31" t="n"/>
      <c r="Q896" s="31" t="n"/>
      <c r="R896" s="31" t="n"/>
      <c r="S896" s="31" t="n"/>
      <c r="T896" s="31" t="n"/>
      <c r="U896" s="31" t="n"/>
      <c r="V896" s="31" t="n"/>
      <c r="W896" s="31" t="n"/>
      <c r="X896" s="31" t="n"/>
      <c r="Y896" s="31" t="n"/>
    </row>
    <row r="897" ht="14.25" customHeight="1">
      <c r="A897" s="31" t="n"/>
      <c r="P897" s="31" t="n"/>
      <c r="Q897" s="31" t="n"/>
      <c r="R897" s="31" t="n"/>
      <c r="S897" s="31" t="n"/>
      <c r="T897" s="31" t="n"/>
      <c r="U897" s="31" t="n"/>
      <c r="V897" s="31" t="n"/>
      <c r="W897" s="31" t="n"/>
      <c r="X897" s="31" t="n"/>
      <c r="Y897" s="31" t="n"/>
    </row>
    <row r="898" ht="14.25" customHeight="1">
      <c r="A898" s="31" t="n"/>
      <c r="P898" s="31" t="n"/>
      <c r="Q898" s="31" t="n"/>
      <c r="R898" s="31" t="n"/>
      <c r="S898" s="31" t="n"/>
      <c r="T898" s="31" t="n"/>
      <c r="U898" s="31" t="n"/>
      <c r="V898" s="31" t="n"/>
      <c r="W898" s="31" t="n"/>
      <c r="X898" s="31" t="n"/>
      <c r="Y898" s="31" t="n"/>
    </row>
    <row r="899" ht="14.25" customHeight="1">
      <c r="A899" s="31" t="n"/>
      <c r="P899" s="31" t="n"/>
      <c r="Q899" s="31" t="n"/>
      <c r="R899" s="31" t="n"/>
      <c r="S899" s="31" t="n"/>
      <c r="T899" s="31" t="n"/>
      <c r="U899" s="31" t="n"/>
      <c r="V899" s="31" t="n"/>
      <c r="W899" s="31" t="n"/>
      <c r="X899" s="31" t="n"/>
      <c r="Y899" s="31" t="n"/>
    </row>
    <row r="900" ht="14.25" customHeight="1">
      <c r="A900" s="31" t="n"/>
      <c r="P900" s="31" t="n"/>
      <c r="Q900" s="31" t="n"/>
      <c r="R900" s="31" t="n"/>
      <c r="S900" s="31" t="n"/>
      <c r="T900" s="31" t="n"/>
      <c r="U900" s="31" t="n"/>
      <c r="V900" s="31" t="n"/>
      <c r="W900" s="31" t="n"/>
      <c r="X900" s="31" t="n"/>
      <c r="Y900" s="31" t="n"/>
    </row>
    <row r="901" ht="14.25" customHeight="1">
      <c r="A901" s="31" t="n"/>
      <c r="P901" s="31" t="n"/>
      <c r="Q901" s="31" t="n"/>
      <c r="R901" s="31" t="n"/>
      <c r="S901" s="31" t="n"/>
      <c r="T901" s="31" t="n"/>
      <c r="U901" s="31" t="n"/>
      <c r="V901" s="31" t="n"/>
      <c r="W901" s="31" t="n"/>
      <c r="X901" s="31" t="n"/>
      <c r="Y901" s="31" t="n"/>
    </row>
    <row r="902" ht="14.25" customHeight="1">
      <c r="A902" s="31" t="n"/>
      <c r="P902" s="31" t="n"/>
      <c r="Q902" s="31" t="n"/>
      <c r="R902" s="31" t="n"/>
      <c r="S902" s="31" t="n"/>
      <c r="T902" s="31" t="n"/>
      <c r="U902" s="31" t="n"/>
      <c r="V902" s="31" t="n"/>
      <c r="W902" s="31" t="n"/>
      <c r="X902" s="31" t="n"/>
      <c r="Y902" s="31" t="n"/>
    </row>
    <row r="903" ht="14.25" customHeight="1">
      <c r="A903" s="31" t="n"/>
      <c r="P903" s="31" t="n"/>
      <c r="Q903" s="31" t="n"/>
      <c r="R903" s="31" t="n"/>
      <c r="S903" s="31" t="n"/>
      <c r="T903" s="31" t="n"/>
      <c r="U903" s="31" t="n"/>
      <c r="V903" s="31" t="n"/>
      <c r="W903" s="31" t="n"/>
      <c r="X903" s="31" t="n"/>
      <c r="Y903" s="31" t="n"/>
    </row>
    <row r="904" ht="14.25" customHeight="1">
      <c r="A904" s="31" t="n"/>
      <c r="P904" s="31" t="n"/>
      <c r="Q904" s="31" t="n"/>
      <c r="R904" s="31" t="n"/>
      <c r="S904" s="31" t="n"/>
      <c r="T904" s="31" t="n"/>
      <c r="U904" s="31" t="n"/>
      <c r="V904" s="31" t="n"/>
      <c r="W904" s="31" t="n"/>
      <c r="X904" s="31" t="n"/>
      <c r="Y904" s="31" t="n"/>
    </row>
    <row r="905" ht="14.25" customHeight="1">
      <c r="A905" s="31" t="n"/>
      <c r="P905" s="31" t="n"/>
      <c r="Q905" s="31" t="n"/>
      <c r="R905" s="31" t="n"/>
      <c r="S905" s="31" t="n"/>
      <c r="T905" s="31" t="n"/>
      <c r="U905" s="31" t="n"/>
      <c r="V905" s="31" t="n"/>
      <c r="W905" s="31" t="n"/>
      <c r="X905" s="31" t="n"/>
      <c r="Y905" s="31" t="n"/>
    </row>
    <row r="906" ht="14.25" customHeight="1">
      <c r="A906" s="31" t="n"/>
      <c r="P906" s="31" t="n"/>
      <c r="Q906" s="31" t="n"/>
      <c r="R906" s="31" t="n"/>
      <c r="S906" s="31" t="n"/>
      <c r="T906" s="31" t="n"/>
      <c r="U906" s="31" t="n"/>
      <c r="V906" s="31" t="n"/>
      <c r="W906" s="31" t="n"/>
      <c r="X906" s="31" t="n"/>
      <c r="Y906" s="31" t="n"/>
    </row>
    <row r="907" ht="14.25" customHeight="1">
      <c r="A907" s="31" t="n"/>
      <c r="P907" s="31" t="n"/>
      <c r="Q907" s="31" t="n"/>
      <c r="R907" s="31" t="n"/>
      <c r="S907" s="31" t="n"/>
      <c r="T907" s="31" t="n"/>
      <c r="U907" s="31" t="n"/>
      <c r="V907" s="31" t="n"/>
      <c r="W907" s="31" t="n"/>
      <c r="X907" s="31" t="n"/>
      <c r="Y907" s="31" t="n"/>
    </row>
    <row r="908" ht="14.25" customHeight="1">
      <c r="A908" s="31" t="n"/>
      <c r="P908" s="31" t="n"/>
      <c r="Q908" s="31" t="n"/>
      <c r="R908" s="31" t="n"/>
      <c r="S908" s="31" t="n"/>
      <c r="T908" s="31" t="n"/>
      <c r="U908" s="31" t="n"/>
      <c r="V908" s="31" t="n"/>
      <c r="W908" s="31" t="n"/>
      <c r="X908" s="31" t="n"/>
      <c r="Y908" s="31" t="n"/>
    </row>
    <row r="909" ht="14.25" customHeight="1">
      <c r="A909" s="31" t="n"/>
      <c r="P909" s="31" t="n"/>
      <c r="Q909" s="31" t="n"/>
      <c r="R909" s="31" t="n"/>
      <c r="S909" s="31" t="n"/>
      <c r="T909" s="31" t="n"/>
      <c r="U909" s="31" t="n"/>
      <c r="V909" s="31" t="n"/>
      <c r="W909" s="31" t="n"/>
      <c r="X909" s="31" t="n"/>
      <c r="Y909" s="31" t="n"/>
    </row>
    <row r="910" ht="14.25" customHeight="1">
      <c r="A910" s="31" t="n"/>
      <c r="P910" s="31" t="n"/>
      <c r="Q910" s="31" t="n"/>
      <c r="R910" s="31" t="n"/>
      <c r="S910" s="31" t="n"/>
      <c r="T910" s="31" t="n"/>
      <c r="U910" s="31" t="n"/>
      <c r="V910" s="31" t="n"/>
      <c r="W910" s="31" t="n"/>
      <c r="X910" s="31" t="n"/>
      <c r="Y910" s="31" t="n"/>
    </row>
    <row r="911" ht="14.25" customHeight="1">
      <c r="A911" s="31" t="n"/>
      <c r="P911" s="31" t="n"/>
      <c r="Q911" s="31" t="n"/>
      <c r="R911" s="31" t="n"/>
      <c r="S911" s="31" t="n"/>
      <c r="T911" s="31" t="n"/>
      <c r="U911" s="31" t="n"/>
      <c r="V911" s="31" t="n"/>
      <c r="W911" s="31" t="n"/>
      <c r="X911" s="31" t="n"/>
      <c r="Y911" s="31" t="n"/>
    </row>
    <row r="912" ht="14.25" customHeight="1">
      <c r="A912" s="31" t="n"/>
      <c r="P912" s="31" t="n"/>
      <c r="Q912" s="31" t="n"/>
      <c r="R912" s="31" t="n"/>
      <c r="S912" s="31" t="n"/>
      <c r="T912" s="31" t="n"/>
      <c r="U912" s="31" t="n"/>
      <c r="V912" s="31" t="n"/>
      <c r="W912" s="31" t="n"/>
      <c r="X912" s="31" t="n"/>
      <c r="Y912" s="31" t="n"/>
    </row>
    <row r="913" ht="14.25" customHeight="1">
      <c r="A913" s="31" t="n"/>
      <c r="P913" s="31" t="n"/>
      <c r="Q913" s="31" t="n"/>
      <c r="R913" s="31" t="n"/>
      <c r="S913" s="31" t="n"/>
      <c r="T913" s="31" t="n"/>
      <c r="U913" s="31" t="n"/>
      <c r="V913" s="31" t="n"/>
      <c r="W913" s="31" t="n"/>
      <c r="X913" s="31" t="n"/>
      <c r="Y913" s="31" t="n"/>
    </row>
    <row r="914" ht="14.25" customHeight="1">
      <c r="A914" s="31" t="n"/>
      <c r="P914" s="31" t="n"/>
      <c r="Q914" s="31" t="n"/>
      <c r="R914" s="31" t="n"/>
      <c r="S914" s="31" t="n"/>
      <c r="T914" s="31" t="n"/>
      <c r="U914" s="31" t="n"/>
      <c r="V914" s="31" t="n"/>
      <c r="W914" s="31" t="n"/>
      <c r="X914" s="31" t="n"/>
      <c r="Y914" s="31" t="n"/>
    </row>
    <row r="915" ht="14.25" customHeight="1">
      <c r="A915" s="31" t="n"/>
      <c r="P915" s="31" t="n"/>
      <c r="Q915" s="31" t="n"/>
      <c r="R915" s="31" t="n"/>
      <c r="S915" s="31" t="n"/>
      <c r="T915" s="31" t="n"/>
      <c r="U915" s="31" t="n"/>
      <c r="V915" s="31" t="n"/>
      <c r="W915" s="31" t="n"/>
      <c r="X915" s="31" t="n"/>
      <c r="Y915" s="31" t="n"/>
    </row>
    <row r="916" ht="14.25" customHeight="1">
      <c r="A916" s="31" t="n"/>
      <c r="P916" s="31" t="n"/>
      <c r="Q916" s="31" t="n"/>
      <c r="R916" s="31" t="n"/>
      <c r="S916" s="31" t="n"/>
      <c r="T916" s="31" t="n"/>
      <c r="U916" s="31" t="n"/>
      <c r="V916" s="31" t="n"/>
      <c r="W916" s="31" t="n"/>
      <c r="X916" s="31" t="n"/>
      <c r="Y916" s="31" t="n"/>
    </row>
    <row r="917" ht="14.25" customHeight="1">
      <c r="A917" s="31" t="n"/>
      <c r="P917" s="31" t="n"/>
      <c r="Q917" s="31" t="n"/>
      <c r="R917" s="31" t="n"/>
      <c r="S917" s="31" t="n"/>
      <c r="T917" s="31" t="n"/>
      <c r="U917" s="31" t="n"/>
      <c r="V917" s="31" t="n"/>
      <c r="W917" s="31" t="n"/>
      <c r="X917" s="31" t="n"/>
      <c r="Y917" s="31" t="n"/>
    </row>
    <row r="918" ht="14.25" customHeight="1">
      <c r="A918" s="31" t="n"/>
      <c r="P918" s="31" t="n"/>
      <c r="Q918" s="31" t="n"/>
      <c r="R918" s="31" t="n"/>
      <c r="S918" s="31" t="n"/>
      <c r="T918" s="31" t="n"/>
      <c r="U918" s="31" t="n"/>
      <c r="V918" s="31" t="n"/>
      <c r="W918" s="31" t="n"/>
      <c r="X918" s="31" t="n"/>
      <c r="Y918" s="31" t="n"/>
    </row>
    <row r="919" ht="14.25" customHeight="1">
      <c r="A919" s="31" t="n"/>
      <c r="P919" s="31" t="n"/>
      <c r="Q919" s="31" t="n"/>
      <c r="R919" s="31" t="n"/>
      <c r="S919" s="31" t="n"/>
      <c r="T919" s="31" t="n"/>
      <c r="U919" s="31" t="n"/>
      <c r="V919" s="31" t="n"/>
      <c r="W919" s="31" t="n"/>
      <c r="X919" s="31" t="n"/>
      <c r="Y919" s="31" t="n"/>
    </row>
    <row r="920" ht="14.25" customHeight="1">
      <c r="A920" s="31" t="n"/>
      <c r="P920" s="31" t="n"/>
      <c r="Q920" s="31" t="n"/>
      <c r="R920" s="31" t="n"/>
      <c r="S920" s="31" t="n"/>
      <c r="T920" s="31" t="n"/>
      <c r="U920" s="31" t="n"/>
      <c r="V920" s="31" t="n"/>
      <c r="W920" s="31" t="n"/>
      <c r="X920" s="31" t="n"/>
      <c r="Y920" s="31" t="n"/>
    </row>
    <row r="921" ht="14.25" customHeight="1">
      <c r="A921" s="31" t="n"/>
      <c r="P921" s="31" t="n"/>
      <c r="Q921" s="31" t="n"/>
      <c r="R921" s="31" t="n"/>
      <c r="S921" s="31" t="n"/>
      <c r="T921" s="31" t="n"/>
      <c r="U921" s="31" t="n"/>
      <c r="V921" s="31" t="n"/>
      <c r="W921" s="31" t="n"/>
      <c r="X921" s="31" t="n"/>
      <c r="Y921" s="31" t="n"/>
    </row>
    <row r="922" ht="14.25" customHeight="1">
      <c r="A922" s="31" t="n"/>
      <c r="P922" s="31" t="n"/>
      <c r="Q922" s="31" t="n"/>
      <c r="R922" s="31" t="n"/>
      <c r="S922" s="31" t="n"/>
      <c r="T922" s="31" t="n"/>
      <c r="U922" s="31" t="n"/>
      <c r="V922" s="31" t="n"/>
      <c r="W922" s="31" t="n"/>
      <c r="X922" s="31" t="n"/>
      <c r="Y922" s="31" t="n"/>
    </row>
    <row r="923" ht="14.25" customHeight="1">
      <c r="A923" s="31" t="n"/>
      <c r="P923" s="31" t="n"/>
      <c r="Q923" s="31" t="n"/>
      <c r="R923" s="31" t="n"/>
      <c r="S923" s="31" t="n"/>
      <c r="T923" s="31" t="n"/>
      <c r="U923" s="31" t="n"/>
      <c r="V923" s="31" t="n"/>
      <c r="W923" s="31" t="n"/>
      <c r="X923" s="31" t="n"/>
      <c r="Y923" s="31" t="n"/>
    </row>
    <row r="924" ht="14.25" customHeight="1">
      <c r="A924" s="31" t="n"/>
      <c r="P924" s="31" t="n"/>
      <c r="Q924" s="31" t="n"/>
      <c r="R924" s="31" t="n"/>
      <c r="S924" s="31" t="n"/>
      <c r="T924" s="31" t="n"/>
      <c r="U924" s="31" t="n"/>
      <c r="V924" s="31" t="n"/>
      <c r="W924" s="31" t="n"/>
      <c r="X924" s="31" t="n"/>
      <c r="Y924" s="31" t="n"/>
    </row>
    <row r="925" ht="14.25" customHeight="1">
      <c r="A925" s="31" t="n"/>
      <c r="P925" s="31" t="n"/>
      <c r="Q925" s="31" t="n"/>
      <c r="R925" s="31" t="n"/>
      <c r="S925" s="31" t="n"/>
      <c r="T925" s="31" t="n"/>
      <c r="U925" s="31" t="n"/>
      <c r="V925" s="31" t="n"/>
      <c r="W925" s="31" t="n"/>
      <c r="X925" s="31" t="n"/>
      <c r="Y925" s="31" t="n"/>
    </row>
    <row r="926" ht="14.25" customHeight="1">
      <c r="A926" s="31" t="n"/>
      <c r="P926" s="31" t="n"/>
      <c r="Q926" s="31" t="n"/>
      <c r="R926" s="31" t="n"/>
      <c r="S926" s="31" t="n"/>
      <c r="T926" s="31" t="n"/>
      <c r="U926" s="31" t="n"/>
      <c r="V926" s="31" t="n"/>
      <c r="W926" s="31" t="n"/>
      <c r="X926" s="31" t="n"/>
      <c r="Y926" s="31" t="n"/>
    </row>
    <row r="927" ht="14.25" customHeight="1">
      <c r="A927" s="31" t="n"/>
      <c r="P927" s="31" t="n"/>
      <c r="Q927" s="31" t="n"/>
      <c r="R927" s="31" t="n"/>
      <c r="S927" s="31" t="n"/>
      <c r="T927" s="31" t="n"/>
      <c r="U927" s="31" t="n"/>
      <c r="V927" s="31" t="n"/>
      <c r="W927" s="31" t="n"/>
      <c r="X927" s="31" t="n"/>
      <c r="Y927" s="31" t="n"/>
    </row>
    <row r="928" ht="14.25" customHeight="1">
      <c r="A928" s="31" t="n"/>
      <c r="P928" s="31" t="n"/>
      <c r="Q928" s="31" t="n"/>
      <c r="R928" s="31" t="n"/>
      <c r="S928" s="31" t="n"/>
      <c r="T928" s="31" t="n"/>
      <c r="U928" s="31" t="n"/>
      <c r="V928" s="31" t="n"/>
      <c r="W928" s="31" t="n"/>
      <c r="X928" s="31" t="n"/>
      <c r="Y928" s="31" t="n"/>
    </row>
    <row r="929" ht="14.25" customHeight="1">
      <c r="A929" s="31" t="n"/>
      <c r="P929" s="31" t="n"/>
      <c r="Q929" s="31" t="n"/>
      <c r="R929" s="31" t="n"/>
      <c r="S929" s="31" t="n"/>
      <c r="T929" s="31" t="n"/>
      <c r="U929" s="31" t="n"/>
      <c r="V929" s="31" t="n"/>
      <c r="W929" s="31" t="n"/>
      <c r="X929" s="31" t="n"/>
      <c r="Y929" s="31" t="n"/>
    </row>
    <row r="930" ht="14.25" customHeight="1">
      <c r="A930" s="31" t="n"/>
      <c r="P930" s="31" t="n"/>
      <c r="Q930" s="31" t="n"/>
      <c r="R930" s="31" t="n"/>
      <c r="S930" s="31" t="n"/>
      <c r="T930" s="31" t="n"/>
      <c r="U930" s="31" t="n"/>
      <c r="V930" s="31" t="n"/>
      <c r="W930" s="31" t="n"/>
      <c r="X930" s="31" t="n"/>
      <c r="Y930" s="31" t="n"/>
    </row>
    <row r="931" ht="14.25" customHeight="1">
      <c r="A931" s="31" t="n"/>
      <c r="P931" s="31" t="n"/>
      <c r="Q931" s="31" t="n"/>
      <c r="R931" s="31" t="n"/>
      <c r="S931" s="31" t="n"/>
      <c r="T931" s="31" t="n"/>
      <c r="U931" s="31" t="n"/>
      <c r="V931" s="31" t="n"/>
      <c r="W931" s="31" t="n"/>
      <c r="X931" s="31" t="n"/>
      <c r="Y931" s="31" t="n"/>
    </row>
    <row r="932" ht="14.25" customHeight="1">
      <c r="A932" s="31" t="n"/>
      <c r="P932" s="31" t="n"/>
      <c r="Q932" s="31" t="n"/>
      <c r="R932" s="31" t="n"/>
      <c r="S932" s="31" t="n"/>
      <c r="T932" s="31" t="n"/>
      <c r="U932" s="31" t="n"/>
      <c r="V932" s="31" t="n"/>
      <c r="W932" s="31" t="n"/>
      <c r="X932" s="31" t="n"/>
      <c r="Y932" s="31" t="n"/>
    </row>
    <row r="933" ht="14.25" customHeight="1">
      <c r="A933" s="31" t="n"/>
      <c r="P933" s="31" t="n"/>
      <c r="Q933" s="31" t="n"/>
      <c r="R933" s="31" t="n"/>
      <c r="S933" s="31" t="n"/>
      <c r="T933" s="31" t="n"/>
      <c r="U933" s="31" t="n"/>
      <c r="V933" s="31" t="n"/>
      <c r="W933" s="31" t="n"/>
      <c r="X933" s="31" t="n"/>
      <c r="Y933" s="31" t="n"/>
    </row>
    <row r="934" ht="14.25" customHeight="1">
      <c r="A934" s="31" t="n"/>
      <c r="P934" s="31" t="n"/>
      <c r="Q934" s="31" t="n"/>
      <c r="R934" s="31" t="n"/>
      <c r="S934" s="31" t="n"/>
      <c r="T934" s="31" t="n"/>
      <c r="U934" s="31" t="n"/>
      <c r="V934" s="31" t="n"/>
      <c r="W934" s="31" t="n"/>
      <c r="X934" s="31" t="n"/>
      <c r="Y934" s="31" t="n"/>
    </row>
    <row r="935" ht="14.25" customHeight="1">
      <c r="A935" s="31" t="n"/>
      <c r="P935" s="31" t="n"/>
      <c r="Q935" s="31" t="n"/>
      <c r="R935" s="31" t="n"/>
      <c r="S935" s="31" t="n"/>
      <c r="T935" s="31" t="n"/>
      <c r="U935" s="31" t="n"/>
      <c r="V935" s="31" t="n"/>
      <c r="W935" s="31" t="n"/>
      <c r="X935" s="31" t="n"/>
      <c r="Y935" s="31" t="n"/>
    </row>
    <row r="936" ht="14.25" customHeight="1">
      <c r="A936" s="31" t="n"/>
      <c r="P936" s="31" t="n"/>
      <c r="Q936" s="31" t="n"/>
      <c r="R936" s="31" t="n"/>
      <c r="S936" s="31" t="n"/>
      <c r="T936" s="31" t="n"/>
      <c r="U936" s="31" t="n"/>
      <c r="V936" s="31" t="n"/>
      <c r="W936" s="31" t="n"/>
      <c r="X936" s="31" t="n"/>
      <c r="Y936" s="31" t="n"/>
    </row>
    <row r="937" ht="14.25" customHeight="1">
      <c r="A937" s="31" t="n"/>
      <c r="P937" s="31" t="n"/>
      <c r="Q937" s="31" t="n"/>
      <c r="R937" s="31" t="n"/>
      <c r="S937" s="31" t="n"/>
      <c r="T937" s="31" t="n"/>
      <c r="U937" s="31" t="n"/>
      <c r="V937" s="31" t="n"/>
      <c r="W937" s="31" t="n"/>
      <c r="X937" s="31" t="n"/>
      <c r="Y937" s="31" t="n"/>
    </row>
    <row r="938" ht="14.25" customHeight="1">
      <c r="A938" s="31" t="n"/>
      <c r="P938" s="31" t="n"/>
      <c r="Q938" s="31" t="n"/>
      <c r="R938" s="31" t="n"/>
      <c r="S938" s="31" t="n"/>
      <c r="T938" s="31" t="n"/>
      <c r="U938" s="31" t="n"/>
      <c r="V938" s="31" t="n"/>
      <c r="W938" s="31" t="n"/>
      <c r="X938" s="31" t="n"/>
      <c r="Y938" s="31" t="n"/>
    </row>
    <row r="939" ht="14.25" customHeight="1">
      <c r="A939" s="31" t="n"/>
      <c r="P939" s="31" t="n"/>
      <c r="Q939" s="31" t="n"/>
      <c r="R939" s="31" t="n"/>
      <c r="S939" s="31" t="n"/>
      <c r="T939" s="31" t="n"/>
      <c r="U939" s="31" t="n"/>
      <c r="V939" s="31" t="n"/>
      <c r="W939" s="31" t="n"/>
      <c r="X939" s="31" t="n"/>
      <c r="Y939" s="31" t="n"/>
    </row>
    <row r="940" ht="14.25" customHeight="1">
      <c r="A940" s="31" t="n"/>
      <c r="P940" s="31" t="n"/>
      <c r="Q940" s="31" t="n"/>
      <c r="R940" s="31" t="n"/>
      <c r="S940" s="31" t="n"/>
      <c r="T940" s="31" t="n"/>
      <c r="U940" s="31" t="n"/>
      <c r="V940" s="31" t="n"/>
      <c r="W940" s="31" t="n"/>
      <c r="X940" s="31" t="n"/>
      <c r="Y940" s="31" t="n"/>
    </row>
    <row r="941" ht="14.25" customHeight="1">
      <c r="A941" s="31" t="n"/>
      <c r="P941" s="31" t="n"/>
      <c r="Q941" s="31" t="n"/>
      <c r="R941" s="31" t="n"/>
      <c r="S941" s="31" t="n"/>
      <c r="T941" s="31" t="n"/>
      <c r="U941" s="31" t="n"/>
      <c r="V941" s="31" t="n"/>
      <c r="W941" s="31" t="n"/>
      <c r="X941" s="31" t="n"/>
      <c r="Y941" s="31" t="n"/>
    </row>
    <row r="942" ht="14.25" customHeight="1">
      <c r="A942" s="31" t="n"/>
      <c r="P942" s="31" t="n"/>
      <c r="Q942" s="31" t="n"/>
      <c r="R942" s="31" t="n"/>
      <c r="S942" s="31" t="n"/>
      <c r="T942" s="31" t="n"/>
      <c r="U942" s="31" t="n"/>
      <c r="V942" s="31" t="n"/>
      <c r="W942" s="31" t="n"/>
      <c r="X942" s="31" t="n"/>
      <c r="Y942" s="31" t="n"/>
    </row>
    <row r="943" ht="14.25" customHeight="1">
      <c r="A943" s="31" t="n"/>
      <c r="P943" s="31" t="n"/>
      <c r="Q943" s="31" t="n"/>
      <c r="R943" s="31" t="n"/>
      <c r="S943" s="31" t="n"/>
      <c r="T943" s="31" t="n"/>
      <c r="U943" s="31" t="n"/>
      <c r="V943" s="31" t="n"/>
      <c r="W943" s="31" t="n"/>
      <c r="X943" s="31" t="n"/>
      <c r="Y943" s="31" t="n"/>
    </row>
    <row r="944" ht="14.25" customHeight="1">
      <c r="A944" s="31" t="n"/>
      <c r="P944" s="31" t="n"/>
      <c r="Q944" s="31" t="n"/>
      <c r="R944" s="31" t="n"/>
      <c r="S944" s="31" t="n"/>
      <c r="T944" s="31" t="n"/>
      <c r="U944" s="31" t="n"/>
      <c r="V944" s="31" t="n"/>
      <c r="W944" s="31" t="n"/>
      <c r="X944" s="31" t="n"/>
      <c r="Y944" s="31" t="n"/>
    </row>
    <row r="945" ht="14.25" customHeight="1">
      <c r="A945" s="31" t="n"/>
      <c r="P945" s="31" t="n"/>
      <c r="Q945" s="31" t="n"/>
      <c r="R945" s="31" t="n"/>
      <c r="S945" s="31" t="n"/>
      <c r="T945" s="31" t="n"/>
      <c r="U945" s="31" t="n"/>
      <c r="V945" s="31" t="n"/>
      <c r="W945" s="31" t="n"/>
      <c r="X945" s="31" t="n"/>
      <c r="Y945" s="31" t="n"/>
    </row>
    <row r="946" ht="14.25" customHeight="1">
      <c r="A946" s="31" t="n"/>
      <c r="P946" s="31" t="n"/>
      <c r="Q946" s="31" t="n"/>
      <c r="R946" s="31" t="n"/>
      <c r="S946" s="31" t="n"/>
      <c r="T946" s="31" t="n"/>
      <c r="U946" s="31" t="n"/>
      <c r="V946" s="31" t="n"/>
      <c r="W946" s="31" t="n"/>
      <c r="X946" s="31" t="n"/>
      <c r="Y946" s="31" t="n"/>
    </row>
    <row r="947" ht="14.25" customHeight="1">
      <c r="A947" s="31" t="n"/>
      <c r="P947" s="31" t="n"/>
      <c r="Q947" s="31" t="n"/>
      <c r="R947" s="31" t="n"/>
      <c r="S947" s="31" t="n"/>
      <c r="T947" s="31" t="n"/>
      <c r="U947" s="31" t="n"/>
      <c r="V947" s="31" t="n"/>
      <c r="W947" s="31" t="n"/>
      <c r="X947" s="31" t="n"/>
      <c r="Y947" s="31" t="n"/>
    </row>
    <row r="948" ht="14.25" customHeight="1">
      <c r="A948" s="31" t="n"/>
      <c r="P948" s="31" t="n"/>
      <c r="Q948" s="31" t="n"/>
      <c r="R948" s="31" t="n"/>
      <c r="S948" s="31" t="n"/>
      <c r="T948" s="31" t="n"/>
      <c r="U948" s="31" t="n"/>
      <c r="V948" s="31" t="n"/>
      <c r="W948" s="31" t="n"/>
      <c r="X948" s="31" t="n"/>
      <c r="Y948" s="31" t="n"/>
    </row>
    <row r="949" ht="14.25" customHeight="1">
      <c r="A949" s="31" t="n"/>
      <c r="P949" s="31" t="n"/>
      <c r="Q949" s="31" t="n"/>
      <c r="R949" s="31" t="n"/>
      <c r="S949" s="31" t="n"/>
      <c r="T949" s="31" t="n"/>
      <c r="U949" s="31" t="n"/>
      <c r="V949" s="31" t="n"/>
      <c r="W949" s="31" t="n"/>
      <c r="X949" s="31" t="n"/>
      <c r="Y949" s="31" t="n"/>
    </row>
    <row r="950" ht="14.25" customHeight="1">
      <c r="A950" s="31" t="n"/>
      <c r="P950" s="31" t="n"/>
      <c r="Q950" s="31" t="n"/>
      <c r="R950" s="31" t="n"/>
      <c r="S950" s="31" t="n"/>
      <c r="T950" s="31" t="n"/>
      <c r="U950" s="31" t="n"/>
      <c r="V950" s="31" t="n"/>
      <c r="W950" s="31" t="n"/>
      <c r="X950" s="31" t="n"/>
      <c r="Y950" s="31" t="n"/>
    </row>
    <row r="951" ht="14.25" customHeight="1">
      <c r="A951" s="31" t="n"/>
      <c r="P951" s="31" t="n"/>
      <c r="Q951" s="31" t="n"/>
      <c r="R951" s="31" t="n"/>
      <c r="S951" s="31" t="n"/>
      <c r="T951" s="31" t="n"/>
      <c r="U951" s="31" t="n"/>
      <c r="V951" s="31" t="n"/>
      <c r="W951" s="31" t="n"/>
      <c r="X951" s="31" t="n"/>
      <c r="Y951" s="31" t="n"/>
    </row>
    <row r="952" ht="14.25" customHeight="1">
      <c r="A952" s="31" t="n"/>
      <c r="P952" s="31" t="n"/>
      <c r="Q952" s="31" t="n"/>
      <c r="R952" s="31" t="n"/>
      <c r="S952" s="31" t="n"/>
      <c r="T952" s="31" t="n"/>
      <c r="U952" s="31" t="n"/>
      <c r="V952" s="31" t="n"/>
      <c r="W952" s="31" t="n"/>
      <c r="X952" s="31" t="n"/>
      <c r="Y952" s="31" t="n"/>
    </row>
    <row r="953" ht="14.25" customHeight="1">
      <c r="A953" s="31" t="n"/>
      <c r="P953" s="31" t="n"/>
      <c r="Q953" s="31" t="n"/>
      <c r="R953" s="31" t="n"/>
      <c r="S953" s="31" t="n"/>
      <c r="T953" s="31" t="n"/>
      <c r="U953" s="31" t="n"/>
      <c r="V953" s="31" t="n"/>
      <c r="W953" s="31" t="n"/>
      <c r="X953" s="31" t="n"/>
      <c r="Y953" s="31" t="n"/>
    </row>
    <row r="954" ht="14.25" customHeight="1">
      <c r="A954" s="31" t="n"/>
      <c r="P954" s="31" t="n"/>
      <c r="Q954" s="31" t="n"/>
      <c r="R954" s="31" t="n"/>
      <c r="S954" s="31" t="n"/>
      <c r="T954" s="31" t="n"/>
      <c r="U954" s="31" t="n"/>
      <c r="V954" s="31" t="n"/>
      <c r="W954" s="31" t="n"/>
      <c r="X954" s="31" t="n"/>
      <c r="Y954" s="31" t="n"/>
    </row>
    <row r="955" ht="14.25" customHeight="1">
      <c r="A955" s="31" t="n"/>
      <c r="P955" s="31" t="n"/>
      <c r="Q955" s="31" t="n"/>
      <c r="R955" s="31" t="n"/>
      <c r="S955" s="31" t="n"/>
      <c r="T955" s="31" t="n"/>
      <c r="U955" s="31" t="n"/>
      <c r="V955" s="31" t="n"/>
      <c r="W955" s="31" t="n"/>
      <c r="X955" s="31" t="n"/>
      <c r="Y955" s="31" t="n"/>
    </row>
    <row r="956" ht="14.25" customHeight="1">
      <c r="A956" s="31" t="n"/>
      <c r="P956" s="31" t="n"/>
      <c r="Q956" s="31" t="n"/>
      <c r="R956" s="31" t="n"/>
      <c r="S956" s="31" t="n"/>
      <c r="T956" s="31" t="n"/>
      <c r="U956" s="31" t="n"/>
      <c r="V956" s="31" t="n"/>
      <c r="W956" s="31" t="n"/>
      <c r="X956" s="31" t="n"/>
      <c r="Y956" s="31" t="n"/>
    </row>
    <row r="957" ht="14.25" customHeight="1">
      <c r="A957" s="31" t="n"/>
      <c r="P957" s="31" t="n"/>
      <c r="Q957" s="31" t="n"/>
      <c r="R957" s="31" t="n"/>
      <c r="S957" s="31" t="n"/>
      <c r="T957" s="31" t="n"/>
      <c r="U957" s="31" t="n"/>
      <c r="V957" s="31" t="n"/>
      <c r="W957" s="31" t="n"/>
      <c r="X957" s="31" t="n"/>
      <c r="Y957" s="31" t="n"/>
    </row>
    <row r="958" ht="14.25" customHeight="1">
      <c r="A958" s="31" t="n"/>
      <c r="P958" s="31" t="n"/>
      <c r="Q958" s="31" t="n"/>
      <c r="R958" s="31" t="n"/>
      <c r="S958" s="31" t="n"/>
      <c r="T958" s="31" t="n"/>
      <c r="U958" s="31" t="n"/>
      <c r="V958" s="31" t="n"/>
      <c r="W958" s="31" t="n"/>
      <c r="X958" s="31" t="n"/>
      <c r="Y958" s="31" t="n"/>
    </row>
    <row r="959" ht="14.25" customHeight="1">
      <c r="A959" s="31" t="n"/>
      <c r="P959" s="31" t="n"/>
      <c r="Q959" s="31" t="n"/>
      <c r="R959" s="31" t="n"/>
      <c r="S959" s="31" t="n"/>
      <c r="T959" s="31" t="n"/>
      <c r="U959" s="31" t="n"/>
      <c r="V959" s="31" t="n"/>
      <c r="W959" s="31" t="n"/>
      <c r="X959" s="31" t="n"/>
      <c r="Y959" s="31" t="n"/>
    </row>
    <row r="960" ht="14.25" customHeight="1">
      <c r="A960" s="31" t="n"/>
      <c r="P960" s="31" t="n"/>
      <c r="Q960" s="31" t="n"/>
      <c r="R960" s="31" t="n"/>
      <c r="S960" s="31" t="n"/>
      <c r="T960" s="31" t="n"/>
      <c r="U960" s="31" t="n"/>
      <c r="V960" s="31" t="n"/>
      <c r="W960" s="31" t="n"/>
      <c r="X960" s="31" t="n"/>
      <c r="Y960" s="31" t="n"/>
    </row>
    <row r="961" ht="14.25" customHeight="1">
      <c r="A961" s="31" t="n"/>
      <c r="P961" s="31" t="n"/>
      <c r="Q961" s="31" t="n"/>
      <c r="R961" s="31" t="n"/>
      <c r="S961" s="31" t="n"/>
      <c r="T961" s="31" t="n"/>
      <c r="U961" s="31" t="n"/>
      <c r="V961" s="31" t="n"/>
      <c r="W961" s="31" t="n"/>
      <c r="X961" s="31" t="n"/>
      <c r="Y961" s="31" t="n"/>
    </row>
    <row r="962" ht="14.25" customHeight="1">
      <c r="A962" s="31" t="n"/>
      <c r="P962" s="31" t="n"/>
      <c r="Q962" s="31" t="n"/>
      <c r="R962" s="31" t="n"/>
      <c r="S962" s="31" t="n"/>
      <c r="T962" s="31" t="n"/>
      <c r="U962" s="31" t="n"/>
      <c r="V962" s="31" t="n"/>
      <c r="W962" s="31" t="n"/>
      <c r="X962" s="31" t="n"/>
      <c r="Y962" s="31" t="n"/>
    </row>
    <row r="963" ht="14.25" customHeight="1">
      <c r="A963" s="31" t="n"/>
      <c r="P963" s="31" t="n"/>
      <c r="Q963" s="31" t="n"/>
      <c r="R963" s="31" t="n"/>
      <c r="S963" s="31" t="n"/>
      <c r="T963" s="31" t="n"/>
      <c r="U963" s="31" t="n"/>
      <c r="V963" s="31" t="n"/>
      <c r="W963" s="31" t="n"/>
      <c r="X963" s="31" t="n"/>
      <c r="Y963" s="31" t="n"/>
    </row>
    <row r="964" ht="14.25" customHeight="1">
      <c r="A964" s="31" t="n"/>
      <c r="P964" s="31" t="n"/>
      <c r="Q964" s="31" t="n"/>
      <c r="R964" s="31" t="n"/>
      <c r="S964" s="31" t="n"/>
      <c r="T964" s="31" t="n"/>
      <c r="U964" s="31" t="n"/>
      <c r="V964" s="31" t="n"/>
      <c r="W964" s="31" t="n"/>
      <c r="X964" s="31" t="n"/>
      <c r="Y964" s="31" t="n"/>
    </row>
    <row r="965" ht="14.25" customHeight="1">
      <c r="A965" s="31" t="n"/>
      <c r="P965" s="31" t="n"/>
      <c r="Q965" s="31" t="n"/>
      <c r="R965" s="31" t="n"/>
      <c r="S965" s="31" t="n"/>
      <c r="T965" s="31" t="n"/>
      <c r="U965" s="31" t="n"/>
      <c r="V965" s="31" t="n"/>
      <c r="W965" s="31" t="n"/>
      <c r="X965" s="31" t="n"/>
      <c r="Y965" s="31" t="n"/>
    </row>
    <row r="966" ht="14.25" customHeight="1">
      <c r="A966" s="31" t="n"/>
      <c r="P966" s="31" t="n"/>
      <c r="Q966" s="31" t="n"/>
      <c r="R966" s="31" t="n"/>
      <c r="S966" s="31" t="n"/>
      <c r="T966" s="31" t="n"/>
      <c r="U966" s="31" t="n"/>
      <c r="V966" s="31" t="n"/>
      <c r="W966" s="31" t="n"/>
      <c r="X966" s="31" t="n"/>
      <c r="Y966" s="31" t="n"/>
    </row>
    <row r="967" ht="14.25" customHeight="1">
      <c r="A967" s="31" t="n"/>
      <c r="P967" s="31" t="n"/>
      <c r="Q967" s="31" t="n"/>
      <c r="R967" s="31" t="n"/>
      <c r="S967" s="31" t="n"/>
      <c r="T967" s="31" t="n"/>
      <c r="U967" s="31" t="n"/>
      <c r="V967" s="31" t="n"/>
      <c r="W967" s="31" t="n"/>
      <c r="X967" s="31" t="n"/>
      <c r="Y967" s="31" t="n"/>
    </row>
    <row r="968" ht="14.25" customHeight="1">
      <c r="A968" s="31" t="n"/>
      <c r="P968" s="31" t="n"/>
      <c r="Q968" s="31" t="n"/>
      <c r="R968" s="31" t="n"/>
      <c r="S968" s="31" t="n"/>
      <c r="T968" s="31" t="n"/>
      <c r="U968" s="31" t="n"/>
      <c r="V968" s="31" t="n"/>
      <c r="W968" s="31" t="n"/>
      <c r="X968" s="31" t="n"/>
      <c r="Y968" s="31" t="n"/>
    </row>
    <row r="969" ht="14.25" customHeight="1">
      <c r="A969" s="31" t="n"/>
      <c r="P969" s="31" t="n"/>
      <c r="Q969" s="31" t="n"/>
      <c r="R969" s="31" t="n"/>
      <c r="S969" s="31" t="n"/>
      <c r="T969" s="31" t="n"/>
      <c r="U969" s="31" t="n"/>
      <c r="V969" s="31" t="n"/>
      <c r="W969" s="31" t="n"/>
      <c r="X969" s="31" t="n"/>
      <c r="Y969" s="31" t="n"/>
    </row>
    <row r="970" ht="14.25" customHeight="1">
      <c r="A970" s="31" t="n"/>
      <c r="P970" s="31" t="n"/>
      <c r="Q970" s="31" t="n"/>
      <c r="R970" s="31" t="n"/>
      <c r="S970" s="31" t="n"/>
      <c r="T970" s="31" t="n"/>
      <c r="U970" s="31" t="n"/>
      <c r="V970" s="31" t="n"/>
      <c r="W970" s="31" t="n"/>
      <c r="X970" s="31" t="n"/>
      <c r="Y970" s="31" t="n"/>
    </row>
    <row r="971" ht="14.25" customHeight="1">
      <c r="A971" s="31" t="n"/>
      <c r="P971" s="31" t="n"/>
      <c r="Q971" s="31" t="n"/>
      <c r="R971" s="31" t="n"/>
      <c r="S971" s="31" t="n"/>
      <c r="T971" s="31" t="n"/>
      <c r="U971" s="31" t="n"/>
      <c r="V971" s="31" t="n"/>
      <c r="W971" s="31" t="n"/>
      <c r="X971" s="31" t="n"/>
      <c r="Y971" s="31" t="n"/>
    </row>
    <row r="972" ht="14.25" customHeight="1">
      <c r="A972" s="31" t="n"/>
      <c r="P972" s="31" t="n"/>
      <c r="Q972" s="31" t="n"/>
      <c r="R972" s="31" t="n"/>
      <c r="S972" s="31" t="n"/>
      <c r="T972" s="31" t="n"/>
      <c r="U972" s="31" t="n"/>
      <c r="V972" s="31" t="n"/>
      <c r="W972" s="31" t="n"/>
      <c r="X972" s="31" t="n"/>
      <c r="Y972" s="31" t="n"/>
    </row>
    <row r="973" ht="14.25" customHeight="1">
      <c r="A973" s="31" t="n"/>
      <c r="P973" s="31" t="n"/>
      <c r="Q973" s="31" t="n"/>
      <c r="R973" s="31" t="n"/>
      <c r="S973" s="31" t="n"/>
      <c r="T973" s="31" t="n"/>
      <c r="U973" s="31" t="n"/>
      <c r="V973" s="31" t="n"/>
      <c r="W973" s="31" t="n"/>
      <c r="X973" s="31" t="n"/>
      <c r="Y973" s="31" t="n"/>
    </row>
    <row r="974" ht="14.25" customHeight="1">
      <c r="A974" s="31" t="n"/>
      <c r="P974" s="31" t="n"/>
      <c r="Q974" s="31" t="n"/>
      <c r="R974" s="31" t="n"/>
      <c r="S974" s="31" t="n"/>
      <c r="T974" s="31" t="n"/>
      <c r="U974" s="31" t="n"/>
      <c r="V974" s="31" t="n"/>
      <c r="W974" s="31" t="n"/>
      <c r="X974" s="31" t="n"/>
      <c r="Y974" s="31" t="n"/>
    </row>
    <row r="975" ht="14.25" customHeight="1">
      <c r="A975" s="31" t="n"/>
      <c r="P975" s="31" t="n"/>
      <c r="Q975" s="31" t="n"/>
      <c r="R975" s="31" t="n"/>
      <c r="S975" s="31" t="n"/>
      <c r="T975" s="31" t="n"/>
      <c r="U975" s="31" t="n"/>
      <c r="V975" s="31" t="n"/>
      <c r="W975" s="31" t="n"/>
      <c r="X975" s="31" t="n"/>
      <c r="Y975" s="31" t="n"/>
    </row>
    <row r="976" ht="14.25" customHeight="1">
      <c r="A976" s="31" t="n"/>
      <c r="P976" s="31" t="n"/>
      <c r="Q976" s="31" t="n"/>
      <c r="R976" s="31" t="n"/>
      <c r="S976" s="31" t="n"/>
      <c r="T976" s="31" t="n"/>
      <c r="U976" s="31" t="n"/>
      <c r="V976" s="31" t="n"/>
      <c r="W976" s="31" t="n"/>
      <c r="X976" s="31" t="n"/>
      <c r="Y976" s="31" t="n"/>
    </row>
    <row r="977" ht="14.25" customHeight="1">
      <c r="A977" s="31" t="n"/>
      <c r="P977" s="31" t="n"/>
      <c r="Q977" s="31" t="n"/>
      <c r="R977" s="31" t="n"/>
      <c r="S977" s="31" t="n"/>
      <c r="T977" s="31" t="n"/>
      <c r="U977" s="31" t="n"/>
      <c r="V977" s="31" t="n"/>
      <c r="W977" s="31" t="n"/>
      <c r="X977" s="31" t="n"/>
      <c r="Y977" s="31" t="n"/>
    </row>
    <row r="978" ht="14.25" customHeight="1">
      <c r="A978" s="31" t="n"/>
      <c r="P978" s="31" t="n"/>
      <c r="Q978" s="31" t="n"/>
      <c r="R978" s="31" t="n"/>
      <c r="S978" s="31" t="n"/>
      <c r="T978" s="31" t="n"/>
      <c r="U978" s="31" t="n"/>
      <c r="V978" s="31" t="n"/>
      <c r="W978" s="31" t="n"/>
      <c r="X978" s="31" t="n"/>
      <c r="Y978" s="31" t="n"/>
    </row>
    <row r="979" ht="14.25" customHeight="1">
      <c r="A979" s="31" t="n"/>
      <c r="P979" s="31" t="n"/>
      <c r="Q979" s="31" t="n"/>
      <c r="R979" s="31" t="n"/>
      <c r="S979" s="31" t="n"/>
      <c r="T979" s="31" t="n"/>
      <c r="U979" s="31" t="n"/>
      <c r="V979" s="31" t="n"/>
      <c r="W979" s="31" t="n"/>
      <c r="X979" s="31" t="n"/>
      <c r="Y979" s="31" t="n"/>
    </row>
    <row r="980" ht="14.25" customHeight="1">
      <c r="A980" s="31" t="n"/>
      <c r="P980" s="31" t="n"/>
      <c r="Q980" s="31" t="n"/>
      <c r="R980" s="31" t="n"/>
      <c r="S980" s="31" t="n"/>
      <c r="T980" s="31" t="n"/>
      <c r="U980" s="31" t="n"/>
      <c r="V980" s="31" t="n"/>
      <c r="W980" s="31" t="n"/>
      <c r="X980" s="31" t="n"/>
      <c r="Y980" s="31" t="n"/>
    </row>
    <row r="981" ht="14.25" customHeight="1">
      <c r="A981" s="31" t="n"/>
      <c r="P981" s="31" t="n"/>
      <c r="Q981" s="31" t="n"/>
      <c r="R981" s="31" t="n"/>
      <c r="S981" s="31" t="n"/>
      <c r="T981" s="31" t="n"/>
      <c r="U981" s="31" t="n"/>
      <c r="V981" s="31" t="n"/>
      <c r="W981" s="31" t="n"/>
      <c r="X981" s="31" t="n"/>
      <c r="Y981" s="31" t="n"/>
    </row>
    <row r="982" ht="14.25" customHeight="1">
      <c r="A982" s="31" t="n"/>
      <c r="P982" s="31" t="n"/>
      <c r="Q982" s="31" t="n"/>
      <c r="R982" s="31" t="n"/>
      <c r="S982" s="31" t="n"/>
      <c r="T982" s="31" t="n"/>
      <c r="U982" s="31" t="n"/>
      <c r="V982" s="31" t="n"/>
      <c r="W982" s="31" t="n"/>
      <c r="X982" s="31" t="n"/>
      <c r="Y982" s="31" t="n"/>
    </row>
    <row r="983" ht="14.25" customHeight="1">
      <c r="A983" s="31" t="n"/>
      <c r="P983" s="31" t="n"/>
      <c r="Q983" s="31" t="n"/>
      <c r="R983" s="31" t="n"/>
      <c r="S983" s="31" t="n"/>
      <c r="T983" s="31" t="n"/>
      <c r="U983" s="31" t="n"/>
      <c r="V983" s="31" t="n"/>
      <c r="W983" s="31" t="n"/>
      <c r="X983" s="31" t="n"/>
      <c r="Y983" s="31" t="n"/>
    </row>
    <row r="984" ht="14.25" customHeight="1">
      <c r="A984" s="31" t="n"/>
      <c r="P984" s="31" t="n"/>
      <c r="Q984" s="31" t="n"/>
      <c r="R984" s="31" t="n"/>
      <c r="S984" s="31" t="n"/>
      <c r="T984" s="31" t="n"/>
      <c r="U984" s="31" t="n"/>
      <c r="V984" s="31" t="n"/>
      <c r="W984" s="31" t="n"/>
      <c r="X984" s="31" t="n"/>
      <c r="Y984" s="31" t="n"/>
    </row>
    <row r="985" ht="14.25" customHeight="1">
      <c r="A985" s="31" t="n"/>
      <c r="P985" s="31" t="n"/>
      <c r="Q985" s="31" t="n"/>
      <c r="R985" s="31" t="n"/>
      <c r="S985" s="31" t="n"/>
      <c r="T985" s="31" t="n"/>
      <c r="U985" s="31" t="n"/>
      <c r="V985" s="31" t="n"/>
      <c r="W985" s="31" t="n"/>
      <c r="X985" s="31" t="n"/>
      <c r="Y985" s="31" t="n"/>
    </row>
    <row r="986" ht="14.25" customHeight="1">
      <c r="A986" s="31" t="n"/>
      <c r="P986" s="31" t="n"/>
      <c r="Q986" s="31" t="n"/>
      <c r="R986" s="31" t="n"/>
      <c r="S986" s="31" t="n"/>
      <c r="T986" s="31" t="n"/>
      <c r="U986" s="31" t="n"/>
      <c r="V986" s="31" t="n"/>
      <c r="W986" s="31" t="n"/>
      <c r="X986" s="31" t="n"/>
      <c r="Y986" s="31" t="n"/>
    </row>
    <row r="987" ht="14.25" customHeight="1">
      <c r="A987" s="31" t="n"/>
      <c r="P987" s="31" t="n"/>
      <c r="Q987" s="31" t="n"/>
      <c r="R987" s="31" t="n"/>
      <c r="S987" s="31" t="n"/>
      <c r="T987" s="31" t="n"/>
      <c r="U987" s="31" t="n"/>
      <c r="V987" s="31" t="n"/>
      <c r="W987" s="31" t="n"/>
      <c r="X987" s="31" t="n"/>
      <c r="Y987" s="31" t="n"/>
    </row>
    <row r="988" ht="14.25" customHeight="1">
      <c r="A988" s="31" t="n"/>
      <c r="P988" s="31" t="n"/>
      <c r="Q988" s="31" t="n"/>
      <c r="R988" s="31" t="n"/>
      <c r="S988" s="31" t="n"/>
      <c r="T988" s="31" t="n"/>
      <c r="U988" s="31" t="n"/>
      <c r="V988" s="31" t="n"/>
      <c r="W988" s="31" t="n"/>
      <c r="X988" s="31" t="n"/>
      <c r="Y988" s="31" t="n"/>
    </row>
    <row r="989" ht="14.25" customHeight="1">
      <c r="A989" s="31" t="n"/>
      <c r="P989" s="31" t="n"/>
      <c r="Q989" s="31" t="n"/>
      <c r="R989" s="31" t="n"/>
      <c r="S989" s="31" t="n"/>
      <c r="T989" s="31" t="n"/>
      <c r="U989" s="31" t="n"/>
      <c r="V989" s="31" t="n"/>
      <c r="W989" s="31" t="n"/>
      <c r="X989" s="31" t="n"/>
      <c r="Y989" s="31" t="n"/>
    </row>
    <row r="990" ht="14.25" customHeight="1">
      <c r="A990" s="31" t="n"/>
      <c r="P990" s="31" t="n"/>
      <c r="Q990" s="31" t="n"/>
      <c r="R990" s="31" t="n"/>
      <c r="S990" s="31" t="n"/>
      <c r="T990" s="31" t="n"/>
      <c r="U990" s="31" t="n"/>
      <c r="V990" s="31" t="n"/>
      <c r="W990" s="31" t="n"/>
      <c r="X990" s="31" t="n"/>
      <c r="Y990" s="31" t="n"/>
    </row>
  </sheetData>
  <autoFilter ref="B1:O22"/>
  <conditionalFormatting sqref="A2:A23">
    <cfRule type="notContainsBlanks" priority="1" dxfId="0">
      <formula>LEN(TRIM(A2))&gt;0</formula>
    </cfRule>
  </conditionalFormatting>
  <pageMargins left="0.7" right="0.7" top="0.75" bottom="0.75" header="0" footer="0"/>
  <pageSetup orientation="portrait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AA998"/>
  <sheetViews>
    <sheetView showGridLines="0" zoomScale="170" zoomScaleNormal="170" workbookViewId="0">
      <selection activeCell="C12" sqref="C12"/>
    </sheetView>
  </sheetViews>
  <sheetFormatPr baseColWidth="8" defaultColWidth="14.44140625" defaultRowHeight="15" customHeight="1"/>
  <cols>
    <col width="4.44140625" customWidth="1" min="1" max="1"/>
    <col width="31.44140625" customWidth="1" min="2" max="2"/>
    <col width="48.33203125" customWidth="1" min="3" max="3"/>
    <col hidden="1" width="13.33203125" customWidth="1" min="4" max="4"/>
    <col width="13.33203125" customWidth="1" min="5" max="5"/>
    <col width="18.109375" customWidth="1" min="6" max="8"/>
    <col width="11.44140625" customWidth="1" min="9" max="9"/>
    <col width="24.44140625" customWidth="1" min="10" max="10"/>
    <col width="20.5546875" customWidth="1" min="11" max="11"/>
    <col hidden="1" width="11.44140625" customWidth="1" min="12" max="12"/>
    <col hidden="1" width="10.6640625" customWidth="1" min="13" max="13"/>
    <col hidden="1" width="11.88671875" customWidth="1" min="14" max="14"/>
    <col hidden="1" width="10.6640625" customWidth="1" min="15" max="15"/>
    <col width="14.33203125" customWidth="1" min="16" max="16"/>
    <col width="10.6640625" customWidth="1" min="17" max="27"/>
  </cols>
  <sheetData>
    <row r="1" ht="21" customHeight="1">
      <c r="A1" s="31" t="n"/>
      <c r="B1" s="24" t="inlineStr">
        <is>
          <t>Nombre Y Apellido</t>
        </is>
      </c>
      <c r="C1" s="25" t="inlineStr">
        <is>
          <t>Cargo</t>
        </is>
      </c>
      <c r="D1" s="28" t="inlineStr">
        <is>
          <t>Contrato</t>
        </is>
      </c>
      <c r="E1" s="28" t="inlineStr">
        <is>
          <t>Ubicacion</t>
        </is>
      </c>
      <c r="F1" s="27" t="inlineStr">
        <is>
          <t>Número</t>
        </is>
      </c>
      <c r="G1" s="28" t="inlineStr">
        <is>
          <t>Cod. Contrato</t>
        </is>
      </c>
      <c r="H1" s="28" t="inlineStr">
        <is>
          <t>No. Contrato</t>
        </is>
      </c>
      <c r="I1" s="28" t="inlineStr">
        <is>
          <t>Estado Contrato</t>
        </is>
      </c>
      <c r="J1" s="28" t="inlineStr">
        <is>
          <t>Empresa</t>
        </is>
      </c>
      <c r="K1" s="26" t="inlineStr">
        <is>
          <t>PLAN</t>
        </is>
      </c>
      <c r="L1" s="28" t="inlineStr">
        <is>
          <t>Actual</t>
        </is>
      </c>
      <c r="M1" s="28" t="inlineStr">
        <is>
          <t>Plan Actual</t>
        </is>
      </c>
      <c r="N1" s="29" t="n"/>
      <c r="O1" s="30" t="inlineStr">
        <is>
          <t>Monto de Subsidio por plan</t>
        </is>
      </c>
      <c r="P1" s="26" t="inlineStr">
        <is>
          <t>Equipo</t>
        </is>
      </c>
      <c r="Q1" s="31" t="n"/>
      <c r="R1" s="31" t="n"/>
      <c r="S1" s="31" t="n"/>
      <c r="T1" s="31" t="n"/>
      <c r="U1" s="31" t="n"/>
      <c r="V1" s="31" t="n"/>
      <c r="W1" s="31" t="n"/>
      <c r="X1" s="31" t="n"/>
      <c r="Y1" s="31" t="n"/>
      <c r="Z1" s="31" t="n"/>
      <c r="AA1" s="31" t="n"/>
    </row>
    <row r="2" ht="14.25" customHeight="1">
      <c r="A2" s="32" t="n">
        <v>1</v>
      </c>
      <c r="B2" s="92" t="inlineStr">
        <is>
          <t xml:space="preserve">Miuller Jose Rivera </t>
        </is>
      </c>
      <c r="C2" s="94" t="inlineStr">
        <is>
          <t>DIRECTOR OPERACIONES</t>
        </is>
      </c>
      <c r="D2" s="81" t="n">
        <v>13192379</v>
      </c>
      <c r="E2" s="81" t="inlineStr">
        <is>
          <t>Operaciones</t>
        </is>
      </c>
      <c r="F2" s="35" t="inlineStr">
        <is>
          <t>50558708230</t>
        </is>
      </c>
      <c r="G2" s="95" t="n">
        <v>13192379</v>
      </c>
      <c r="H2" s="95" t="n">
        <v>10245586</v>
      </c>
      <c r="I2" s="95" t="inlineStr">
        <is>
          <t>ACTIVO</t>
        </is>
      </c>
      <c r="J2" s="95" t="inlineStr">
        <is>
          <t>New Century Builders S.A.</t>
        </is>
      </c>
      <c r="K2" s="96" t="n">
        <v>50.99</v>
      </c>
      <c r="L2" s="31" t="n"/>
      <c r="M2" s="169" t="n"/>
      <c r="N2" s="31" t="n"/>
      <c r="O2" s="31" t="n"/>
      <c r="P2" s="96" t="inlineStr">
        <is>
          <t>SAMSUNG S24+</t>
        </is>
      </c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1" t="n"/>
      <c r="AA2" s="31" t="n"/>
    </row>
    <row r="3" ht="14.25" customHeight="1">
      <c r="A3" s="31" t="n"/>
      <c r="D3" s="161" t="n"/>
      <c r="E3" s="16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</row>
    <row r="4" ht="14.25" customHeight="1">
      <c r="A4" s="31" t="n"/>
      <c r="D4" s="161" t="n"/>
      <c r="E4" s="16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  <c r="AA4" s="31" t="n"/>
    </row>
    <row r="5" ht="14.25" customHeight="1">
      <c r="A5" s="31" t="n"/>
      <c r="B5" s="108" t="inlineStr">
        <is>
          <t>Asignados</t>
        </is>
      </c>
      <c r="C5" s="108">
        <f>+(C7-C6)</f>
        <v/>
      </c>
      <c r="D5" s="161" t="n"/>
      <c r="E5" s="16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</row>
    <row r="6" ht="14.25" customHeight="1">
      <c r="A6" s="31" t="n"/>
      <c r="B6" s="138" t="inlineStr">
        <is>
          <t>Disponibles</t>
        </is>
      </c>
      <c r="C6" s="138">
        <f>COUNTBLANK(B2:B2)</f>
        <v/>
      </c>
      <c r="D6" s="161" t="n"/>
      <c r="E6" s="16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  <c r="AA6" s="31" t="n"/>
    </row>
    <row r="7" ht="14.25" customHeight="1">
      <c r="A7" s="31" t="n"/>
      <c r="B7" s="111" t="inlineStr">
        <is>
          <t>Total</t>
        </is>
      </c>
      <c r="C7" s="111">
        <f>+COUNT(A2:A2)</f>
        <v/>
      </c>
      <c r="D7" s="161" t="n"/>
      <c r="E7" s="161" t="n"/>
      <c r="P7" s="31" t="n"/>
      <c r="Q7" s="31" t="n"/>
      <c r="R7" s="31" t="n"/>
      <c r="S7" s="31" t="n"/>
      <c r="T7" s="31" t="n"/>
      <c r="U7" s="31" t="n"/>
      <c r="V7" s="31" t="n"/>
      <c r="W7" s="31" t="n"/>
      <c r="X7" s="31" t="n"/>
      <c r="Y7" s="31" t="n"/>
      <c r="Z7" s="31" t="n"/>
      <c r="AA7" s="31" t="n"/>
    </row>
    <row r="8" ht="14.25" customHeight="1">
      <c r="A8" s="31" t="n"/>
      <c r="D8" s="161" t="n"/>
      <c r="E8" s="16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  <c r="AA8" s="31" t="n"/>
    </row>
    <row r="9" ht="14.25" customHeight="1">
      <c r="A9" s="31" t="n"/>
      <c r="D9" s="161" t="n"/>
      <c r="E9" s="16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1" t="n"/>
      <c r="AA9" s="31" t="n"/>
    </row>
    <row r="10" ht="14.25" customHeight="1">
      <c r="A10" s="31" t="n"/>
      <c r="D10" s="161" t="n"/>
      <c r="E10" s="161" t="n"/>
      <c r="P10" s="31" t="n"/>
      <c r="Q10" s="31" t="n"/>
      <c r="R10" s="31" t="n"/>
      <c r="S10" s="31" t="n"/>
      <c r="T10" s="31" t="n"/>
      <c r="U10" s="31" t="n"/>
      <c r="V10" s="31" t="n"/>
      <c r="W10" s="31" t="n"/>
      <c r="X10" s="31" t="n"/>
      <c r="Y10" s="31" t="n"/>
      <c r="Z10" s="31" t="n"/>
      <c r="AA10" s="31" t="n"/>
    </row>
    <row r="11" ht="14.25" customHeight="1">
      <c r="A11" s="31" t="n"/>
      <c r="D11" s="161" t="n"/>
      <c r="E11" s="161" t="n"/>
      <c r="P11" s="31" t="n"/>
      <c r="Q11" s="31" t="n"/>
      <c r="R11" s="31" t="n"/>
      <c r="S11" s="31" t="n"/>
      <c r="T11" s="31" t="n"/>
      <c r="U11" s="31" t="n"/>
      <c r="V11" s="31" t="n"/>
      <c r="W11" s="31" t="n"/>
      <c r="X11" s="31" t="n"/>
      <c r="Y11" s="31" t="n"/>
      <c r="Z11" s="31" t="n"/>
      <c r="AA11" s="31" t="n"/>
    </row>
    <row r="12" ht="14.25" customHeight="1">
      <c r="A12" s="31" t="n"/>
      <c r="D12" s="161" t="n"/>
      <c r="E12" s="161" t="n"/>
      <c r="P12" s="31" t="n"/>
      <c r="Q12" s="31" t="n"/>
      <c r="R12" s="31" t="n"/>
      <c r="S12" s="31" t="n"/>
      <c r="T12" s="31" t="n"/>
      <c r="U12" s="31" t="n"/>
      <c r="V12" s="31" t="n"/>
      <c r="W12" s="31" t="n"/>
      <c r="X12" s="31" t="n"/>
      <c r="Y12" s="31" t="n"/>
      <c r="Z12" s="31" t="n"/>
      <c r="AA12" s="31" t="n"/>
    </row>
    <row r="13" ht="14.25" customHeight="1">
      <c r="A13" s="31" t="n"/>
      <c r="D13" s="161" t="n"/>
      <c r="E13" s="161" t="n"/>
      <c r="P13" s="31" t="n"/>
      <c r="Q13" s="31" t="n"/>
      <c r="R13" s="31" t="n"/>
      <c r="S13" s="31" t="n"/>
      <c r="T13" s="31" t="n"/>
      <c r="U13" s="31" t="n"/>
      <c r="V13" s="31" t="n"/>
      <c r="W13" s="31" t="n"/>
      <c r="X13" s="31" t="n"/>
      <c r="Y13" s="31" t="n"/>
      <c r="Z13" s="31" t="n"/>
      <c r="AA13" s="31" t="n"/>
    </row>
    <row r="14" ht="14.25" customHeight="1">
      <c r="A14" s="31" t="n"/>
      <c r="D14" s="161" t="n"/>
      <c r="E14" s="161" t="n"/>
      <c r="P14" s="31" t="n"/>
      <c r="Q14" s="31" t="n"/>
      <c r="R14" s="31" t="n"/>
      <c r="S14" s="31" t="n"/>
      <c r="T14" s="31" t="n"/>
      <c r="U14" s="31" t="n"/>
      <c r="V14" s="31" t="n"/>
      <c r="W14" s="31" t="n"/>
      <c r="X14" s="31" t="n"/>
      <c r="Y14" s="31" t="n"/>
      <c r="Z14" s="31" t="n"/>
      <c r="AA14" s="31" t="n"/>
    </row>
    <row r="15" ht="14.25" customHeight="1">
      <c r="A15" s="31" t="n"/>
      <c r="D15" s="161" t="n"/>
      <c r="E15" s="161" t="n"/>
      <c r="P15" s="31" t="n"/>
      <c r="Q15" s="31" t="n"/>
      <c r="R15" s="31" t="n"/>
      <c r="S15" s="31" t="n"/>
      <c r="T15" s="31" t="n"/>
      <c r="U15" s="31" t="n"/>
      <c r="V15" s="31" t="n"/>
      <c r="W15" s="31" t="n"/>
      <c r="X15" s="31" t="n"/>
      <c r="Y15" s="31" t="n"/>
      <c r="Z15" s="31" t="n"/>
      <c r="AA15" s="31" t="n"/>
    </row>
    <row r="16" ht="14.25" customHeight="1">
      <c r="A16" s="31" t="n"/>
      <c r="D16" s="161" t="n"/>
      <c r="E16" s="161" t="n"/>
      <c r="P16" s="31" t="n"/>
      <c r="Q16" s="31" t="n"/>
      <c r="R16" s="31" t="n"/>
      <c r="S16" s="31" t="n"/>
      <c r="T16" s="31" t="n"/>
      <c r="U16" s="31" t="n"/>
      <c r="V16" s="31" t="n"/>
      <c r="W16" s="31" t="n"/>
      <c r="X16" s="31" t="n"/>
      <c r="Y16" s="31" t="n"/>
      <c r="Z16" s="31" t="n"/>
      <c r="AA16" s="31" t="n"/>
    </row>
    <row r="17" ht="14.25" customHeight="1">
      <c r="A17" s="31" t="n"/>
      <c r="D17" s="161" t="n"/>
      <c r="E17" s="161" t="n"/>
      <c r="P17" s="31" t="n"/>
      <c r="Q17" s="31" t="n"/>
      <c r="R17" s="31" t="n"/>
      <c r="S17" s="31" t="n"/>
      <c r="T17" s="31" t="n"/>
      <c r="U17" s="31" t="n"/>
      <c r="V17" s="31" t="n"/>
      <c r="W17" s="31" t="n"/>
      <c r="X17" s="31" t="n"/>
      <c r="Y17" s="31" t="n"/>
      <c r="Z17" s="31" t="n"/>
      <c r="AA17" s="31" t="n"/>
    </row>
    <row r="18" ht="14.25" customHeight="1">
      <c r="A18" s="31" t="n"/>
      <c r="D18" s="161" t="n"/>
      <c r="E18" s="161" t="n"/>
      <c r="P18" s="31" t="n"/>
      <c r="Q18" s="31" t="n"/>
      <c r="R18" s="31" t="n"/>
      <c r="S18" s="31" t="n"/>
      <c r="T18" s="31" t="n"/>
      <c r="U18" s="31" t="n"/>
      <c r="V18" s="31" t="n"/>
      <c r="W18" s="31" t="n"/>
      <c r="X18" s="31" t="n"/>
      <c r="Y18" s="31" t="n"/>
      <c r="Z18" s="31" t="n"/>
      <c r="AA18" s="31" t="n"/>
    </row>
    <row r="19" ht="14.25" customHeight="1">
      <c r="A19" s="31" t="n"/>
      <c r="D19" s="161" t="n"/>
      <c r="E19" s="161" t="n"/>
      <c r="P19" s="31" t="n"/>
      <c r="Q19" s="31" t="n"/>
      <c r="R19" s="31" t="n"/>
      <c r="S19" s="31" t="n"/>
      <c r="T19" s="31" t="n"/>
      <c r="U19" s="31" t="n"/>
      <c r="V19" s="31" t="n"/>
      <c r="W19" s="31" t="n"/>
      <c r="X19" s="31" t="n"/>
      <c r="Y19" s="31" t="n"/>
      <c r="Z19" s="31" t="n"/>
      <c r="AA19" s="31" t="n"/>
    </row>
    <row r="20" ht="14.25" customHeight="1">
      <c r="A20" s="31" t="n"/>
      <c r="D20" s="161" t="n"/>
      <c r="E20" s="161" t="n"/>
      <c r="P20" s="31" t="n"/>
      <c r="Q20" s="31" t="n"/>
      <c r="R20" s="31" t="n"/>
      <c r="S20" s="31" t="n"/>
      <c r="T20" s="31" t="n"/>
      <c r="U20" s="31" t="n"/>
      <c r="V20" s="31" t="n"/>
      <c r="W20" s="31" t="n"/>
      <c r="X20" s="31" t="n"/>
      <c r="Y20" s="31" t="n"/>
      <c r="Z20" s="31" t="n"/>
      <c r="AA20" s="31" t="n"/>
    </row>
    <row r="21" ht="14.25" customHeight="1">
      <c r="A21" s="31" t="n"/>
      <c r="D21" s="161" t="n"/>
      <c r="E21" s="161" t="n"/>
      <c r="P21" s="31" t="n"/>
      <c r="Q21" s="31" t="n"/>
      <c r="R21" s="31" t="n"/>
      <c r="S21" s="31" t="n"/>
      <c r="T21" s="31" t="n"/>
      <c r="U21" s="31" t="n"/>
      <c r="V21" s="31" t="n"/>
      <c r="W21" s="31" t="n"/>
      <c r="X21" s="31" t="n"/>
      <c r="Y21" s="31" t="n"/>
      <c r="Z21" s="31" t="n"/>
      <c r="AA21" s="31" t="n"/>
    </row>
    <row r="22" ht="14.25" customHeight="1">
      <c r="A22" s="31" t="n"/>
      <c r="D22" s="161" t="n"/>
      <c r="E22" s="161" t="n"/>
      <c r="P22" s="31" t="n"/>
      <c r="Q22" s="31" t="n"/>
      <c r="R22" s="31" t="n"/>
      <c r="S22" s="31" t="n"/>
      <c r="T22" s="31" t="n"/>
      <c r="U22" s="31" t="n"/>
      <c r="V22" s="31" t="n"/>
      <c r="W22" s="31" t="n"/>
      <c r="X22" s="31" t="n"/>
      <c r="Y22" s="31" t="n"/>
      <c r="Z22" s="31" t="n"/>
      <c r="AA22" s="31" t="n"/>
    </row>
    <row r="23" ht="14.25" customHeight="1">
      <c r="A23" s="31" t="n"/>
      <c r="D23" s="161" t="n"/>
      <c r="E23" s="161" t="n"/>
      <c r="P23" s="31" t="n"/>
      <c r="Q23" s="31" t="n"/>
      <c r="R23" s="31" t="n"/>
      <c r="S23" s="31" t="n"/>
      <c r="T23" s="31" t="n"/>
      <c r="U23" s="31" t="n"/>
      <c r="V23" s="31" t="n"/>
      <c r="W23" s="31" t="n"/>
      <c r="X23" s="31" t="n"/>
      <c r="Y23" s="31" t="n"/>
      <c r="Z23" s="31" t="n"/>
      <c r="AA23" s="31" t="n"/>
    </row>
    <row r="24" ht="14.25" customHeight="1">
      <c r="A24" s="31" t="n"/>
      <c r="D24" s="161" t="n"/>
      <c r="E24" s="16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</row>
    <row r="25" ht="14.25" customHeight="1">
      <c r="A25" s="31" t="n"/>
      <c r="D25" s="161" t="n"/>
      <c r="E25" s="16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</row>
    <row r="26" ht="14.25" customHeight="1">
      <c r="A26" s="31" t="n"/>
      <c r="D26" s="161" t="n"/>
      <c r="E26" s="16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</row>
    <row r="27" ht="14.25" customHeight="1">
      <c r="A27" s="31" t="n"/>
      <c r="D27" s="161" t="n"/>
      <c r="E27" s="16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</row>
    <row r="28" ht="14.25" customHeight="1">
      <c r="A28" s="31" t="n"/>
      <c r="D28" s="161" t="n"/>
      <c r="E28" s="16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</row>
    <row r="29" ht="14.25" customHeight="1">
      <c r="A29" s="31" t="n"/>
      <c r="D29" s="161" t="n"/>
      <c r="E29" s="16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</row>
    <row r="30" ht="14.25" customHeight="1">
      <c r="A30" s="31" t="n"/>
      <c r="D30" s="161" t="n"/>
      <c r="E30" s="16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</row>
    <row r="31" ht="14.25" customHeight="1">
      <c r="A31" s="31" t="n"/>
      <c r="D31" s="161" t="n"/>
      <c r="E31" s="16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</row>
    <row r="32" ht="14.25" customHeight="1">
      <c r="A32" s="31" t="n"/>
      <c r="D32" s="161" t="n"/>
      <c r="E32" s="16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</row>
    <row r="33" ht="14.25" customHeight="1">
      <c r="A33" s="31" t="n"/>
      <c r="D33" s="161" t="n"/>
      <c r="E33" s="16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</row>
    <row r="34" ht="14.25" customHeight="1">
      <c r="A34" s="31" t="n"/>
      <c r="D34" s="161" t="n"/>
      <c r="E34" s="16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</row>
    <row r="35" ht="14.25" customHeight="1">
      <c r="A35" s="31" t="n"/>
      <c r="D35" s="161" t="n"/>
      <c r="E35" s="16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</row>
    <row r="36" ht="14.25" customHeight="1">
      <c r="A36" s="31" t="n"/>
      <c r="D36" s="161" t="n"/>
      <c r="E36" s="16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</row>
    <row r="37" ht="14.25" customHeight="1">
      <c r="A37" s="31" t="n"/>
      <c r="D37" s="161" t="n"/>
      <c r="E37" s="16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</row>
    <row r="38" ht="14.25" customHeight="1">
      <c r="A38" s="31" t="n"/>
      <c r="D38" s="161" t="n"/>
      <c r="E38" s="16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</row>
    <row r="39" ht="14.25" customHeight="1">
      <c r="A39" s="31" t="n"/>
      <c r="D39" s="161" t="n"/>
      <c r="E39" s="16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</row>
    <row r="40" ht="14.25" customHeight="1">
      <c r="A40" s="31" t="n"/>
      <c r="D40" s="161" t="n"/>
      <c r="E40" s="16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</row>
    <row r="41" ht="14.25" customHeight="1">
      <c r="A41" s="31" t="n"/>
      <c r="D41" s="161" t="n"/>
      <c r="E41" s="16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</row>
    <row r="42" ht="14.25" customHeight="1">
      <c r="A42" s="31" t="n"/>
      <c r="D42" s="161" t="n"/>
      <c r="E42" s="16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</row>
    <row r="43" ht="14.25" customHeight="1">
      <c r="A43" s="31" t="n"/>
      <c r="D43" s="161" t="n"/>
      <c r="E43" s="16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</row>
    <row r="44" ht="14.25" customHeight="1">
      <c r="A44" s="31" t="n"/>
      <c r="D44" s="161" t="n"/>
      <c r="E44" s="16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</row>
    <row r="45" ht="14.25" customHeight="1">
      <c r="A45" s="31" t="n"/>
      <c r="D45" s="161" t="n"/>
      <c r="E45" s="16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4.25" customHeight="1">
      <c r="A46" s="31" t="n"/>
      <c r="D46" s="161" t="n"/>
      <c r="E46" s="16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4.25" customHeight="1">
      <c r="A47" s="31" t="n"/>
      <c r="D47" s="161" t="n"/>
      <c r="E47" s="161" t="n"/>
      <c r="P47" s="31" t="n"/>
      <c r="Q47" s="31" t="n"/>
      <c r="R47" s="31" t="n"/>
      <c r="S47" s="31" t="n"/>
      <c r="T47" s="31" t="n"/>
      <c r="U47" s="31" t="n"/>
      <c r="V47" s="31" t="n"/>
      <c r="W47" s="31" t="n"/>
      <c r="X47" s="31" t="n"/>
      <c r="Y47" s="31" t="n"/>
      <c r="Z47" s="31" t="n"/>
      <c r="AA47" s="31" t="n"/>
    </row>
    <row r="48" ht="14.25" customHeight="1">
      <c r="A48" s="31" t="n"/>
      <c r="D48" s="161" t="n"/>
      <c r="E48" s="161" t="n"/>
      <c r="P48" s="31" t="n"/>
      <c r="Q48" s="31" t="n"/>
      <c r="R48" s="31" t="n"/>
      <c r="S48" s="31" t="n"/>
      <c r="T48" s="31" t="n"/>
      <c r="U48" s="31" t="n"/>
      <c r="V48" s="31" t="n"/>
      <c r="W48" s="31" t="n"/>
      <c r="X48" s="31" t="n"/>
      <c r="Y48" s="31" t="n"/>
      <c r="Z48" s="31" t="n"/>
      <c r="AA48" s="31" t="n"/>
    </row>
    <row r="49" ht="14.25" customHeight="1">
      <c r="A49" s="31" t="n"/>
      <c r="D49" s="161" t="n"/>
      <c r="E49" s="161" t="n"/>
      <c r="P49" s="31" t="n"/>
      <c r="Q49" s="31" t="n"/>
      <c r="R49" s="31" t="n"/>
      <c r="S49" s="31" t="n"/>
      <c r="T49" s="31" t="n"/>
      <c r="U49" s="31" t="n"/>
      <c r="V49" s="31" t="n"/>
      <c r="W49" s="31" t="n"/>
      <c r="X49" s="31" t="n"/>
      <c r="Y49" s="31" t="n"/>
      <c r="Z49" s="31" t="n"/>
      <c r="AA49" s="31" t="n"/>
    </row>
    <row r="50" ht="14.25" customHeight="1">
      <c r="A50" s="31" t="n"/>
      <c r="D50" s="161" t="n"/>
      <c r="E50" s="161" t="n"/>
      <c r="P50" s="31" t="n"/>
      <c r="Q50" s="31" t="n"/>
      <c r="R50" s="31" t="n"/>
      <c r="S50" s="31" t="n"/>
      <c r="T50" s="31" t="n"/>
      <c r="U50" s="31" t="n"/>
      <c r="V50" s="31" t="n"/>
      <c r="W50" s="31" t="n"/>
      <c r="X50" s="31" t="n"/>
      <c r="Y50" s="31" t="n"/>
      <c r="Z50" s="31" t="n"/>
      <c r="AA50" s="31" t="n"/>
    </row>
    <row r="51" ht="14.25" customHeight="1">
      <c r="A51" s="31" t="n"/>
      <c r="D51" s="161" t="n"/>
      <c r="E51" s="161" t="n"/>
      <c r="P51" s="31" t="n"/>
      <c r="Q51" s="31" t="n"/>
      <c r="R51" s="31" t="n"/>
      <c r="S51" s="31" t="n"/>
      <c r="T51" s="31" t="n"/>
      <c r="U51" s="31" t="n"/>
      <c r="V51" s="31" t="n"/>
      <c r="W51" s="31" t="n"/>
      <c r="X51" s="31" t="n"/>
      <c r="Y51" s="31" t="n"/>
      <c r="Z51" s="31" t="n"/>
      <c r="AA51" s="31" t="n"/>
    </row>
    <row r="52" ht="14.25" customHeight="1">
      <c r="A52" s="31" t="n"/>
      <c r="D52" s="161" t="n"/>
      <c r="E52" s="161" t="n"/>
      <c r="P52" s="31" t="n"/>
      <c r="Q52" s="31" t="n"/>
      <c r="R52" s="31" t="n"/>
      <c r="S52" s="31" t="n"/>
      <c r="T52" s="31" t="n"/>
      <c r="U52" s="31" t="n"/>
      <c r="V52" s="31" t="n"/>
      <c r="W52" s="31" t="n"/>
      <c r="X52" s="31" t="n"/>
      <c r="Y52" s="31" t="n"/>
      <c r="Z52" s="31" t="n"/>
      <c r="AA52" s="31" t="n"/>
    </row>
    <row r="53" ht="14.25" customHeight="1">
      <c r="A53" s="31" t="n"/>
      <c r="D53" s="161" t="n"/>
      <c r="E53" s="161" t="n"/>
      <c r="P53" s="31" t="n"/>
      <c r="Q53" s="31" t="n"/>
      <c r="R53" s="31" t="n"/>
      <c r="S53" s="31" t="n"/>
      <c r="T53" s="31" t="n"/>
      <c r="U53" s="31" t="n"/>
      <c r="V53" s="31" t="n"/>
      <c r="W53" s="31" t="n"/>
      <c r="X53" s="31" t="n"/>
      <c r="Y53" s="31" t="n"/>
      <c r="Z53" s="31" t="n"/>
      <c r="AA53" s="31" t="n"/>
    </row>
    <row r="54" ht="14.25" customHeight="1">
      <c r="A54" s="31" t="n"/>
      <c r="D54" s="161" t="n"/>
      <c r="E54" s="161" t="n"/>
      <c r="P54" s="31" t="n"/>
      <c r="Q54" s="31" t="n"/>
      <c r="R54" s="31" t="n"/>
      <c r="S54" s="31" t="n"/>
      <c r="T54" s="31" t="n"/>
      <c r="U54" s="31" t="n"/>
      <c r="V54" s="31" t="n"/>
      <c r="W54" s="31" t="n"/>
      <c r="X54" s="31" t="n"/>
      <c r="Y54" s="31" t="n"/>
      <c r="Z54" s="31" t="n"/>
      <c r="AA54" s="31" t="n"/>
    </row>
    <row r="55" ht="14.25" customHeight="1">
      <c r="A55" s="31" t="n"/>
      <c r="D55" s="161" t="n"/>
      <c r="E55" s="161" t="n"/>
      <c r="P55" s="31" t="n"/>
      <c r="Q55" s="31" t="n"/>
      <c r="R55" s="31" t="n"/>
      <c r="S55" s="31" t="n"/>
      <c r="T55" s="31" t="n"/>
      <c r="U55" s="31" t="n"/>
      <c r="V55" s="31" t="n"/>
      <c r="W55" s="31" t="n"/>
      <c r="X55" s="31" t="n"/>
      <c r="Y55" s="31" t="n"/>
      <c r="Z55" s="31" t="n"/>
      <c r="AA55" s="31" t="n"/>
    </row>
    <row r="56" ht="14.25" customHeight="1">
      <c r="A56" s="31" t="n"/>
      <c r="D56" s="161" t="n"/>
      <c r="E56" s="161" t="n"/>
      <c r="P56" s="31" t="n"/>
      <c r="Q56" s="31" t="n"/>
      <c r="R56" s="31" t="n"/>
      <c r="S56" s="31" t="n"/>
      <c r="T56" s="31" t="n"/>
      <c r="U56" s="31" t="n"/>
      <c r="V56" s="31" t="n"/>
      <c r="W56" s="31" t="n"/>
      <c r="X56" s="31" t="n"/>
      <c r="Y56" s="31" t="n"/>
      <c r="Z56" s="31" t="n"/>
      <c r="AA56" s="31" t="n"/>
    </row>
    <row r="57" ht="14.25" customHeight="1">
      <c r="A57" s="31" t="n"/>
      <c r="D57" s="161" t="n"/>
      <c r="E57" s="161" t="n"/>
      <c r="P57" s="31" t="n"/>
      <c r="Q57" s="31" t="n"/>
      <c r="R57" s="31" t="n"/>
      <c r="S57" s="31" t="n"/>
      <c r="T57" s="31" t="n"/>
      <c r="U57" s="31" t="n"/>
      <c r="V57" s="31" t="n"/>
      <c r="W57" s="31" t="n"/>
      <c r="X57" s="31" t="n"/>
      <c r="Y57" s="31" t="n"/>
      <c r="Z57" s="31" t="n"/>
      <c r="AA57" s="31" t="n"/>
    </row>
    <row r="58" ht="14.25" customHeight="1">
      <c r="A58" s="31" t="n"/>
      <c r="D58" s="161" t="n"/>
      <c r="E58" s="161" t="n"/>
      <c r="P58" s="31" t="n"/>
      <c r="Q58" s="31" t="n"/>
      <c r="R58" s="31" t="n"/>
      <c r="S58" s="31" t="n"/>
      <c r="T58" s="31" t="n"/>
      <c r="U58" s="31" t="n"/>
      <c r="V58" s="31" t="n"/>
      <c r="W58" s="31" t="n"/>
      <c r="X58" s="31" t="n"/>
      <c r="Y58" s="31" t="n"/>
      <c r="Z58" s="31" t="n"/>
      <c r="AA58" s="31" t="n"/>
    </row>
    <row r="59" ht="14.25" customHeight="1">
      <c r="A59" s="31" t="n"/>
      <c r="D59" s="161" t="n"/>
      <c r="E59" s="161" t="n"/>
      <c r="P59" s="31" t="n"/>
      <c r="Q59" s="31" t="n"/>
      <c r="R59" s="31" t="n"/>
      <c r="S59" s="31" t="n"/>
      <c r="T59" s="31" t="n"/>
      <c r="U59" s="31" t="n"/>
      <c r="V59" s="31" t="n"/>
      <c r="W59" s="31" t="n"/>
      <c r="X59" s="31" t="n"/>
      <c r="Y59" s="31" t="n"/>
      <c r="Z59" s="31" t="n"/>
      <c r="AA59" s="31" t="n"/>
    </row>
    <row r="60" ht="14.25" customHeight="1">
      <c r="A60" s="31" t="n"/>
      <c r="D60" s="161" t="n"/>
      <c r="E60" s="161" t="n"/>
      <c r="P60" s="31" t="n"/>
      <c r="Q60" s="31" t="n"/>
      <c r="R60" s="31" t="n"/>
      <c r="S60" s="31" t="n"/>
      <c r="T60" s="31" t="n"/>
      <c r="U60" s="31" t="n"/>
      <c r="V60" s="31" t="n"/>
      <c r="W60" s="31" t="n"/>
      <c r="X60" s="31" t="n"/>
      <c r="Y60" s="31" t="n"/>
      <c r="Z60" s="31" t="n"/>
      <c r="AA60" s="31" t="n"/>
    </row>
    <row r="61" ht="14.25" customHeight="1">
      <c r="A61" s="31" t="n"/>
      <c r="D61" s="161" t="n"/>
      <c r="E61" s="161" t="n"/>
      <c r="P61" s="31" t="n"/>
      <c r="Q61" s="31" t="n"/>
      <c r="R61" s="31" t="n"/>
      <c r="S61" s="31" t="n"/>
      <c r="T61" s="31" t="n"/>
      <c r="U61" s="31" t="n"/>
      <c r="V61" s="31" t="n"/>
      <c r="W61" s="31" t="n"/>
      <c r="X61" s="31" t="n"/>
      <c r="Y61" s="31" t="n"/>
      <c r="Z61" s="31" t="n"/>
      <c r="AA61" s="31" t="n"/>
    </row>
    <row r="62" ht="14.25" customHeight="1">
      <c r="A62" s="31" t="n"/>
      <c r="D62" s="161" t="n"/>
      <c r="E62" s="161" t="n"/>
      <c r="P62" s="31" t="n"/>
      <c r="Q62" s="31" t="n"/>
      <c r="R62" s="31" t="n"/>
      <c r="S62" s="31" t="n"/>
      <c r="T62" s="31" t="n"/>
      <c r="U62" s="31" t="n"/>
      <c r="V62" s="31" t="n"/>
      <c r="W62" s="31" t="n"/>
      <c r="X62" s="31" t="n"/>
      <c r="Y62" s="31" t="n"/>
      <c r="Z62" s="31" t="n"/>
      <c r="AA62" s="31" t="n"/>
    </row>
    <row r="63" ht="14.25" customHeight="1">
      <c r="A63" s="31" t="n"/>
      <c r="D63" s="161" t="n"/>
      <c r="E63" s="161" t="n"/>
      <c r="P63" s="31" t="n"/>
      <c r="Q63" s="31" t="n"/>
      <c r="R63" s="31" t="n"/>
      <c r="S63" s="31" t="n"/>
      <c r="T63" s="31" t="n"/>
      <c r="U63" s="31" t="n"/>
      <c r="V63" s="31" t="n"/>
      <c r="W63" s="31" t="n"/>
      <c r="X63" s="31" t="n"/>
      <c r="Y63" s="31" t="n"/>
      <c r="Z63" s="31" t="n"/>
      <c r="AA63" s="31" t="n"/>
    </row>
    <row r="64" ht="14.25" customHeight="1">
      <c r="A64" s="31" t="n"/>
      <c r="D64" s="161" t="n"/>
      <c r="E64" s="161" t="n"/>
      <c r="P64" s="31" t="n"/>
      <c r="Q64" s="31" t="n"/>
      <c r="R64" s="31" t="n"/>
      <c r="S64" s="31" t="n"/>
      <c r="T64" s="31" t="n"/>
      <c r="U64" s="31" t="n"/>
      <c r="V64" s="31" t="n"/>
      <c r="W64" s="31" t="n"/>
      <c r="X64" s="31" t="n"/>
      <c r="Y64" s="31" t="n"/>
      <c r="Z64" s="31" t="n"/>
      <c r="AA64" s="31" t="n"/>
    </row>
    <row r="65" ht="14.25" customHeight="1">
      <c r="A65" s="31" t="n"/>
      <c r="D65" s="161" t="n"/>
      <c r="E65" s="161" t="n"/>
      <c r="P65" s="31" t="n"/>
      <c r="Q65" s="31" t="n"/>
      <c r="R65" s="31" t="n"/>
      <c r="S65" s="31" t="n"/>
      <c r="T65" s="31" t="n"/>
      <c r="U65" s="31" t="n"/>
      <c r="V65" s="31" t="n"/>
      <c r="W65" s="31" t="n"/>
      <c r="X65" s="31" t="n"/>
      <c r="Y65" s="31" t="n"/>
      <c r="Z65" s="31" t="n"/>
      <c r="AA65" s="31" t="n"/>
    </row>
    <row r="66" ht="14.25" customHeight="1">
      <c r="A66" s="31" t="n"/>
      <c r="D66" s="161" t="n"/>
      <c r="E66" s="161" t="n"/>
      <c r="P66" s="31" t="n"/>
      <c r="Q66" s="31" t="n"/>
      <c r="R66" s="31" t="n"/>
      <c r="S66" s="31" t="n"/>
      <c r="T66" s="31" t="n"/>
      <c r="U66" s="31" t="n"/>
      <c r="V66" s="31" t="n"/>
      <c r="W66" s="31" t="n"/>
      <c r="X66" s="31" t="n"/>
      <c r="Y66" s="31" t="n"/>
      <c r="Z66" s="31" t="n"/>
      <c r="AA66" s="31" t="n"/>
    </row>
    <row r="67" ht="14.25" customHeight="1">
      <c r="A67" s="31" t="n"/>
      <c r="D67" s="161" t="n"/>
      <c r="E67" s="161" t="n"/>
      <c r="P67" s="31" t="n"/>
      <c r="Q67" s="31" t="n"/>
      <c r="R67" s="31" t="n"/>
      <c r="S67" s="31" t="n"/>
      <c r="T67" s="31" t="n"/>
      <c r="U67" s="31" t="n"/>
      <c r="V67" s="31" t="n"/>
      <c r="W67" s="31" t="n"/>
      <c r="X67" s="31" t="n"/>
      <c r="Y67" s="31" t="n"/>
      <c r="Z67" s="31" t="n"/>
      <c r="AA67" s="31" t="n"/>
    </row>
    <row r="68" ht="14.25" customHeight="1">
      <c r="A68" s="31" t="n"/>
      <c r="D68" s="161" t="n"/>
      <c r="E68" s="161" t="n"/>
      <c r="P68" s="31" t="n"/>
      <c r="Q68" s="31" t="n"/>
      <c r="R68" s="31" t="n"/>
      <c r="S68" s="31" t="n"/>
      <c r="T68" s="31" t="n"/>
      <c r="U68" s="31" t="n"/>
      <c r="V68" s="31" t="n"/>
      <c r="W68" s="31" t="n"/>
      <c r="X68" s="31" t="n"/>
      <c r="Y68" s="31" t="n"/>
      <c r="Z68" s="31" t="n"/>
      <c r="AA68" s="31" t="n"/>
    </row>
    <row r="69" ht="14.25" customHeight="1">
      <c r="A69" s="31" t="n"/>
      <c r="D69" s="161" t="n"/>
      <c r="E69" s="161" t="n"/>
      <c r="P69" s="31" t="n"/>
      <c r="Q69" s="31" t="n"/>
      <c r="R69" s="31" t="n"/>
      <c r="S69" s="31" t="n"/>
      <c r="T69" s="31" t="n"/>
      <c r="U69" s="31" t="n"/>
      <c r="V69" s="31" t="n"/>
      <c r="W69" s="31" t="n"/>
      <c r="X69" s="31" t="n"/>
      <c r="Y69" s="31" t="n"/>
      <c r="Z69" s="31" t="n"/>
      <c r="AA69" s="31" t="n"/>
    </row>
    <row r="70" ht="14.25" customHeight="1">
      <c r="A70" s="31" t="n"/>
      <c r="D70" s="161" t="n"/>
      <c r="E70" s="161" t="n"/>
      <c r="P70" s="31" t="n"/>
      <c r="Q70" s="31" t="n"/>
      <c r="R70" s="31" t="n"/>
      <c r="S70" s="31" t="n"/>
      <c r="T70" s="31" t="n"/>
      <c r="U70" s="31" t="n"/>
      <c r="V70" s="31" t="n"/>
      <c r="W70" s="31" t="n"/>
      <c r="X70" s="31" t="n"/>
      <c r="Y70" s="31" t="n"/>
      <c r="Z70" s="31" t="n"/>
      <c r="AA70" s="31" t="n"/>
    </row>
    <row r="71" ht="14.25" customHeight="1">
      <c r="A71" s="31" t="n"/>
      <c r="D71" s="161" t="n"/>
      <c r="E71" s="161" t="n"/>
      <c r="P71" s="31" t="n"/>
      <c r="Q71" s="31" t="n"/>
      <c r="R71" s="31" t="n"/>
      <c r="S71" s="31" t="n"/>
      <c r="T71" s="31" t="n"/>
      <c r="U71" s="31" t="n"/>
      <c r="V71" s="31" t="n"/>
      <c r="W71" s="31" t="n"/>
      <c r="X71" s="31" t="n"/>
      <c r="Y71" s="31" t="n"/>
      <c r="Z71" s="31" t="n"/>
      <c r="AA71" s="31" t="n"/>
    </row>
    <row r="72" ht="14.25" customHeight="1">
      <c r="A72" s="31" t="n"/>
      <c r="D72" s="161" t="n"/>
      <c r="E72" s="161" t="n"/>
      <c r="P72" s="31" t="n"/>
      <c r="Q72" s="31" t="n"/>
      <c r="R72" s="31" t="n"/>
      <c r="S72" s="31" t="n"/>
      <c r="T72" s="31" t="n"/>
      <c r="U72" s="31" t="n"/>
      <c r="V72" s="31" t="n"/>
      <c r="W72" s="31" t="n"/>
      <c r="X72" s="31" t="n"/>
      <c r="Y72" s="31" t="n"/>
      <c r="Z72" s="31" t="n"/>
      <c r="AA72" s="31" t="n"/>
    </row>
    <row r="73" ht="14.25" customHeight="1">
      <c r="A73" s="31" t="n"/>
      <c r="D73" s="161" t="n"/>
      <c r="E73" s="161" t="n"/>
      <c r="P73" s="31" t="n"/>
      <c r="Q73" s="31" t="n"/>
      <c r="R73" s="31" t="n"/>
      <c r="S73" s="31" t="n"/>
      <c r="T73" s="31" t="n"/>
      <c r="U73" s="31" t="n"/>
      <c r="V73" s="31" t="n"/>
      <c r="W73" s="31" t="n"/>
      <c r="X73" s="31" t="n"/>
      <c r="Y73" s="31" t="n"/>
      <c r="Z73" s="31" t="n"/>
      <c r="AA73" s="31" t="n"/>
    </row>
    <row r="74" ht="14.25" customHeight="1">
      <c r="A74" s="31" t="n"/>
      <c r="D74" s="161" t="n"/>
      <c r="E74" s="161" t="n"/>
      <c r="P74" s="31" t="n"/>
      <c r="Q74" s="31" t="n"/>
      <c r="R74" s="31" t="n"/>
      <c r="S74" s="31" t="n"/>
      <c r="T74" s="31" t="n"/>
      <c r="U74" s="31" t="n"/>
      <c r="V74" s="31" t="n"/>
      <c r="W74" s="31" t="n"/>
      <c r="X74" s="31" t="n"/>
      <c r="Y74" s="31" t="n"/>
      <c r="Z74" s="31" t="n"/>
      <c r="AA74" s="31" t="n"/>
    </row>
    <row r="75" ht="14.25" customHeight="1">
      <c r="A75" s="31" t="n"/>
      <c r="D75" s="161" t="n"/>
      <c r="E75" s="161" t="n"/>
      <c r="P75" s="31" t="n"/>
      <c r="Q75" s="31" t="n"/>
      <c r="R75" s="31" t="n"/>
      <c r="S75" s="31" t="n"/>
      <c r="T75" s="31" t="n"/>
      <c r="U75" s="31" t="n"/>
      <c r="V75" s="31" t="n"/>
      <c r="W75" s="31" t="n"/>
      <c r="X75" s="31" t="n"/>
      <c r="Y75" s="31" t="n"/>
      <c r="Z75" s="31" t="n"/>
      <c r="AA75" s="31" t="n"/>
    </row>
    <row r="76" ht="14.25" customHeight="1">
      <c r="A76" s="31" t="n"/>
      <c r="D76" s="161" t="n"/>
      <c r="E76" s="161" t="n"/>
      <c r="P76" s="31" t="n"/>
      <c r="Q76" s="31" t="n"/>
      <c r="R76" s="31" t="n"/>
      <c r="S76" s="31" t="n"/>
      <c r="T76" s="31" t="n"/>
      <c r="U76" s="31" t="n"/>
      <c r="V76" s="31" t="n"/>
      <c r="W76" s="31" t="n"/>
      <c r="X76" s="31" t="n"/>
      <c r="Y76" s="31" t="n"/>
      <c r="Z76" s="31" t="n"/>
      <c r="AA76" s="31" t="n"/>
    </row>
    <row r="77" ht="14.25" customHeight="1">
      <c r="A77" s="31" t="n"/>
      <c r="D77" s="161" t="n"/>
      <c r="E77" s="161" t="n"/>
      <c r="P77" s="31" t="n"/>
      <c r="Q77" s="31" t="n"/>
      <c r="R77" s="31" t="n"/>
      <c r="S77" s="31" t="n"/>
      <c r="T77" s="31" t="n"/>
      <c r="U77" s="31" t="n"/>
      <c r="V77" s="31" t="n"/>
      <c r="W77" s="31" t="n"/>
      <c r="X77" s="31" t="n"/>
      <c r="Y77" s="31" t="n"/>
      <c r="Z77" s="31" t="n"/>
      <c r="AA77" s="31" t="n"/>
    </row>
    <row r="78" ht="14.25" customHeight="1">
      <c r="A78" s="31" t="n"/>
      <c r="D78" s="161" t="n"/>
      <c r="E78" s="161" t="n"/>
      <c r="P78" s="31" t="n"/>
      <c r="Q78" s="31" t="n"/>
      <c r="R78" s="31" t="n"/>
      <c r="S78" s="31" t="n"/>
      <c r="T78" s="31" t="n"/>
      <c r="U78" s="31" t="n"/>
      <c r="V78" s="31" t="n"/>
      <c r="W78" s="31" t="n"/>
      <c r="X78" s="31" t="n"/>
      <c r="Y78" s="31" t="n"/>
      <c r="Z78" s="31" t="n"/>
      <c r="AA78" s="31" t="n"/>
    </row>
    <row r="79" ht="14.25" customHeight="1">
      <c r="A79" s="31" t="n"/>
      <c r="D79" s="161" t="n"/>
      <c r="E79" s="161" t="n"/>
      <c r="P79" s="31" t="n"/>
      <c r="Q79" s="31" t="n"/>
      <c r="R79" s="31" t="n"/>
      <c r="S79" s="31" t="n"/>
      <c r="T79" s="31" t="n"/>
      <c r="U79" s="31" t="n"/>
      <c r="V79" s="31" t="n"/>
      <c r="W79" s="31" t="n"/>
      <c r="X79" s="31" t="n"/>
      <c r="Y79" s="31" t="n"/>
      <c r="Z79" s="31" t="n"/>
      <c r="AA79" s="31" t="n"/>
    </row>
    <row r="80" ht="14.25" customHeight="1">
      <c r="A80" s="31" t="n"/>
      <c r="D80" s="161" t="n"/>
      <c r="E80" s="161" t="n"/>
      <c r="P80" s="31" t="n"/>
      <c r="Q80" s="31" t="n"/>
      <c r="R80" s="31" t="n"/>
      <c r="S80" s="31" t="n"/>
      <c r="T80" s="31" t="n"/>
      <c r="U80" s="31" t="n"/>
      <c r="V80" s="31" t="n"/>
      <c r="W80" s="31" t="n"/>
      <c r="X80" s="31" t="n"/>
      <c r="Y80" s="31" t="n"/>
      <c r="Z80" s="31" t="n"/>
      <c r="AA80" s="31" t="n"/>
    </row>
    <row r="81" ht="14.25" customHeight="1">
      <c r="A81" s="31" t="n"/>
      <c r="D81" s="161" t="n"/>
      <c r="E81" s="161" t="n"/>
      <c r="P81" s="31" t="n"/>
      <c r="Q81" s="31" t="n"/>
      <c r="R81" s="31" t="n"/>
      <c r="S81" s="31" t="n"/>
      <c r="T81" s="31" t="n"/>
      <c r="U81" s="31" t="n"/>
      <c r="V81" s="31" t="n"/>
      <c r="W81" s="31" t="n"/>
      <c r="X81" s="31" t="n"/>
      <c r="Y81" s="31" t="n"/>
      <c r="Z81" s="31" t="n"/>
      <c r="AA81" s="31" t="n"/>
    </row>
    <row r="82" ht="14.25" customHeight="1">
      <c r="A82" s="31" t="n"/>
      <c r="D82" s="161" t="n"/>
      <c r="E82" s="161" t="n"/>
      <c r="P82" s="31" t="n"/>
      <c r="Q82" s="31" t="n"/>
      <c r="R82" s="31" t="n"/>
      <c r="S82" s="31" t="n"/>
      <c r="T82" s="31" t="n"/>
      <c r="U82" s="31" t="n"/>
      <c r="V82" s="31" t="n"/>
      <c r="W82" s="31" t="n"/>
      <c r="X82" s="31" t="n"/>
      <c r="Y82" s="31" t="n"/>
      <c r="Z82" s="31" t="n"/>
      <c r="AA82" s="31" t="n"/>
    </row>
    <row r="83" ht="14.25" customHeight="1">
      <c r="A83" s="31" t="n"/>
      <c r="D83" s="161" t="n"/>
      <c r="E83" s="161" t="n"/>
      <c r="P83" s="31" t="n"/>
      <c r="Q83" s="31" t="n"/>
      <c r="R83" s="31" t="n"/>
      <c r="S83" s="31" t="n"/>
      <c r="T83" s="31" t="n"/>
      <c r="U83" s="31" t="n"/>
      <c r="V83" s="31" t="n"/>
      <c r="W83" s="31" t="n"/>
      <c r="X83" s="31" t="n"/>
      <c r="Y83" s="31" t="n"/>
      <c r="Z83" s="31" t="n"/>
      <c r="AA83" s="31" t="n"/>
    </row>
    <row r="84" ht="14.25" customHeight="1">
      <c r="A84" s="31" t="n"/>
      <c r="D84" s="161" t="n"/>
      <c r="E84" s="161" t="n"/>
      <c r="P84" s="31" t="n"/>
      <c r="Q84" s="31" t="n"/>
      <c r="R84" s="31" t="n"/>
      <c r="S84" s="31" t="n"/>
      <c r="T84" s="31" t="n"/>
      <c r="U84" s="31" t="n"/>
      <c r="V84" s="31" t="n"/>
      <c r="W84" s="31" t="n"/>
      <c r="X84" s="31" t="n"/>
      <c r="Y84" s="31" t="n"/>
      <c r="Z84" s="31" t="n"/>
      <c r="AA84" s="31" t="n"/>
    </row>
    <row r="85" ht="14.25" customHeight="1">
      <c r="A85" s="31" t="n"/>
      <c r="D85" s="161" t="n"/>
      <c r="E85" s="161" t="n"/>
      <c r="P85" s="31" t="n"/>
      <c r="Q85" s="31" t="n"/>
      <c r="R85" s="31" t="n"/>
      <c r="S85" s="31" t="n"/>
      <c r="T85" s="31" t="n"/>
      <c r="U85" s="31" t="n"/>
      <c r="V85" s="31" t="n"/>
      <c r="W85" s="31" t="n"/>
      <c r="X85" s="31" t="n"/>
      <c r="Y85" s="31" t="n"/>
      <c r="Z85" s="31" t="n"/>
      <c r="AA85" s="31" t="n"/>
    </row>
    <row r="86" ht="14.25" customHeight="1">
      <c r="A86" s="31" t="n"/>
      <c r="D86" s="161" t="n"/>
      <c r="E86" s="161" t="n"/>
      <c r="P86" s="31" t="n"/>
      <c r="Q86" s="31" t="n"/>
      <c r="R86" s="31" t="n"/>
      <c r="S86" s="31" t="n"/>
      <c r="T86" s="31" t="n"/>
      <c r="U86" s="31" t="n"/>
      <c r="V86" s="31" t="n"/>
      <c r="W86" s="31" t="n"/>
      <c r="X86" s="31" t="n"/>
      <c r="Y86" s="31" t="n"/>
      <c r="Z86" s="31" t="n"/>
      <c r="AA86" s="31" t="n"/>
    </row>
    <row r="87" ht="14.25" customHeight="1">
      <c r="A87" s="31" t="n"/>
      <c r="D87" s="161" t="n"/>
      <c r="E87" s="161" t="n"/>
      <c r="P87" s="31" t="n"/>
      <c r="Q87" s="31" t="n"/>
      <c r="R87" s="31" t="n"/>
      <c r="S87" s="31" t="n"/>
      <c r="T87" s="31" t="n"/>
      <c r="U87" s="31" t="n"/>
      <c r="V87" s="31" t="n"/>
      <c r="W87" s="31" t="n"/>
      <c r="X87" s="31" t="n"/>
      <c r="Y87" s="31" t="n"/>
      <c r="Z87" s="31" t="n"/>
      <c r="AA87" s="31" t="n"/>
    </row>
    <row r="88" ht="14.25" customHeight="1">
      <c r="A88" s="31" t="n"/>
      <c r="D88" s="161" t="n"/>
      <c r="E88" s="161" t="n"/>
      <c r="P88" s="31" t="n"/>
      <c r="Q88" s="31" t="n"/>
      <c r="R88" s="31" t="n"/>
      <c r="S88" s="31" t="n"/>
      <c r="T88" s="31" t="n"/>
      <c r="U88" s="31" t="n"/>
      <c r="V88" s="31" t="n"/>
      <c r="W88" s="31" t="n"/>
      <c r="X88" s="31" t="n"/>
      <c r="Y88" s="31" t="n"/>
      <c r="Z88" s="31" t="n"/>
      <c r="AA88" s="31" t="n"/>
    </row>
    <row r="89" ht="14.25" customHeight="1">
      <c r="A89" s="31" t="n"/>
      <c r="D89" s="161" t="n"/>
      <c r="E89" s="161" t="n"/>
      <c r="P89" s="31" t="n"/>
      <c r="Q89" s="31" t="n"/>
      <c r="R89" s="31" t="n"/>
      <c r="S89" s="31" t="n"/>
      <c r="T89" s="31" t="n"/>
      <c r="U89" s="31" t="n"/>
      <c r="V89" s="31" t="n"/>
      <c r="W89" s="31" t="n"/>
      <c r="X89" s="31" t="n"/>
      <c r="Y89" s="31" t="n"/>
      <c r="Z89" s="31" t="n"/>
      <c r="AA89" s="31" t="n"/>
    </row>
    <row r="90" ht="14.25" customHeight="1">
      <c r="A90" s="31" t="n"/>
      <c r="D90" s="161" t="n"/>
      <c r="E90" s="161" t="n"/>
      <c r="P90" s="31" t="n"/>
      <c r="Q90" s="31" t="n"/>
      <c r="R90" s="31" t="n"/>
      <c r="S90" s="31" t="n"/>
      <c r="T90" s="31" t="n"/>
      <c r="U90" s="31" t="n"/>
      <c r="V90" s="31" t="n"/>
      <c r="W90" s="31" t="n"/>
      <c r="X90" s="31" t="n"/>
      <c r="Y90" s="31" t="n"/>
      <c r="Z90" s="31" t="n"/>
      <c r="AA90" s="31" t="n"/>
    </row>
    <row r="91" ht="14.25" customHeight="1">
      <c r="A91" s="31" t="n"/>
      <c r="D91" s="161" t="n"/>
      <c r="E91" s="161" t="n"/>
      <c r="P91" s="31" t="n"/>
      <c r="Q91" s="31" t="n"/>
      <c r="R91" s="31" t="n"/>
      <c r="S91" s="31" t="n"/>
      <c r="T91" s="31" t="n"/>
      <c r="U91" s="31" t="n"/>
      <c r="V91" s="31" t="n"/>
      <c r="W91" s="31" t="n"/>
      <c r="X91" s="31" t="n"/>
      <c r="Y91" s="31" t="n"/>
      <c r="Z91" s="31" t="n"/>
      <c r="AA91" s="31" t="n"/>
    </row>
    <row r="92" ht="14.25" customHeight="1">
      <c r="A92" s="31" t="n"/>
      <c r="D92" s="161" t="n"/>
      <c r="E92" s="161" t="n"/>
      <c r="P92" s="31" t="n"/>
      <c r="Q92" s="31" t="n"/>
      <c r="R92" s="31" t="n"/>
      <c r="S92" s="31" t="n"/>
      <c r="T92" s="31" t="n"/>
      <c r="U92" s="31" t="n"/>
      <c r="V92" s="31" t="n"/>
      <c r="W92" s="31" t="n"/>
      <c r="X92" s="31" t="n"/>
      <c r="Y92" s="31" t="n"/>
      <c r="Z92" s="31" t="n"/>
      <c r="AA92" s="31" t="n"/>
    </row>
    <row r="93" ht="14.25" customHeight="1">
      <c r="A93" s="31" t="n"/>
      <c r="D93" s="161" t="n"/>
      <c r="E93" s="161" t="n"/>
      <c r="P93" s="31" t="n"/>
      <c r="Q93" s="31" t="n"/>
      <c r="R93" s="31" t="n"/>
      <c r="S93" s="31" t="n"/>
      <c r="T93" s="31" t="n"/>
      <c r="U93" s="31" t="n"/>
      <c r="V93" s="31" t="n"/>
      <c r="W93" s="31" t="n"/>
      <c r="X93" s="31" t="n"/>
      <c r="Y93" s="31" t="n"/>
      <c r="Z93" s="31" t="n"/>
      <c r="AA93" s="31" t="n"/>
    </row>
    <row r="94" ht="14.25" customHeight="1">
      <c r="A94" s="31" t="n"/>
      <c r="D94" s="161" t="n"/>
      <c r="E94" s="161" t="n"/>
      <c r="P94" s="31" t="n"/>
      <c r="Q94" s="31" t="n"/>
      <c r="R94" s="31" t="n"/>
      <c r="S94" s="31" t="n"/>
      <c r="T94" s="31" t="n"/>
      <c r="U94" s="31" t="n"/>
      <c r="V94" s="31" t="n"/>
      <c r="W94" s="31" t="n"/>
      <c r="X94" s="31" t="n"/>
      <c r="Y94" s="31" t="n"/>
      <c r="Z94" s="31" t="n"/>
      <c r="AA94" s="31" t="n"/>
    </row>
    <row r="95" ht="14.25" customHeight="1">
      <c r="A95" s="31" t="n"/>
      <c r="D95" s="161" t="n"/>
      <c r="E95" s="161" t="n"/>
      <c r="P95" s="31" t="n"/>
      <c r="Q95" s="31" t="n"/>
      <c r="R95" s="31" t="n"/>
      <c r="S95" s="31" t="n"/>
      <c r="T95" s="31" t="n"/>
      <c r="U95" s="31" t="n"/>
      <c r="V95" s="31" t="n"/>
      <c r="W95" s="31" t="n"/>
      <c r="X95" s="31" t="n"/>
      <c r="Y95" s="31" t="n"/>
      <c r="Z95" s="31" t="n"/>
      <c r="AA95" s="31" t="n"/>
    </row>
    <row r="96" ht="14.25" customHeight="1">
      <c r="A96" s="31" t="n"/>
      <c r="D96" s="161" t="n"/>
      <c r="E96" s="161" t="n"/>
      <c r="P96" s="31" t="n"/>
      <c r="Q96" s="31" t="n"/>
      <c r="R96" s="31" t="n"/>
      <c r="S96" s="31" t="n"/>
      <c r="T96" s="31" t="n"/>
      <c r="U96" s="31" t="n"/>
      <c r="V96" s="31" t="n"/>
      <c r="W96" s="31" t="n"/>
      <c r="X96" s="31" t="n"/>
      <c r="Y96" s="31" t="n"/>
      <c r="Z96" s="31" t="n"/>
      <c r="AA96" s="31" t="n"/>
    </row>
    <row r="97" ht="14.25" customHeight="1">
      <c r="A97" s="31" t="n"/>
      <c r="D97" s="161" t="n"/>
      <c r="E97" s="161" t="n"/>
      <c r="P97" s="31" t="n"/>
      <c r="Q97" s="31" t="n"/>
      <c r="R97" s="31" t="n"/>
      <c r="S97" s="31" t="n"/>
      <c r="T97" s="31" t="n"/>
      <c r="U97" s="31" t="n"/>
      <c r="V97" s="31" t="n"/>
      <c r="W97" s="31" t="n"/>
      <c r="X97" s="31" t="n"/>
      <c r="Y97" s="31" t="n"/>
      <c r="Z97" s="31" t="n"/>
      <c r="AA97" s="31" t="n"/>
    </row>
    <row r="98" ht="14.25" customHeight="1">
      <c r="A98" s="31" t="n"/>
      <c r="D98" s="161" t="n"/>
      <c r="E98" s="161" t="n"/>
      <c r="P98" s="31" t="n"/>
      <c r="Q98" s="31" t="n"/>
      <c r="R98" s="31" t="n"/>
      <c r="S98" s="31" t="n"/>
      <c r="T98" s="31" t="n"/>
      <c r="U98" s="31" t="n"/>
      <c r="V98" s="31" t="n"/>
      <c r="W98" s="31" t="n"/>
      <c r="X98" s="31" t="n"/>
      <c r="Y98" s="31" t="n"/>
      <c r="Z98" s="31" t="n"/>
      <c r="AA98" s="31" t="n"/>
    </row>
    <row r="99" ht="14.25" customHeight="1">
      <c r="A99" s="31" t="n"/>
      <c r="D99" s="161" t="n"/>
      <c r="E99" s="161" t="n"/>
      <c r="P99" s="31" t="n"/>
      <c r="Q99" s="31" t="n"/>
      <c r="R99" s="31" t="n"/>
      <c r="S99" s="31" t="n"/>
      <c r="T99" s="31" t="n"/>
      <c r="U99" s="31" t="n"/>
      <c r="V99" s="31" t="n"/>
      <c r="W99" s="31" t="n"/>
      <c r="X99" s="31" t="n"/>
      <c r="Y99" s="31" t="n"/>
      <c r="Z99" s="31" t="n"/>
      <c r="AA99" s="31" t="n"/>
    </row>
    <row r="100" ht="14.25" customHeight="1">
      <c r="A100" s="31" t="n"/>
      <c r="D100" s="161" t="n"/>
      <c r="E100" s="161" t="n"/>
      <c r="P100" s="31" t="n"/>
      <c r="Q100" s="31" t="n"/>
      <c r="R100" s="31" t="n"/>
      <c r="S100" s="31" t="n"/>
      <c r="T100" s="31" t="n"/>
      <c r="U100" s="31" t="n"/>
      <c r="V100" s="31" t="n"/>
      <c r="W100" s="31" t="n"/>
      <c r="X100" s="31" t="n"/>
      <c r="Y100" s="31" t="n"/>
      <c r="Z100" s="31" t="n"/>
      <c r="AA100" s="31" t="n"/>
    </row>
    <row r="101" ht="14.25" customHeight="1">
      <c r="A101" s="31" t="n"/>
      <c r="D101" s="161" t="n"/>
      <c r="E101" s="161" t="n"/>
      <c r="P101" s="31" t="n"/>
      <c r="Q101" s="31" t="n"/>
      <c r="R101" s="31" t="n"/>
      <c r="S101" s="31" t="n"/>
      <c r="T101" s="31" t="n"/>
      <c r="U101" s="31" t="n"/>
      <c r="V101" s="31" t="n"/>
      <c r="W101" s="31" t="n"/>
      <c r="X101" s="31" t="n"/>
      <c r="Y101" s="31" t="n"/>
      <c r="Z101" s="31" t="n"/>
      <c r="AA101" s="31" t="n"/>
    </row>
    <row r="102" ht="14.25" customHeight="1">
      <c r="A102" s="31" t="n"/>
      <c r="D102" s="161" t="n"/>
      <c r="E102" s="161" t="n"/>
      <c r="P102" s="31" t="n"/>
      <c r="Q102" s="31" t="n"/>
      <c r="R102" s="31" t="n"/>
      <c r="S102" s="31" t="n"/>
      <c r="T102" s="31" t="n"/>
      <c r="U102" s="31" t="n"/>
      <c r="V102" s="31" t="n"/>
      <c r="W102" s="31" t="n"/>
      <c r="X102" s="31" t="n"/>
      <c r="Y102" s="31" t="n"/>
      <c r="Z102" s="31" t="n"/>
      <c r="AA102" s="31" t="n"/>
    </row>
    <row r="103" ht="14.25" customHeight="1">
      <c r="A103" s="31" t="n"/>
      <c r="D103" s="161" t="n"/>
      <c r="E103" s="161" t="n"/>
      <c r="P103" s="31" t="n"/>
      <c r="Q103" s="31" t="n"/>
      <c r="R103" s="31" t="n"/>
      <c r="S103" s="31" t="n"/>
      <c r="T103" s="31" t="n"/>
      <c r="U103" s="31" t="n"/>
      <c r="V103" s="31" t="n"/>
      <c r="W103" s="31" t="n"/>
      <c r="X103" s="31" t="n"/>
      <c r="Y103" s="31" t="n"/>
      <c r="Z103" s="31" t="n"/>
      <c r="AA103" s="31" t="n"/>
    </row>
    <row r="104" ht="14.25" customHeight="1">
      <c r="A104" s="31" t="n"/>
      <c r="D104" s="161" t="n"/>
      <c r="E104" s="161" t="n"/>
      <c r="P104" s="31" t="n"/>
      <c r="Q104" s="31" t="n"/>
      <c r="R104" s="31" t="n"/>
      <c r="S104" s="31" t="n"/>
      <c r="T104" s="31" t="n"/>
      <c r="U104" s="31" t="n"/>
      <c r="V104" s="31" t="n"/>
      <c r="W104" s="31" t="n"/>
      <c r="X104" s="31" t="n"/>
      <c r="Y104" s="31" t="n"/>
      <c r="Z104" s="31" t="n"/>
      <c r="AA104" s="31" t="n"/>
    </row>
    <row r="105" ht="14.25" customHeight="1">
      <c r="A105" s="31" t="n"/>
      <c r="D105" s="161" t="n"/>
      <c r="E105" s="161" t="n"/>
      <c r="P105" s="31" t="n"/>
      <c r="Q105" s="31" t="n"/>
      <c r="R105" s="31" t="n"/>
      <c r="S105" s="31" t="n"/>
      <c r="T105" s="31" t="n"/>
      <c r="U105" s="31" t="n"/>
      <c r="V105" s="31" t="n"/>
      <c r="W105" s="31" t="n"/>
      <c r="X105" s="31" t="n"/>
      <c r="Y105" s="31" t="n"/>
      <c r="Z105" s="31" t="n"/>
      <c r="AA105" s="31" t="n"/>
    </row>
    <row r="106" ht="14.25" customHeight="1">
      <c r="A106" s="31" t="n"/>
      <c r="D106" s="161" t="n"/>
      <c r="E106" s="161" t="n"/>
      <c r="P106" s="31" t="n"/>
      <c r="Q106" s="31" t="n"/>
      <c r="R106" s="31" t="n"/>
      <c r="S106" s="31" t="n"/>
      <c r="T106" s="31" t="n"/>
      <c r="U106" s="31" t="n"/>
      <c r="V106" s="31" t="n"/>
      <c r="W106" s="31" t="n"/>
      <c r="X106" s="31" t="n"/>
      <c r="Y106" s="31" t="n"/>
      <c r="Z106" s="31" t="n"/>
      <c r="AA106" s="31" t="n"/>
    </row>
    <row r="107" ht="14.25" customHeight="1">
      <c r="A107" s="31" t="n"/>
      <c r="D107" s="161" t="n"/>
      <c r="E107" s="161" t="n"/>
      <c r="P107" s="31" t="n"/>
      <c r="Q107" s="31" t="n"/>
      <c r="R107" s="31" t="n"/>
      <c r="S107" s="31" t="n"/>
      <c r="T107" s="31" t="n"/>
      <c r="U107" s="31" t="n"/>
      <c r="V107" s="31" t="n"/>
      <c r="W107" s="31" t="n"/>
      <c r="X107" s="31" t="n"/>
      <c r="Y107" s="31" t="n"/>
      <c r="Z107" s="31" t="n"/>
      <c r="AA107" s="31" t="n"/>
    </row>
    <row r="108" ht="14.25" customHeight="1">
      <c r="A108" s="31" t="n"/>
      <c r="D108" s="161" t="n"/>
      <c r="E108" s="161" t="n"/>
      <c r="P108" s="31" t="n"/>
      <c r="Q108" s="31" t="n"/>
      <c r="R108" s="31" t="n"/>
      <c r="S108" s="31" t="n"/>
      <c r="T108" s="31" t="n"/>
      <c r="U108" s="31" t="n"/>
      <c r="V108" s="31" t="n"/>
      <c r="W108" s="31" t="n"/>
      <c r="X108" s="31" t="n"/>
      <c r="Y108" s="31" t="n"/>
      <c r="Z108" s="31" t="n"/>
      <c r="AA108" s="31" t="n"/>
    </row>
    <row r="109" ht="14.25" customHeight="1">
      <c r="A109" s="31" t="n"/>
      <c r="D109" s="161" t="n"/>
      <c r="E109" s="161" t="n"/>
      <c r="P109" s="31" t="n"/>
      <c r="Q109" s="31" t="n"/>
      <c r="R109" s="31" t="n"/>
      <c r="S109" s="31" t="n"/>
      <c r="T109" s="31" t="n"/>
      <c r="U109" s="31" t="n"/>
      <c r="V109" s="31" t="n"/>
      <c r="W109" s="31" t="n"/>
      <c r="X109" s="31" t="n"/>
      <c r="Y109" s="31" t="n"/>
      <c r="Z109" s="31" t="n"/>
      <c r="AA109" s="31" t="n"/>
    </row>
    <row r="110" ht="14.25" customHeight="1">
      <c r="A110" s="31" t="n"/>
      <c r="D110" s="161" t="n"/>
      <c r="E110" s="161" t="n"/>
      <c r="P110" s="31" t="n"/>
      <c r="Q110" s="31" t="n"/>
      <c r="R110" s="31" t="n"/>
      <c r="S110" s="31" t="n"/>
      <c r="T110" s="31" t="n"/>
      <c r="U110" s="31" t="n"/>
      <c r="V110" s="31" t="n"/>
      <c r="W110" s="31" t="n"/>
      <c r="X110" s="31" t="n"/>
      <c r="Y110" s="31" t="n"/>
      <c r="Z110" s="31" t="n"/>
      <c r="AA110" s="31" t="n"/>
    </row>
    <row r="111" ht="14.25" customHeight="1">
      <c r="A111" s="31" t="n"/>
      <c r="D111" s="161" t="n"/>
      <c r="E111" s="161" t="n"/>
      <c r="P111" s="31" t="n"/>
      <c r="Q111" s="31" t="n"/>
      <c r="R111" s="31" t="n"/>
      <c r="S111" s="31" t="n"/>
      <c r="T111" s="31" t="n"/>
      <c r="U111" s="31" t="n"/>
      <c r="V111" s="31" t="n"/>
      <c r="W111" s="31" t="n"/>
      <c r="X111" s="31" t="n"/>
      <c r="Y111" s="31" t="n"/>
      <c r="Z111" s="31" t="n"/>
      <c r="AA111" s="31" t="n"/>
    </row>
    <row r="112" ht="14.25" customHeight="1">
      <c r="A112" s="31" t="n"/>
      <c r="D112" s="161" t="n"/>
      <c r="E112" s="161" t="n"/>
      <c r="P112" s="31" t="n"/>
      <c r="Q112" s="31" t="n"/>
      <c r="R112" s="31" t="n"/>
      <c r="S112" s="31" t="n"/>
      <c r="T112" s="31" t="n"/>
      <c r="U112" s="31" t="n"/>
      <c r="V112" s="31" t="n"/>
      <c r="W112" s="31" t="n"/>
      <c r="X112" s="31" t="n"/>
      <c r="Y112" s="31" t="n"/>
      <c r="Z112" s="31" t="n"/>
      <c r="AA112" s="31" t="n"/>
    </row>
    <row r="113" ht="14.25" customHeight="1">
      <c r="A113" s="31" t="n"/>
      <c r="D113" s="161" t="n"/>
      <c r="E113" s="161" t="n"/>
      <c r="P113" s="31" t="n"/>
      <c r="Q113" s="31" t="n"/>
      <c r="R113" s="31" t="n"/>
      <c r="S113" s="31" t="n"/>
      <c r="T113" s="31" t="n"/>
      <c r="U113" s="31" t="n"/>
      <c r="V113" s="31" t="n"/>
      <c r="W113" s="31" t="n"/>
      <c r="X113" s="31" t="n"/>
      <c r="Y113" s="31" t="n"/>
      <c r="Z113" s="31" t="n"/>
      <c r="AA113" s="31" t="n"/>
    </row>
    <row r="114" ht="14.25" customHeight="1">
      <c r="A114" s="31" t="n"/>
      <c r="D114" s="161" t="n"/>
      <c r="E114" s="161" t="n"/>
      <c r="P114" s="31" t="n"/>
      <c r="Q114" s="31" t="n"/>
      <c r="R114" s="31" t="n"/>
      <c r="S114" s="31" t="n"/>
      <c r="T114" s="31" t="n"/>
      <c r="U114" s="31" t="n"/>
      <c r="V114" s="31" t="n"/>
      <c r="W114" s="31" t="n"/>
      <c r="X114" s="31" t="n"/>
      <c r="Y114" s="31" t="n"/>
      <c r="Z114" s="31" t="n"/>
      <c r="AA114" s="31" t="n"/>
    </row>
    <row r="115" ht="14.25" customHeight="1">
      <c r="A115" s="31" t="n"/>
      <c r="D115" s="161" t="n"/>
      <c r="E115" s="161" t="n"/>
      <c r="P115" s="31" t="n"/>
      <c r="Q115" s="31" t="n"/>
      <c r="R115" s="31" t="n"/>
      <c r="S115" s="31" t="n"/>
      <c r="T115" s="31" t="n"/>
      <c r="U115" s="31" t="n"/>
      <c r="V115" s="31" t="n"/>
      <c r="W115" s="31" t="n"/>
      <c r="X115" s="31" t="n"/>
      <c r="Y115" s="31" t="n"/>
      <c r="Z115" s="31" t="n"/>
      <c r="AA115" s="31" t="n"/>
    </row>
    <row r="116" ht="14.25" customHeight="1">
      <c r="A116" s="31" t="n"/>
      <c r="D116" s="161" t="n"/>
      <c r="E116" s="161" t="n"/>
      <c r="P116" s="31" t="n"/>
      <c r="Q116" s="31" t="n"/>
      <c r="R116" s="31" t="n"/>
      <c r="S116" s="31" t="n"/>
      <c r="T116" s="31" t="n"/>
      <c r="U116" s="31" t="n"/>
      <c r="V116" s="31" t="n"/>
      <c r="W116" s="31" t="n"/>
      <c r="X116" s="31" t="n"/>
      <c r="Y116" s="31" t="n"/>
      <c r="Z116" s="31" t="n"/>
      <c r="AA116" s="31" t="n"/>
    </row>
    <row r="117" ht="14.25" customHeight="1">
      <c r="A117" s="31" t="n"/>
      <c r="D117" s="161" t="n"/>
      <c r="E117" s="161" t="n"/>
      <c r="P117" s="31" t="n"/>
      <c r="Q117" s="31" t="n"/>
      <c r="R117" s="31" t="n"/>
      <c r="S117" s="31" t="n"/>
      <c r="T117" s="31" t="n"/>
      <c r="U117" s="31" t="n"/>
      <c r="V117" s="31" t="n"/>
      <c r="W117" s="31" t="n"/>
      <c r="X117" s="31" t="n"/>
      <c r="Y117" s="31" t="n"/>
      <c r="Z117" s="31" t="n"/>
      <c r="AA117" s="31" t="n"/>
    </row>
    <row r="118" ht="14.25" customHeight="1">
      <c r="A118" s="31" t="n"/>
      <c r="D118" s="161" t="n"/>
      <c r="E118" s="161" t="n"/>
      <c r="P118" s="31" t="n"/>
      <c r="Q118" s="31" t="n"/>
      <c r="R118" s="31" t="n"/>
      <c r="S118" s="31" t="n"/>
      <c r="T118" s="31" t="n"/>
      <c r="U118" s="31" t="n"/>
      <c r="V118" s="31" t="n"/>
      <c r="W118" s="31" t="n"/>
      <c r="X118" s="31" t="n"/>
      <c r="Y118" s="31" t="n"/>
      <c r="Z118" s="31" t="n"/>
      <c r="AA118" s="31" t="n"/>
    </row>
    <row r="119" ht="14.25" customHeight="1">
      <c r="A119" s="31" t="n"/>
      <c r="D119" s="161" t="n"/>
      <c r="E119" s="161" t="n"/>
      <c r="P119" s="31" t="n"/>
      <c r="Q119" s="31" t="n"/>
      <c r="R119" s="31" t="n"/>
      <c r="S119" s="31" t="n"/>
      <c r="T119" s="31" t="n"/>
      <c r="U119" s="31" t="n"/>
      <c r="V119" s="31" t="n"/>
      <c r="W119" s="31" t="n"/>
      <c r="X119" s="31" t="n"/>
      <c r="Y119" s="31" t="n"/>
      <c r="Z119" s="31" t="n"/>
      <c r="AA119" s="31" t="n"/>
    </row>
    <row r="120" ht="14.25" customHeight="1">
      <c r="A120" s="31" t="n"/>
      <c r="D120" s="161" t="n"/>
      <c r="E120" s="161" t="n"/>
      <c r="P120" s="31" t="n"/>
      <c r="Q120" s="31" t="n"/>
      <c r="R120" s="31" t="n"/>
      <c r="S120" s="31" t="n"/>
      <c r="T120" s="31" t="n"/>
      <c r="U120" s="31" t="n"/>
      <c r="V120" s="31" t="n"/>
      <c r="W120" s="31" t="n"/>
      <c r="X120" s="31" t="n"/>
      <c r="Y120" s="31" t="n"/>
      <c r="Z120" s="31" t="n"/>
      <c r="AA120" s="31" t="n"/>
    </row>
    <row r="121" ht="14.25" customHeight="1">
      <c r="A121" s="31" t="n"/>
      <c r="D121" s="161" t="n"/>
      <c r="E121" s="161" t="n"/>
      <c r="P121" s="31" t="n"/>
      <c r="Q121" s="31" t="n"/>
      <c r="R121" s="31" t="n"/>
      <c r="S121" s="31" t="n"/>
      <c r="T121" s="31" t="n"/>
      <c r="U121" s="31" t="n"/>
      <c r="V121" s="31" t="n"/>
      <c r="W121" s="31" t="n"/>
      <c r="X121" s="31" t="n"/>
      <c r="Y121" s="31" t="n"/>
      <c r="Z121" s="31" t="n"/>
      <c r="AA121" s="31" t="n"/>
    </row>
    <row r="122" ht="14.25" customHeight="1">
      <c r="A122" s="31" t="n"/>
      <c r="D122" s="161" t="n"/>
      <c r="E122" s="161" t="n"/>
      <c r="P122" s="31" t="n"/>
      <c r="Q122" s="31" t="n"/>
      <c r="R122" s="31" t="n"/>
      <c r="S122" s="31" t="n"/>
      <c r="T122" s="31" t="n"/>
      <c r="U122" s="31" t="n"/>
      <c r="V122" s="31" t="n"/>
      <c r="W122" s="31" t="n"/>
      <c r="X122" s="31" t="n"/>
      <c r="Y122" s="31" t="n"/>
      <c r="Z122" s="31" t="n"/>
      <c r="AA122" s="31" t="n"/>
    </row>
    <row r="123" ht="14.25" customHeight="1">
      <c r="A123" s="31" t="n"/>
      <c r="D123" s="161" t="n"/>
      <c r="E123" s="161" t="n"/>
      <c r="P123" s="31" t="n"/>
      <c r="Q123" s="31" t="n"/>
      <c r="R123" s="31" t="n"/>
      <c r="S123" s="31" t="n"/>
      <c r="T123" s="31" t="n"/>
      <c r="U123" s="31" t="n"/>
      <c r="V123" s="31" t="n"/>
      <c r="W123" s="31" t="n"/>
      <c r="X123" s="31" t="n"/>
      <c r="Y123" s="31" t="n"/>
      <c r="Z123" s="31" t="n"/>
      <c r="AA123" s="31" t="n"/>
    </row>
    <row r="124" ht="14.25" customHeight="1">
      <c r="A124" s="31" t="n"/>
      <c r="D124" s="161" t="n"/>
      <c r="E124" s="161" t="n"/>
      <c r="P124" s="31" t="n"/>
      <c r="Q124" s="31" t="n"/>
      <c r="R124" s="31" t="n"/>
      <c r="S124" s="31" t="n"/>
      <c r="T124" s="31" t="n"/>
      <c r="U124" s="31" t="n"/>
      <c r="V124" s="31" t="n"/>
      <c r="W124" s="31" t="n"/>
      <c r="X124" s="31" t="n"/>
      <c r="Y124" s="31" t="n"/>
      <c r="Z124" s="31" t="n"/>
      <c r="AA124" s="31" t="n"/>
    </row>
    <row r="125" ht="14.25" customHeight="1">
      <c r="A125" s="31" t="n"/>
      <c r="D125" s="161" t="n"/>
      <c r="E125" s="161" t="n"/>
      <c r="P125" s="31" t="n"/>
      <c r="Q125" s="31" t="n"/>
      <c r="R125" s="31" t="n"/>
      <c r="S125" s="31" t="n"/>
      <c r="T125" s="31" t="n"/>
      <c r="U125" s="31" t="n"/>
      <c r="V125" s="31" t="n"/>
      <c r="W125" s="31" t="n"/>
      <c r="X125" s="31" t="n"/>
      <c r="Y125" s="31" t="n"/>
      <c r="Z125" s="31" t="n"/>
      <c r="AA125" s="31" t="n"/>
    </row>
    <row r="126" ht="14.25" customHeight="1">
      <c r="A126" s="31" t="n"/>
      <c r="D126" s="161" t="n"/>
      <c r="E126" s="161" t="n"/>
      <c r="P126" s="31" t="n"/>
      <c r="Q126" s="31" t="n"/>
      <c r="R126" s="31" t="n"/>
      <c r="S126" s="31" t="n"/>
      <c r="T126" s="31" t="n"/>
      <c r="U126" s="31" t="n"/>
      <c r="V126" s="31" t="n"/>
      <c r="W126" s="31" t="n"/>
      <c r="X126" s="31" t="n"/>
      <c r="Y126" s="31" t="n"/>
      <c r="Z126" s="31" t="n"/>
      <c r="AA126" s="31" t="n"/>
    </row>
    <row r="127" ht="14.25" customHeight="1">
      <c r="A127" s="31" t="n"/>
      <c r="D127" s="161" t="n"/>
      <c r="E127" s="161" t="n"/>
      <c r="P127" s="31" t="n"/>
      <c r="Q127" s="31" t="n"/>
      <c r="R127" s="31" t="n"/>
      <c r="S127" s="31" t="n"/>
      <c r="T127" s="31" t="n"/>
      <c r="U127" s="31" t="n"/>
      <c r="V127" s="31" t="n"/>
      <c r="W127" s="31" t="n"/>
      <c r="X127" s="31" t="n"/>
      <c r="Y127" s="31" t="n"/>
      <c r="Z127" s="31" t="n"/>
      <c r="AA127" s="31" t="n"/>
    </row>
    <row r="128" ht="14.25" customHeight="1">
      <c r="A128" s="31" t="n"/>
      <c r="D128" s="161" t="n"/>
      <c r="E128" s="161" t="n"/>
      <c r="P128" s="31" t="n"/>
      <c r="Q128" s="31" t="n"/>
      <c r="R128" s="31" t="n"/>
      <c r="S128" s="31" t="n"/>
      <c r="T128" s="31" t="n"/>
      <c r="U128" s="31" t="n"/>
      <c r="V128" s="31" t="n"/>
      <c r="W128" s="31" t="n"/>
      <c r="X128" s="31" t="n"/>
      <c r="Y128" s="31" t="n"/>
      <c r="Z128" s="31" t="n"/>
      <c r="AA128" s="31" t="n"/>
    </row>
    <row r="129" ht="14.25" customHeight="1">
      <c r="A129" s="31" t="n"/>
      <c r="D129" s="161" t="n"/>
      <c r="E129" s="161" t="n"/>
      <c r="P129" s="31" t="n"/>
      <c r="Q129" s="31" t="n"/>
      <c r="R129" s="31" t="n"/>
      <c r="S129" s="31" t="n"/>
      <c r="T129" s="31" t="n"/>
      <c r="U129" s="31" t="n"/>
      <c r="V129" s="31" t="n"/>
      <c r="W129" s="31" t="n"/>
      <c r="X129" s="31" t="n"/>
      <c r="Y129" s="31" t="n"/>
      <c r="Z129" s="31" t="n"/>
      <c r="AA129" s="31" t="n"/>
    </row>
    <row r="130" ht="14.25" customHeight="1">
      <c r="A130" s="31" t="n"/>
      <c r="D130" s="161" t="n"/>
      <c r="E130" s="161" t="n"/>
      <c r="P130" s="31" t="n"/>
      <c r="Q130" s="31" t="n"/>
      <c r="R130" s="31" t="n"/>
      <c r="S130" s="31" t="n"/>
      <c r="T130" s="31" t="n"/>
      <c r="U130" s="31" t="n"/>
      <c r="V130" s="31" t="n"/>
      <c r="W130" s="31" t="n"/>
      <c r="X130" s="31" t="n"/>
      <c r="Y130" s="31" t="n"/>
      <c r="Z130" s="31" t="n"/>
      <c r="AA130" s="31" t="n"/>
    </row>
    <row r="131" ht="14.25" customHeight="1">
      <c r="A131" s="31" t="n"/>
      <c r="D131" s="161" t="n"/>
      <c r="E131" s="161" t="n"/>
      <c r="P131" s="31" t="n"/>
      <c r="Q131" s="31" t="n"/>
      <c r="R131" s="31" t="n"/>
      <c r="S131" s="31" t="n"/>
      <c r="T131" s="31" t="n"/>
      <c r="U131" s="31" t="n"/>
      <c r="V131" s="31" t="n"/>
      <c r="W131" s="31" t="n"/>
      <c r="X131" s="31" t="n"/>
      <c r="Y131" s="31" t="n"/>
      <c r="Z131" s="31" t="n"/>
      <c r="AA131" s="31" t="n"/>
    </row>
    <row r="132" ht="14.25" customHeight="1">
      <c r="A132" s="31" t="n"/>
      <c r="D132" s="161" t="n"/>
      <c r="E132" s="161" t="n"/>
      <c r="P132" s="31" t="n"/>
      <c r="Q132" s="31" t="n"/>
      <c r="R132" s="31" t="n"/>
      <c r="S132" s="31" t="n"/>
      <c r="T132" s="31" t="n"/>
      <c r="U132" s="31" t="n"/>
      <c r="V132" s="31" t="n"/>
      <c r="W132" s="31" t="n"/>
      <c r="X132" s="31" t="n"/>
      <c r="Y132" s="31" t="n"/>
      <c r="Z132" s="31" t="n"/>
      <c r="AA132" s="31" t="n"/>
    </row>
    <row r="133" ht="14.25" customHeight="1">
      <c r="A133" s="31" t="n"/>
      <c r="D133" s="161" t="n"/>
      <c r="E133" s="161" t="n"/>
      <c r="P133" s="31" t="n"/>
      <c r="Q133" s="31" t="n"/>
      <c r="R133" s="31" t="n"/>
      <c r="S133" s="31" t="n"/>
      <c r="T133" s="31" t="n"/>
      <c r="U133" s="31" t="n"/>
      <c r="V133" s="31" t="n"/>
      <c r="W133" s="31" t="n"/>
      <c r="X133" s="31" t="n"/>
      <c r="Y133" s="31" t="n"/>
      <c r="Z133" s="31" t="n"/>
      <c r="AA133" s="31" t="n"/>
    </row>
    <row r="134" ht="14.25" customHeight="1">
      <c r="A134" s="31" t="n"/>
      <c r="D134" s="161" t="n"/>
      <c r="E134" s="161" t="n"/>
      <c r="P134" s="31" t="n"/>
      <c r="Q134" s="31" t="n"/>
      <c r="R134" s="31" t="n"/>
      <c r="S134" s="31" t="n"/>
      <c r="T134" s="31" t="n"/>
      <c r="U134" s="31" t="n"/>
      <c r="V134" s="31" t="n"/>
      <c r="W134" s="31" t="n"/>
      <c r="X134" s="31" t="n"/>
      <c r="Y134" s="31" t="n"/>
      <c r="Z134" s="31" t="n"/>
      <c r="AA134" s="31" t="n"/>
    </row>
    <row r="135" ht="14.25" customHeight="1">
      <c r="A135" s="31" t="n"/>
      <c r="D135" s="161" t="n"/>
      <c r="E135" s="161" t="n"/>
      <c r="P135" s="31" t="n"/>
      <c r="Q135" s="31" t="n"/>
      <c r="R135" s="31" t="n"/>
      <c r="S135" s="31" t="n"/>
      <c r="T135" s="31" t="n"/>
      <c r="U135" s="31" t="n"/>
      <c r="V135" s="31" t="n"/>
      <c r="W135" s="31" t="n"/>
      <c r="X135" s="31" t="n"/>
      <c r="Y135" s="31" t="n"/>
      <c r="Z135" s="31" t="n"/>
      <c r="AA135" s="31" t="n"/>
    </row>
    <row r="136" ht="14.25" customHeight="1">
      <c r="A136" s="31" t="n"/>
      <c r="D136" s="161" t="n"/>
      <c r="E136" s="161" t="n"/>
      <c r="P136" s="31" t="n"/>
      <c r="Q136" s="31" t="n"/>
      <c r="R136" s="31" t="n"/>
      <c r="S136" s="31" t="n"/>
      <c r="T136" s="31" t="n"/>
      <c r="U136" s="31" t="n"/>
      <c r="V136" s="31" t="n"/>
      <c r="W136" s="31" t="n"/>
      <c r="X136" s="31" t="n"/>
      <c r="Y136" s="31" t="n"/>
      <c r="Z136" s="31" t="n"/>
      <c r="AA136" s="31" t="n"/>
    </row>
    <row r="137" ht="14.25" customHeight="1">
      <c r="A137" s="31" t="n"/>
      <c r="D137" s="161" t="n"/>
      <c r="E137" s="161" t="n"/>
      <c r="P137" s="31" t="n"/>
      <c r="Q137" s="31" t="n"/>
      <c r="R137" s="31" t="n"/>
      <c r="S137" s="31" t="n"/>
      <c r="T137" s="31" t="n"/>
      <c r="U137" s="31" t="n"/>
      <c r="V137" s="31" t="n"/>
      <c r="W137" s="31" t="n"/>
      <c r="X137" s="31" t="n"/>
      <c r="Y137" s="31" t="n"/>
      <c r="Z137" s="31" t="n"/>
      <c r="AA137" s="31" t="n"/>
    </row>
    <row r="138" ht="14.25" customHeight="1">
      <c r="A138" s="31" t="n"/>
      <c r="D138" s="161" t="n"/>
      <c r="E138" s="161" t="n"/>
      <c r="P138" s="31" t="n"/>
      <c r="Q138" s="31" t="n"/>
      <c r="R138" s="31" t="n"/>
      <c r="S138" s="31" t="n"/>
      <c r="T138" s="31" t="n"/>
      <c r="U138" s="31" t="n"/>
      <c r="V138" s="31" t="n"/>
      <c r="W138" s="31" t="n"/>
      <c r="X138" s="31" t="n"/>
      <c r="Y138" s="31" t="n"/>
      <c r="Z138" s="31" t="n"/>
      <c r="AA138" s="31" t="n"/>
    </row>
    <row r="139" ht="14.25" customHeight="1">
      <c r="A139" s="31" t="n"/>
      <c r="D139" s="161" t="n"/>
      <c r="E139" s="161" t="n"/>
      <c r="P139" s="31" t="n"/>
      <c r="Q139" s="31" t="n"/>
      <c r="R139" s="31" t="n"/>
      <c r="S139" s="31" t="n"/>
      <c r="T139" s="31" t="n"/>
      <c r="U139" s="31" t="n"/>
      <c r="V139" s="31" t="n"/>
      <c r="W139" s="31" t="n"/>
      <c r="X139" s="31" t="n"/>
      <c r="Y139" s="31" t="n"/>
      <c r="Z139" s="31" t="n"/>
      <c r="AA139" s="31" t="n"/>
    </row>
    <row r="140" ht="14.25" customHeight="1">
      <c r="A140" s="31" t="n"/>
      <c r="D140" s="161" t="n"/>
      <c r="E140" s="161" t="n"/>
      <c r="P140" s="31" t="n"/>
      <c r="Q140" s="31" t="n"/>
      <c r="R140" s="31" t="n"/>
      <c r="S140" s="31" t="n"/>
      <c r="T140" s="31" t="n"/>
      <c r="U140" s="31" t="n"/>
      <c r="V140" s="31" t="n"/>
      <c r="W140" s="31" t="n"/>
      <c r="X140" s="31" t="n"/>
      <c r="Y140" s="31" t="n"/>
      <c r="Z140" s="31" t="n"/>
      <c r="AA140" s="31" t="n"/>
    </row>
    <row r="141" ht="14.25" customHeight="1">
      <c r="A141" s="31" t="n"/>
      <c r="D141" s="161" t="n"/>
      <c r="E141" s="161" t="n"/>
      <c r="P141" s="31" t="n"/>
      <c r="Q141" s="31" t="n"/>
      <c r="R141" s="31" t="n"/>
      <c r="S141" s="31" t="n"/>
      <c r="T141" s="31" t="n"/>
      <c r="U141" s="31" t="n"/>
      <c r="V141" s="31" t="n"/>
      <c r="W141" s="31" t="n"/>
      <c r="X141" s="31" t="n"/>
      <c r="Y141" s="31" t="n"/>
      <c r="Z141" s="31" t="n"/>
      <c r="AA141" s="31" t="n"/>
    </row>
    <row r="142" ht="14.25" customHeight="1">
      <c r="A142" s="31" t="n"/>
      <c r="D142" s="161" t="n"/>
      <c r="E142" s="161" t="n"/>
      <c r="P142" s="31" t="n"/>
      <c r="Q142" s="31" t="n"/>
      <c r="R142" s="31" t="n"/>
      <c r="S142" s="31" t="n"/>
      <c r="T142" s="31" t="n"/>
      <c r="U142" s="31" t="n"/>
      <c r="V142" s="31" t="n"/>
      <c r="W142" s="31" t="n"/>
      <c r="X142" s="31" t="n"/>
      <c r="Y142" s="31" t="n"/>
      <c r="Z142" s="31" t="n"/>
      <c r="AA142" s="31" t="n"/>
    </row>
    <row r="143" ht="14.25" customHeight="1">
      <c r="A143" s="31" t="n"/>
      <c r="D143" s="161" t="n"/>
      <c r="E143" s="161" t="n"/>
      <c r="P143" s="31" t="n"/>
      <c r="Q143" s="31" t="n"/>
      <c r="R143" s="31" t="n"/>
      <c r="S143" s="31" t="n"/>
      <c r="T143" s="31" t="n"/>
      <c r="U143" s="31" t="n"/>
      <c r="V143" s="31" t="n"/>
      <c r="W143" s="31" t="n"/>
      <c r="X143" s="31" t="n"/>
      <c r="Y143" s="31" t="n"/>
      <c r="Z143" s="31" t="n"/>
      <c r="AA143" s="31" t="n"/>
    </row>
    <row r="144" ht="14.25" customHeight="1">
      <c r="A144" s="31" t="n"/>
      <c r="D144" s="161" t="n"/>
      <c r="E144" s="161" t="n"/>
      <c r="P144" s="31" t="n"/>
      <c r="Q144" s="31" t="n"/>
      <c r="R144" s="31" t="n"/>
      <c r="S144" s="31" t="n"/>
      <c r="T144" s="31" t="n"/>
      <c r="U144" s="31" t="n"/>
      <c r="V144" s="31" t="n"/>
      <c r="W144" s="31" t="n"/>
      <c r="X144" s="31" t="n"/>
      <c r="Y144" s="31" t="n"/>
      <c r="Z144" s="31" t="n"/>
      <c r="AA144" s="31" t="n"/>
    </row>
    <row r="145" ht="14.25" customHeight="1">
      <c r="A145" s="31" t="n"/>
      <c r="D145" s="161" t="n"/>
      <c r="E145" s="161" t="n"/>
      <c r="P145" s="31" t="n"/>
      <c r="Q145" s="31" t="n"/>
      <c r="R145" s="31" t="n"/>
      <c r="S145" s="31" t="n"/>
      <c r="T145" s="31" t="n"/>
      <c r="U145" s="31" t="n"/>
      <c r="V145" s="31" t="n"/>
      <c r="W145" s="31" t="n"/>
      <c r="X145" s="31" t="n"/>
      <c r="Y145" s="31" t="n"/>
      <c r="Z145" s="31" t="n"/>
      <c r="AA145" s="31" t="n"/>
    </row>
    <row r="146" ht="14.25" customHeight="1">
      <c r="A146" s="31" t="n"/>
      <c r="D146" s="161" t="n"/>
      <c r="E146" s="161" t="n"/>
      <c r="P146" s="31" t="n"/>
      <c r="Q146" s="31" t="n"/>
      <c r="R146" s="31" t="n"/>
      <c r="S146" s="31" t="n"/>
      <c r="T146" s="31" t="n"/>
      <c r="U146" s="31" t="n"/>
      <c r="V146" s="31" t="n"/>
      <c r="W146" s="31" t="n"/>
      <c r="X146" s="31" t="n"/>
      <c r="Y146" s="31" t="n"/>
      <c r="Z146" s="31" t="n"/>
      <c r="AA146" s="31" t="n"/>
    </row>
    <row r="147" ht="14.25" customHeight="1">
      <c r="A147" s="31" t="n"/>
      <c r="D147" s="161" t="n"/>
      <c r="E147" s="161" t="n"/>
      <c r="P147" s="31" t="n"/>
      <c r="Q147" s="31" t="n"/>
      <c r="R147" s="31" t="n"/>
      <c r="S147" s="31" t="n"/>
      <c r="T147" s="31" t="n"/>
      <c r="U147" s="31" t="n"/>
      <c r="V147" s="31" t="n"/>
      <c r="W147" s="31" t="n"/>
      <c r="X147" s="31" t="n"/>
      <c r="Y147" s="31" t="n"/>
      <c r="Z147" s="31" t="n"/>
      <c r="AA147" s="31" t="n"/>
    </row>
    <row r="148" ht="14.25" customHeight="1">
      <c r="A148" s="31" t="n"/>
      <c r="D148" s="161" t="n"/>
      <c r="E148" s="161" t="n"/>
      <c r="P148" s="31" t="n"/>
      <c r="Q148" s="31" t="n"/>
      <c r="R148" s="31" t="n"/>
      <c r="S148" s="31" t="n"/>
      <c r="T148" s="31" t="n"/>
      <c r="U148" s="31" t="n"/>
      <c r="V148" s="31" t="n"/>
      <c r="W148" s="31" t="n"/>
      <c r="X148" s="31" t="n"/>
      <c r="Y148" s="31" t="n"/>
      <c r="Z148" s="31" t="n"/>
      <c r="AA148" s="31" t="n"/>
    </row>
    <row r="149" ht="14.25" customHeight="1">
      <c r="A149" s="31" t="n"/>
      <c r="D149" s="161" t="n"/>
      <c r="E149" s="161" t="n"/>
      <c r="P149" s="31" t="n"/>
      <c r="Q149" s="31" t="n"/>
      <c r="R149" s="31" t="n"/>
      <c r="S149" s="31" t="n"/>
      <c r="T149" s="31" t="n"/>
      <c r="U149" s="31" t="n"/>
      <c r="V149" s="31" t="n"/>
      <c r="W149" s="31" t="n"/>
      <c r="X149" s="31" t="n"/>
      <c r="Y149" s="31" t="n"/>
      <c r="Z149" s="31" t="n"/>
      <c r="AA149" s="31" t="n"/>
    </row>
    <row r="150" ht="14.25" customHeight="1">
      <c r="A150" s="31" t="n"/>
      <c r="D150" s="161" t="n"/>
      <c r="E150" s="161" t="n"/>
      <c r="P150" s="31" t="n"/>
      <c r="Q150" s="31" t="n"/>
      <c r="R150" s="31" t="n"/>
      <c r="S150" s="31" t="n"/>
      <c r="T150" s="31" t="n"/>
      <c r="U150" s="31" t="n"/>
      <c r="V150" s="31" t="n"/>
      <c r="W150" s="31" t="n"/>
      <c r="X150" s="31" t="n"/>
      <c r="Y150" s="31" t="n"/>
      <c r="Z150" s="31" t="n"/>
      <c r="AA150" s="31" t="n"/>
    </row>
    <row r="151" ht="14.25" customHeight="1">
      <c r="A151" s="31" t="n"/>
      <c r="D151" s="161" t="n"/>
      <c r="E151" s="161" t="n"/>
      <c r="P151" s="31" t="n"/>
      <c r="Q151" s="31" t="n"/>
      <c r="R151" s="31" t="n"/>
      <c r="S151" s="31" t="n"/>
      <c r="T151" s="31" t="n"/>
      <c r="U151" s="31" t="n"/>
      <c r="V151" s="31" t="n"/>
      <c r="W151" s="31" t="n"/>
      <c r="X151" s="31" t="n"/>
      <c r="Y151" s="31" t="n"/>
      <c r="Z151" s="31" t="n"/>
      <c r="AA151" s="31" t="n"/>
    </row>
    <row r="152" ht="14.25" customHeight="1">
      <c r="A152" s="31" t="n"/>
      <c r="D152" s="161" t="n"/>
      <c r="E152" s="161" t="n"/>
      <c r="P152" s="31" t="n"/>
      <c r="Q152" s="31" t="n"/>
      <c r="R152" s="31" t="n"/>
      <c r="S152" s="31" t="n"/>
      <c r="T152" s="31" t="n"/>
      <c r="U152" s="31" t="n"/>
      <c r="V152" s="31" t="n"/>
      <c r="W152" s="31" t="n"/>
      <c r="X152" s="31" t="n"/>
      <c r="Y152" s="31" t="n"/>
      <c r="Z152" s="31" t="n"/>
      <c r="AA152" s="31" t="n"/>
    </row>
    <row r="153" ht="14.25" customHeight="1">
      <c r="A153" s="31" t="n"/>
      <c r="D153" s="161" t="n"/>
      <c r="E153" s="161" t="n"/>
      <c r="P153" s="31" t="n"/>
      <c r="Q153" s="31" t="n"/>
      <c r="R153" s="31" t="n"/>
      <c r="S153" s="31" t="n"/>
      <c r="T153" s="31" t="n"/>
      <c r="U153" s="31" t="n"/>
      <c r="V153" s="31" t="n"/>
      <c r="W153" s="31" t="n"/>
      <c r="X153" s="31" t="n"/>
      <c r="Y153" s="31" t="n"/>
      <c r="Z153" s="31" t="n"/>
      <c r="AA153" s="31" t="n"/>
    </row>
    <row r="154" ht="14.25" customHeight="1">
      <c r="A154" s="31" t="n"/>
      <c r="D154" s="161" t="n"/>
      <c r="E154" s="161" t="n"/>
      <c r="P154" s="31" t="n"/>
      <c r="Q154" s="31" t="n"/>
      <c r="R154" s="31" t="n"/>
      <c r="S154" s="31" t="n"/>
      <c r="T154" s="31" t="n"/>
      <c r="U154" s="31" t="n"/>
      <c r="V154" s="31" t="n"/>
      <c r="W154" s="31" t="n"/>
      <c r="X154" s="31" t="n"/>
      <c r="Y154" s="31" t="n"/>
      <c r="Z154" s="31" t="n"/>
      <c r="AA154" s="31" t="n"/>
    </row>
    <row r="155" ht="14.25" customHeight="1">
      <c r="A155" s="31" t="n"/>
      <c r="D155" s="161" t="n"/>
      <c r="E155" s="161" t="n"/>
      <c r="P155" s="31" t="n"/>
      <c r="Q155" s="31" t="n"/>
      <c r="R155" s="31" t="n"/>
      <c r="S155" s="31" t="n"/>
      <c r="T155" s="31" t="n"/>
      <c r="U155" s="31" t="n"/>
      <c r="V155" s="31" t="n"/>
      <c r="W155" s="31" t="n"/>
      <c r="X155" s="31" t="n"/>
      <c r="Y155" s="31" t="n"/>
      <c r="Z155" s="31" t="n"/>
      <c r="AA155" s="31" t="n"/>
    </row>
    <row r="156" ht="14.25" customHeight="1">
      <c r="A156" s="31" t="n"/>
      <c r="D156" s="161" t="n"/>
      <c r="E156" s="161" t="n"/>
      <c r="P156" s="31" t="n"/>
      <c r="Q156" s="31" t="n"/>
      <c r="R156" s="31" t="n"/>
      <c r="S156" s="31" t="n"/>
      <c r="T156" s="31" t="n"/>
      <c r="U156" s="31" t="n"/>
      <c r="V156" s="31" t="n"/>
      <c r="W156" s="31" t="n"/>
      <c r="X156" s="31" t="n"/>
      <c r="Y156" s="31" t="n"/>
      <c r="Z156" s="31" t="n"/>
      <c r="AA156" s="31" t="n"/>
    </row>
    <row r="157" ht="14.25" customHeight="1">
      <c r="A157" s="31" t="n"/>
      <c r="D157" s="161" t="n"/>
      <c r="E157" s="161" t="n"/>
      <c r="P157" s="31" t="n"/>
      <c r="Q157" s="31" t="n"/>
      <c r="R157" s="31" t="n"/>
      <c r="S157" s="31" t="n"/>
      <c r="T157" s="31" t="n"/>
      <c r="U157" s="31" t="n"/>
      <c r="V157" s="31" t="n"/>
      <c r="W157" s="31" t="n"/>
      <c r="X157" s="31" t="n"/>
      <c r="Y157" s="31" t="n"/>
      <c r="Z157" s="31" t="n"/>
      <c r="AA157" s="31" t="n"/>
    </row>
    <row r="158" ht="14.25" customHeight="1">
      <c r="A158" s="31" t="n"/>
      <c r="D158" s="161" t="n"/>
      <c r="E158" s="161" t="n"/>
      <c r="P158" s="31" t="n"/>
      <c r="Q158" s="31" t="n"/>
      <c r="R158" s="31" t="n"/>
      <c r="S158" s="31" t="n"/>
      <c r="T158" s="31" t="n"/>
      <c r="U158" s="31" t="n"/>
      <c r="V158" s="31" t="n"/>
      <c r="W158" s="31" t="n"/>
      <c r="X158" s="31" t="n"/>
      <c r="Y158" s="31" t="n"/>
      <c r="Z158" s="31" t="n"/>
      <c r="AA158" s="31" t="n"/>
    </row>
    <row r="159" ht="14.25" customHeight="1">
      <c r="A159" s="31" t="n"/>
      <c r="D159" s="161" t="n"/>
      <c r="E159" s="161" t="n"/>
      <c r="P159" s="31" t="n"/>
      <c r="Q159" s="31" t="n"/>
      <c r="R159" s="31" t="n"/>
      <c r="S159" s="31" t="n"/>
      <c r="T159" s="31" t="n"/>
      <c r="U159" s="31" t="n"/>
      <c r="V159" s="31" t="n"/>
      <c r="W159" s="31" t="n"/>
      <c r="X159" s="31" t="n"/>
      <c r="Y159" s="31" t="n"/>
      <c r="Z159" s="31" t="n"/>
      <c r="AA159" s="31" t="n"/>
    </row>
    <row r="160" ht="14.25" customHeight="1">
      <c r="A160" s="31" t="n"/>
      <c r="D160" s="161" t="n"/>
      <c r="E160" s="161" t="n"/>
      <c r="P160" s="31" t="n"/>
      <c r="Q160" s="31" t="n"/>
      <c r="R160" s="31" t="n"/>
      <c r="S160" s="31" t="n"/>
      <c r="T160" s="31" t="n"/>
      <c r="U160" s="31" t="n"/>
      <c r="V160" s="31" t="n"/>
      <c r="W160" s="31" t="n"/>
      <c r="X160" s="31" t="n"/>
      <c r="Y160" s="31" t="n"/>
      <c r="Z160" s="31" t="n"/>
      <c r="AA160" s="31" t="n"/>
    </row>
    <row r="161" ht="14.25" customHeight="1">
      <c r="A161" s="31" t="n"/>
      <c r="D161" s="161" t="n"/>
      <c r="E161" s="161" t="n"/>
      <c r="P161" s="31" t="n"/>
      <c r="Q161" s="31" t="n"/>
      <c r="R161" s="31" t="n"/>
      <c r="S161" s="31" t="n"/>
      <c r="T161" s="31" t="n"/>
      <c r="U161" s="31" t="n"/>
      <c r="V161" s="31" t="n"/>
      <c r="W161" s="31" t="n"/>
      <c r="X161" s="31" t="n"/>
      <c r="Y161" s="31" t="n"/>
      <c r="Z161" s="31" t="n"/>
      <c r="AA161" s="31" t="n"/>
    </row>
    <row r="162" ht="14.25" customHeight="1">
      <c r="A162" s="31" t="n"/>
      <c r="D162" s="161" t="n"/>
      <c r="E162" s="161" t="n"/>
      <c r="P162" s="31" t="n"/>
      <c r="Q162" s="31" t="n"/>
      <c r="R162" s="31" t="n"/>
      <c r="S162" s="31" t="n"/>
      <c r="T162" s="31" t="n"/>
      <c r="U162" s="31" t="n"/>
      <c r="V162" s="31" t="n"/>
      <c r="W162" s="31" t="n"/>
      <c r="X162" s="31" t="n"/>
      <c r="Y162" s="31" t="n"/>
      <c r="Z162" s="31" t="n"/>
      <c r="AA162" s="31" t="n"/>
    </row>
    <row r="163" ht="14.25" customHeight="1">
      <c r="A163" s="31" t="n"/>
      <c r="D163" s="161" t="n"/>
      <c r="E163" s="161" t="n"/>
      <c r="P163" s="31" t="n"/>
      <c r="Q163" s="31" t="n"/>
      <c r="R163" s="31" t="n"/>
      <c r="S163" s="31" t="n"/>
      <c r="T163" s="31" t="n"/>
      <c r="U163" s="31" t="n"/>
      <c r="V163" s="31" t="n"/>
      <c r="W163" s="31" t="n"/>
      <c r="X163" s="31" t="n"/>
      <c r="Y163" s="31" t="n"/>
      <c r="Z163" s="31" t="n"/>
      <c r="AA163" s="31" t="n"/>
    </row>
    <row r="164" ht="14.25" customHeight="1">
      <c r="A164" s="31" t="n"/>
      <c r="D164" s="161" t="n"/>
      <c r="E164" s="161" t="n"/>
      <c r="P164" s="31" t="n"/>
      <c r="Q164" s="31" t="n"/>
      <c r="R164" s="31" t="n"/>
      <c r="S164" s="31" t="n"/>
      <c r="T164" s="31" t="n"/>
      <c r="U164" s="31" t="n"/>
      <c r="V164" s="31" t="n"/>
      <c r="W164" s="31" t="n"/>
      <c r="X164" s="31" t="n"/>
      <c r="Y164" s="31" t="n"/>
      <c r="Z164" s="31" t="n"/>
      <c r="AA164" s="31" t="n"/>
    </row>
    <row r="165" ht="14.25" customHeight="1">
      <c r="A165" s="31" t="n"/>
      <c r="D165" s="161" t="n"/>
      <c r="E165" s="161" t="n"/>
      <c r="P165" s="31" t="n"/>
      <c r="Q165" s="31" t="n"/>
      <c r="R165" s="31" t="n"/>
      <c r="S165" s="31" t="n"/>
      <c r="T165" s="31" t="n"/>
      <c r="U165" s="31" t="n"/>
      <c r="V165" s="31" t="n"/>
      <c r="W165" s="31" t="n"/>
      <c r="X165" s="31" t="n"/>
      <c r="Y165" s="31" t="n"/>
      <c r="Z165" s="31" t="n"/>
      <c r="AA165" s="31" t="n"/>
    </row>
    <row r="166" ht="14.25" customHeight="1">
      <c r="A166" s="31" t="n"/>
      <c r="D166" s="161" t="n"/>
      <c r="E166" s="161" t="n"/>
      <c r="P166" s="31" t="n"/>
      <c r="Q166" s="31" t="n"/>
      <c r="R166" s="31" t="n"/>
      <c r="S166" s="31" t="n"/>
      <c r="T166" s="31" t="n"/>
      <c r="U166" s="31" t="n"/>
      <c r="V166" s="31" t="n"/>
      <c r="W166" s="31" t="n"/>
      <c r="X166" s="31" t="n"/>
      <c r="Y166" s="31" t="n"/>
      <c r="Z166" s="31" t="n"/>
      <c r="AA166" s="31" t="n"/>
    </row>
    <row r="167" ht="14.25" customHeight="1">
      <c r="A167" s="31" t="n"/>
      <c r="D167" s="161" t="n"/>
      <c r="E167" s="161" t="n"/>
      <c r="P167" s="31" t="n"/>
      <c r="Q167" s="31" t="n"/>
      <c r="R167" s="31" t="n"/>
      <c r="S167" s="31" t="n"/>
      <c r="T167" s="31" t="n"/>
      <c r="U167" s="31" t="n"/>
      <c r="V167" s="31" t="n"/>
      <c r="W167" s="31" t="n"/>
      <c r="X167" s="31" t="n"/>
      <c r="Y167" s="31" t="n"/>
      <c r="Z167" s="31" t="n"/>
      <c r="AA167" s="31" t="n"/>
    </row>
    <row r="168" ht="14.25" customHeight="1">
      <c r="A168" s="31" t="n"/>
      <c r="D168" s="161" t="n"/>
      <c r="E168" s="161" t="n"/>
      <c r="P168" s="31" t="n"/>
      <c r="Q168" s="31" t="n"/>
      <c r="R168" s="31" t="n"/>
      <c r="S168" s="31" t="n"/>
      <c r="T168" s="31" t="n"/>
      <c r="U168" s="31" t="n"/>
      <c r="V168" s="31" t="n"/>
      <c r="W168" s="31" t="n"/>
      <c r="X168" s="31" t="n"/>
      <c r="Y168" s="31" t="n"/>
      <c r="Z168" s="31" t="n"/>
      <c r="AA168" s="31" t="n"/>
    </row>
    <row r="169" ht="14.25" customHeight="1">
      <c r="A169" s="31" t="n"/>
      <c r="D169" s="161" t="n"/>
      <c r="E169" s="161" t="n"/>
      <c r="P169" s="31" t="n"/>
      <c r="Q169" s="31" t="n"/>
      <c r="R169" s="31" t="n"/>
      <c r="S169" s="31" t="n"/>
      <c r="T169" s="31" t="n"/>
      <c r="U169" s="31" t="n"/>
      <c r="V169" s="31" t="n"/>
      <c r="W169" s="31" t="n"/>
      <c r="X169" s="31" t="n"/>
      <c r="Y169" s="31" t="n"/>
      <c r="Z169" s="31" t="n"/>
      <c r="AA169" s="31" t="n"/>
    </row>
    <row r="170" ht="14.25" customHeight="1">
      <c r="A170" s="31" t="n"/>
      <c r="D170" s="161" t="n"/>
      <c r="E170" s="161" t="n"/>
      <c r="P170" s="31" t="n"/>
      <c r="Q170" s="31" t="n"/>
      <c r="R170" s="31" t="n"/>
      <c r="S170" s="31" t="n"/>
      <c r="T170" s="31" t="n"/>
      <c r="U170" s="31" t="n"/>
      <c r="V170" s="31" t="n"/>
      <c r="W170" s="31" t="n"/>
      <c r="X170" s="31" t="n"/>
      <c r="Y170" s="31" t="n"/>
      <c r="Z170" s="31" t="n"/>
      <c r="AA170" s="31" t="n"/>
    </row>
    <row r="171" ht="14.25" customHeight="1">
      <c r="A171" s="31" t="n"/>
      <c r="D171" s="161" t="n"/>
      <c r="E171" s="161" t="n"/>
      <c r="P171" s="31" t="n"/>
      <c r="Q171" s="31" t="n"/>
      <c r="R171" s="31" t="n"/>
      <c r="S171" s="31" t="n"/>
      <c r="T171" s="31" t="n"/>
      <c r="U171" s="31" t="n"/>
      <c r="V171" s="31" t="n"/>
      <c r="W171" s="31" t="n"/>
      <c r="X171" s="31" t="n"/>
      <c r="Y171" s="31" t="n"/>
      <c r="Z171" s="31" t="n"/>
      <c r="AA171" s="31" t="n"/>
    </row>
    <row r="172" ht="14.25" customHeight="1">
      <c r="A172" s="31" t="n"/>
      <c r="D172" s="161" t="n"/>
      <c r="E172" s="161" t="n"/>
      <c r="P172" s="31" t="n"/>
      <c r="Q172" s="31" t="n"/>
      <c r="R172" s="31" t="n"/>
      <c r="S172" s="31" t="n"/>
      <c r="T172" s="31" t="n"/>
      <c r="U172" s="31" t="n"/>
      <c r="V172" s="31" t="n"/>
      <c r="W172" s="31" t="n"/>
      <c r="X172" s="31" t="n"/>
      <c r="Y172" s="31" t="n"/>
      <c r="Z172" s="31" t="n"/>
      <c r="AA172" s="31" t="n"/>
    </row>
    <row r="173" ht="14.25" customHeight="1">
      <c r="A173" s="31" t="n"/>
      <c r="D173" s="161" t="n"/>
      <c r="E173" s="161" t="n"/>
      <c r="P173" s="31" t="n"/>
      <c r="Q173" s="31" t="n"/>
      <c r="R173" s="31" t="n"/>
      <c r="S173" s="31" t="n"/>
      <c r="T173" s="31" t="n"/>
      <c r="U173" s="31" t="n"/>
      <c r="V173" s="31" t="n"/>
      <c r="W173" s="31" t="n"/>
      <c r="X173" s="31" t="n"/>
      <c r="Y173" s="31" t="n"/>
      <c r="Z173" s="31" t="n"/>
      <c r="AA173" s="31" t="n"/>
    </row>
    <row r="174" ht="14.25" customHeight="1">
      <c r="A174" s="31" t="n"/>
      <c r="D174" s="161" t="n"/>
      <c r="E174" s="161" t="n"/>
      <c r="P174" s="31" t="n"/>
      <c r="Q174" s="31" t="n"/>
      <c r="R174" s="31" t="n"/>
      <c r="S174" s="31" t="n"/>
      <c r="T174" s="31" t="n"/>
      <c r="U174" s="31" t="n"/>
      <c r="V174" s="31" t="n"/>
      <c r="W174" s="31" t="n"/>
      <c r="X174" s="31" t="n"/>
      <c r="Y174" s="31" t="n"/>
      <c r="Z174" s="31" t="n"/>
      <c r="AA174" s="31" t="n"/>
    </row>
    <row r="175" ht="14.25" customHeight="1">
      <c r="A175" s="31" t="n"/>
      <c r="D175" s="161" t="n"/>
      <c r="E175" s="161" t="n"/>
      <c r="P175" s="31" t="n"/>
      <c r="Q175" s="31" t="n"/>
      <c r="R175" s="31" t="n"/>
      <c r="S175" s="31" t="n"/>
      <c r="T175" s="31" t="n"/>
      <c r="U175" s="31" t="n"/>
      <c r="V175" s="31" t="n"/>
      <c r="W175" s="31" t="n"/>
      <c r="X175" s="31" t="n"/>
      <c r="Y175" s="31" t="n"/>
      <c r="Z175" s="31" t="n"/>
      <c r="AA175" s="31" t="n"/>
    </row>
    <row r="176" ht="14.25" customHeight="1">
      <c r="A176" s="31" t="n"/>
      <c r="D176" s="161" t="n"/>
      <c r="E176" s="161" t="n"/>
      <c r="P176" s="31" t="n"/>
      <c r="Q176" s="31" t="n"/>
      <c r="R176" s="31" t="n"/>
      <c r="S176" s="31" t="n"/>
      <c r="T176" s="31" t="n"/>
      <c r="U176" s="31" t="n"/>
      <c r="V176" s="31" t="n"/>
      <c r="W176" s="31" t="n"/>
      <c r="X176" s="31" t="n"/>
      <c r="Y176" s="31" t="n"/>
      <c r="Z176" s="31" t="n"/>
      <c r="AA176" s="31" t="n"/>
    </row>
    <row r="177" ht="14.25" customHeight="1">
      <c r="A177" s="31" t="n"/>
      <c r="D177" s="161" t="n"/>
      <c r="E177" s="161" t="n"/>
      <c r="P177" s="31" t="n"/>
      <c r="Q177" s="31" t="n"/>
      <c r="R177" s="31" t="n"/>
      <c r="S177" s="31" t="n"/>
      <c r="T177" s="31" t="n"/>
      <c r="U177" s="31" t="n"/>
      <c r="V177" s="31" t="n"/>
      <c r="W177" s="31" t="n"/>
      <c r="X177" s="31" t="n"/>
      <c r="Y177" s="31" t="n"/>
      <c r="Z177" s="31" t="n"/>
      <c r="AA177" s="31" t="n"/>
    </row>
    <row r="178" ht="14.25" customHeight="1">
      <c r="A178" s="31" t="n"/>
      <c r="D178" s="161" t="n"/>
      <c r="E178" s="161" t="n"/>
      <c r="P178" s="31" t="n"/>
      <c r="Q178" s="31" t="n"/>
      <c r="R178" s="31" t="n"/>
      <c r="S178" s="31" t="n"/>
      <c r="T178" s="31" t="n"/>
      <c r="U178" s="31" t="n"/>
      <c r="V178" s="31" t="n"/>
      <c r="W178" s="31" t="n"/>
      <c r="X178" s="31" t="n"/>
      <c r="Y178" s="31" t="n"/>
      <c r="Z178" s="31" t="n"/>
      <c r="AA178" s="31" t="n"/>
    </row>
    <row r="179" ht="14.25" customHeight="1">
      <c r="A179" s="31" t="n"/>
      <c r="D179" s="161" t="n"/>
      <c r="E179" s="161" t="n"/>
      <c r="P179" s="31" t="n"/>
      <c r="Q179" s="31" t="n"/>
      <c r="R179" s="31" t="n"/>
      <c r="S179" s="31" t="n"/>
      <c r="T179" s="31" t="n"/>
      <c r="U179" s="31" t="n"/>
      <c r="V179" s="31" t="n"/>
      <c r="W179" s="31" t="n"/>
      <c r="X179" s="31" t="n"/>
      <c r="Y179" s="31" t="n"/>
      <c r="Z179" s="31" t="n"/>
      <c r="AA179" s="31" t="n"/>
    </row>
    <row r="180" ht="14.25" customHeight="1">
      <c r="A180" s="31" t="n"/>
      <c r="D180" s="161" t="n"/>
      <c r="E180" s="161" t="n"/>
      <c r="P180" s="31" t="n"/>
      <c r="Q180" s="31" t="n"/>
      <c r="R180" s="31" t="n"/>
      <c r="S180" s="31" t="n"/>
      <c r="T180" s="31" t="n"/>
      <c r="U180" s="31" t="n"/>
      <c r="V180" s="31" t="n"/>
      <c r="W180" s="31" t="n"/>
      <c r="X180" s="31" t="n"/>
      <c r="Y180" s="31" t="n"/>
      <c r="Z180" s="31" t="n"/>
      <c r="AA180" s="31" t="n"/>
    </row>
    <row r="181" ht="14.25" customHeight="1">
      <c r="A181" s="31" t="n"/>
      <c r="D181" s="161" t="n"/>
      <c r="E181" s="161" t="n"/>
      <c r="P181" s="31" t="n"/>
      <c r="Q181" s="31" t="n"/>
      <c r="R181" s="31" t="n"/>
      <c r="S181" s="31" t="n"/>
      <c r="T181" s="31" t="n"/>
      <c r="U181" s="31" t="n"/>
      <c r="V181" s="31" t="n"/>
      <c r="W181" s="31" t="n"/>
      <c r="X181" s="31" t="n"/>
      <c r="Y181" s="31" t="n"/>
      <c r="Z181" s="31" t="n"/>
      <c r="AA181" s="31" t="n"/>
    </row>
    <row r="182" ht="14.25" customHeight="1">
      <c r="A182" s="31" t="n"/>
      <c r="D182" s="161" t="n"/>
      <c r="E182" s="161" t="n"/>
      <c r="P182" s="31" t="n"/>
      <c r="Q182" s="31" t="n"/>
      <c r="R182" s="31" t="n"/>
      <c r="S182" s="31" t="n"/>
      <c r="T182" s="31" t="n"/>
      <c r="U182" s="31" t="n"/>
      <c r="V182" s="31" t="n"/>
      <c r="W182" s="31" t="n"/>
      <c r="X182" s="31" t="n"/>
      <c r="Y182" s="31" t="n"/>
      <c r="Z182" s="31" t="n"/>
      <c r="AA182" s="31" t="n"/>
    </row>
    <row r="183" ht="14.25" customHeight="1">
      <c r="A183" s="31" t="n"/>
      <c r="D183" s="161" t="n"/>
      <c r="E183" s="161" t="n"/>
      <c r="P183" s="31" t="n"/>
      <c r="Q183" s="31" t="n"/>
      <c r="R183" s="31" t="n"/>
      <c r="S183" s="31" t="n"/>
      <c r="T183" s="31" t="n"/>
      <c r="U183" s="31" t="n"/>
      <c r="V183" s="31" t="n"/>
      <c r="W183" s="31" t="n"/>
      <c r="X183" s="31" t="n"/>
      <c r="Y183" s="31" t="n"/>
      <c r="Z183" s="31" t="n"/>
      <c r="AA183" s="31" t="n"/>
    </row>
    <row r="184" ht="14.25" customHeight="1">
      <c r="A184" s="31" t="n"/>
      <c r="D184" s="161" t="n"/>
      <c r="E184" s="161" t="n"/>
      <c r="P184" s="31" t="n"/>
      <c r="Q184" s="31" t="n"/>
      <c r="R184" s="31" t="n"/>
      <c r="S184" s="31" t="n"/>
      <c r="T184" s="31" t="n"/>
      <c r="U184" s="31" t="n"/>
      <c r="V184" s="31" t="n"/>
      <c r="W184" s="31" t="n"/>
      <c r="X184" s="31" t="n"/>
      <c r="Y184" s="31" t="n"/>
      <c r="Z184" s="31" t="n"/>
      <c r="AA184" s="31" t="n"/>
    </row>
    <row r="185" ht="14.25" customHeight="1">
      <c r="A185" s="31" t="n"/>
      <c r="D185" s="161" t="n"/>
      <c r="E185" s="161" t="n"/>
      <c r="P185" s="31" t="n"/>
      <c r="Q185" s="31" t="n"/>
      <c r="R185" s="31" t="n"/>
      <c r="S185" s="31" t="n"/>
      <c r="T185" s="31" t="n"/>
      <c r="U185" s="31" t="n"/>
      <c r="V185" s="31" t="n"/>
      <c r="W185" s="31" t="n"/>
      <c r="X185" s="31" t="n"/>
      <c r="Y185" s="31" t="n"/>
      <c r="Z185" s="31" t="n"/>
      <c r="AA185" s="31" t="n"/>
    </row>
    <row r="186" ht="14.25" customHeight="1">
      <c r="A186" s="31" t="n"/>
      <c r="D186" s="161" t="n"/>
      <c r="E186" s="161" t="n"/>
      <c r="P186" s="31" t="n"/>
      <c r="Q186" s="31" t="n"/>
      <c r="R186" s="31" t="n"/>
      <c r="S186" s="31" t="n"/>
      <c r="T186" s="31" t="n"/>
      <c r="U186" s="31" t="n"/>
      <c r="V186" s="31" t="n"/>
      <c r="W186" s="31" t="n"/>
      <c r="X186" s="31" t="n"/>
      <c r="Y186" s="31" t="n"/>
      <c r="Z186" s="31" t="n"/>
      <c r="AA186" s="31" t="n"/>
    </row>
    <row r="187" ht="14.25" customHeight="1">
      <c r="A187" s="31" t="n"/>
      <c r="D187" s="161" t="n"/>
      <c r="E187" s="161" t="n"/>
      <c r="P187" s="31" t="n"/>
      <c r="Q187" s="31" t="n"/>
      <c r="R187" s="31" t="n"/>
      <c r="S187" s="31" t="n"/>
      <c r="T187" s="31" t="n"/>
      <c r="U187" s="31" t="n"/>
      <c r="V187" s="31" t="n"/>
      <c r="W187" s="31" t="n"/>
      <c r="X187" s="31" t="n"/>
      <c r="Y187" s="31" t="n"/>
      <c r="Z187" s="31" t="n"/>
      <c r="AA187" s="31" t="n"/>
    </row>
    <row r="188" ht="14.25" customHeight="1">
      <c r="A188" s="31" t="n"/>
      <c r="D188" s="161" t="n"/>
      <c r="E188" s="161" t="n"/>
      <c r="P188" s="31" t="n"/>
      <c r="Q188" s="31" t="n"/>
      <c r="R188" s="31" t="n"/>
      <c r="S188" s="31" t="n"/>
      <c r="T188" s="31" t="n"/>
      <c r="U188" s="31" t="n"/>
      <c r="V188" s="31" t="n"/>
      <c r="W188" s="31" t="n"/>
      <c r="X188" s="31" t="n"/>
      <c r="Y188" s="31" t="n"/>
      <c r="Z188" s="31" t="n"/>
      <c r="AA188" s="31" t="n"/>
    </row>
    <row r="189" ht="14.25" customHeight="1">
      <c r="A189" s="31" t="n"/>
      <c r="D189" s="161" t="n"/>
      <c r="E189" s="161" t="n"/>
      <c r="P189" s="31" t="n"/>
      <c r="Q189" s="31" t="n"/>
      <c r="R189" s="31" t="n"/>
      <c r="S189" s="31" t="n"/>
      <c r="T189" s="31" t="n"/>
      <c r="U189" s="31" t="n"/>
      <c r="V189" s="31" t="n"/>
      <c r="W189" s="31" t="n"/>
      <c r="X189" s="31" t="n"/>
      <c r="Y189" s="31" t="n"/>
      <c r="Z189" s="31" t="n"/>
      <c r="AA189" s="31" t="n"/>
    </row>
    <row r="190" ht="14.25" customHeight="1">
      <c r="A190" s="31" t="n"/>
      <c r="D190" s="161" t="n"/>
      <c r="E190" s="161" t="n"/>
      <c r="P190" s="31" t="n"/>
      <c r="Q190" s="31" t="n"/>
      <c r="R190" s="31" t="n"/>
      <c r="S190" s="31" t="n"/>
      <c r="T190" s="31" t="n"/>
      <c r="U190" s="31" t="n"/>
      <c r="V190" s="31" t="n"/>
      <c r="W190" s="31" t="n"/>
      <c r="X190" s="31" t="n"/>
      <c r="Y190" s="31" t="n"/>
      <c r="Z190" s="31" t="n"/>
      <c r="AA190" s="31" t="n"/>
    </row>
    <row r="191" ht="14.25" customHeight="1">
      <c r="A191" s="31" t="n"/>
      <c r="D191" s="161" t="n"/>
      <c r="E191" s="161" t="n"/>
      <c r="P191" s="31" t="n"/>
      <c r="Q191" s="31" t="n"/>
      <c r="R191" s="31" t="n"/>
      <c r="S191" s="31" t="n"/>
      <c r="T191" s="31" t="n"/>
      <c r="U191" s="31" t="n"/>
      <c r="V191" s="31" t="n"/>
      <c r="W191" s="31" t="n"/>
      <c r="X191" s="31" t="n"/>
      <c r="Y191" s="31" t="n"/>
      <c r="Z191" s="31" t="n"/>
      <c r="AA191" s="31" t="n"/>
    </row>
    <row r="192" ht="14.25" customHeight="1">
      <c r="A192" s="31" t="n"/>
      <c r="D192" s="161" t="n"/>
      <c r="E192" s="161" t="n"/>
      <c r="P192" s="31" t="n"/>
      <c r="Q192" s="31" t="n"/>
      <c r="R192" s="31" t="n"/>
      <c r="S192" s="31" t="n"/>
      <c r="T192" s="31" t="n"/>
      <c r="U192" s="31" t="n"/>
      <c r="V192" s="31" t="n"/>
      <c r="W192" s="31" t="n"/>
      <c r="X192" s="31" t="n"/>
      <c r="Y192" s="31" t="n"/>
      <c r="Z192" s="31" t="n"/>
      <c r="AA192" s="31" t="n"/>
    </row>
    <row r="193" ht="14.25" customHeight="1">
      <c r="A193" s="31" t="n"/>
      <c r="D193" s="161" t="n"/>
      <c r="E193" s="161" t="n"/>
      <c r="P193" s="31" t="n"/>
      <c r="Q193" s="31" t="n"/>
      <c r="R193" s="31" t="n"/>
      <c r="S193" s="31" t="n"/>
      <c r="T193" s="31" t="n"/>
      <c r="U193" s="31" t="n"/>
      <c r="V193" s="31" t="n"/>
      <c r="W193" s="31" t="n"/>
      <c r="X193" s="31" t="n"/>
      <c r="Y193" s="31" t="n"/>
      <c r="Z193" s="31" t="n"/>
      <c r="AA193" s="31" t="n"/>
    </row>
    <row r="194" ht="14.25" customHeight="1">
      <c r="A194" s="31" t="n"/>
      <c r="D194" s="161" t="n"/>
      <c r="E194" s="161" t="n"/>
      <c r="P194" s="31" t="n"/>
      <c r="Q194" s="31" t="n"/>
      <c r="R194" s="31" t="n"/>
      <c r="S194" s="31" t="n"/>
      <c r="T194" s="31" t="n"/>
      <c r="U194" s="31" t="n"/>
      <c r="V194" s="31" t="n"/>
      <c r="W194" s="31" t="n"/>
      <c r="X194" s="31" t="n"/>
      <c r="Y194" s="31" t="n"/>
      <c r="Z194" s="31" t="n"/>
      <c r="AA194" s="31" t="n"/>
    </row>
    <row r="195" ht="14.25" customHeight="1">
      <c r="A195" s="31" t="n"/>
      <c r="D195" s="161" t="n"/>
      <c r="E195" s="161" t="n"/>
      <c r="P195" s="31" t="n"/>
      <c r="Q195" s="31" t="n"/>
      <c r="R195" s="31" t="n"/>
      <c r="S195" s="31" t="n"/>
      <c r="T195" s="31" t="n"/>
      <c r="U195" s="31" t="n"/>
      <c r="V195" s="31" t="n"/>
      <c r="W195" s="31" t="n"/>
      <c r="X195" s="31" t="n"/>
      <c r="Y195" s="31" t="n"/>
      <c r="Z195" s="31" t="n"/>
      <c r="AA195" s="31" t="n"/>
    </row>
    <row r="196" ht="14.25" customHeight="1">
      <c r="A196" s="31" t="n"/>
      <c r="D196" s="161" t="n"/>
      <c r="E196" s="161" t="n"/>
      <c r="P196" s="31" t="n"/>
      <c r="Q196" s="31" t="n"/>
      <c r="R196" s="31" t="n"/>
      <c r="S196" s="31" t="n"/>
      <c r="T196" s="31" t="n"/>
      <c r="U196" s="31" t="n"/>
      <c r="V196" s="31" t="n"/>
      <c r="W196" s="31" t="n"/>
      <c r="X196" s="31" t="n"/>
      <c r="Y196" s="31" t="n"/>
      <c r="Z196" s="31" t="n"/>
      <c r="AA196" s="31" t="n"/>
    </row>
    <row r="197" ht="14.25" customHeight="1">
      <c r="A197" s="31" t="n"/>
      <c r="D197" s="161" t="n"/>
      <c r="E197" s="161" t="n"/>
      <c r="P197" s="31" t="n"/>
      <c r="Q197" s="31" t="n"/>
      <c r="R197" s="31" t="n"/>
      <c r="S197" s="31" t="n"/>
      <c r="T197" s="31" t="n"/>
      <c r="U197" s="31" t="n"/>
      <c r="V197" s="31" t="n"/>
      <c r="W197" s="31" t="n"/>
      <c r="X197" s="31" t="n"/>
      <c r="Y197" s="31" t="n"/>
      <c r="Z197" s="31" t="n"/>
      <c r="AA197" s="31" t="n"/>
    </row>
    <row r="198" ht="14.25" customHeight="1">
      <c r="A198" s="31" t="n"/>
      <c r="D198" s="161" t="n"/>
      <c r="E198" s="161" t="n"/>
      <c r="P198" s="31" t="n"/>
      <c r="Q198" s="31" t="n"/>
      <c r="R198" s="31" t="n"/>
      <c r="S198" s="31" t="n"/>
      <c r="T198" s="31" t="n"/>
      <c r="U198" s="31" t="n"/>
      <c r="V198" s="31" t="n"/>
      <c r="W198" s="31" t="n"/>
      <c r="X198" s="31" t="n"/>
      <c r="Y198" s="31" t="n"/>
      <c r="Z198" s="31" t="n"/>
      <c r="AA198" s="31" t="n"/>
    </row>
    <row r="199" ht="14.25" customHeight="1">
      <c r="A199" s="31" t="n"/>
      <c r="D199" s="161" t="n"/>
      <c r="E199" s="161" t="n"/>
      <c r="P199" s="31" t="n"/>
      <c r="Q199" s="31" t="n"/>
      <c r="R199" s="31" t="n"/>
      <c r="S199" s="31" t="n"/>
      <c r="T199" s="31" t="n"/>
      <c r="U199" s="31" t="n"/>
      <c r="V199" s="31" t="n"/>
      <c r="W199" s="31" t="n"/>
      <c r="X199" s="31" t="n"/>
      <c r="Y199" s="31" t="n"/>
      <c r="Z199" s="31" t="n"/>
      <c r="AA199" s="31" t="n"/>
    </row>
    <row r="200" ht="14.25" customHeight="1">
      <c r="A200" s="31" t="n"/>
      <c r="D200" s="161" t="n"/>
      <c r="E200" s="161" t="n"/>
      <c r="P200" s="31" t="n"/>
      <c r="Q200" s="31" t="n"/>
      <c r="R200" s="31" t="n"/>
      <c r="S200" s="31" t="n"/>
      <c r="T200" s="31" t="n"/>
      <c r="U200" s="31" t="n"/>
      <c r="V200" s="31" t="n"/>
      <c r="W200" s="31" t="n"/>
      <c r="X200" s="31" t="n"/>
      <c r="Y200" s="31" t="n"/>
      <c r="Z200" s="31" t="n"/>
      <c r="AA200" s="31" t="n"/>
    </row>
    <row r="201" ht="14.25" customHeight="1">
      <c r="A201" s="31" t="n"/>
      <c r="D201" s="161" t="n"/>
      <c r="E201" s="161" t="n"/>
      <c r="P201" s="31" t="n"/>
      <c r="Q201" s="31" t="n"/>
      <c r="R201" s="31" t="n"/>
      <c r="S201" s="31" t="n"/>
      <c r="T201" s="31" t="n"/>
      <c r="U201" s="31" t="n"/>
      <c r="V201" s="31" t="n"/>
      <c r="W201" s="31" t="n"/>
      <c r="X201" s="31" t="n"/>
      <c r="Y201" s="31" t="n"/>
      <c r="Z201" s="31" t="n"/>
      <c r="AA201" s="31" t="n"/>
    </row>
    <row r="202" ht="14.25" customHeight="1">
      <c r="A202" s="31" t="n"/>
      <c r="D202" s="161" t="n"/>
      <c r="E202" s="161" t="n"/>
      <c r="P202" s="31" t="n"/>
      <c r="Q202" s="31" t="n"/>
      <c r="R202" s="31" t="n"/>
      <c r="S202" s="31" t="n"/>
      <c r="T202" s="31" t="n"/>
      <c r="U202" s="31" t="n"/>
      <c r="V202" s="31" t="n"/>
      <c r="W202" s="31" t="n"/>
      <c r="X202" s="31" t="n"/>
      <c r="Y202" s="31" t="n"/>
      <c r="Z202" s="31" t="n"/>
      <c r="AA202" s="31" t="n"/>
    </row>
    <row r="203" ht="14.25" customHeight="1">
      <c r="A203" s="31" t="n"/>
      <c r="D203" s="161" t="n"/>
      <c r="E203" s="161" t="n"/>
      <c r="P203" s="31" t="n"/>
      <c r="Q203" s="31" t="n"/>
      <c r="R203" s="31" t="n"/>
      <c r="S203" s="31" t="n"/>
      <c r="T203" s="31" t="n"/>
      <c r="U203" s="31" t="n"/>
      <c r="V203" s="31" t="n"/>
      <c r="W203" s="31" t="n"/>
      <c r="X203" s="31" t="n"/>
      <c r="Y203" s="31" t="n"/>
      <c r="Z203" s="31" t="n"/>
      <c r="AA203" s="31" t="n"/>
    </row>
    <row r="204" ht="14.25" customHeight="1">
      <c r="A204" s="31" t="n"/>
      <c r="D204" s="161" t="n"/>
      <c r="E204" s="161" t="n"/>
      <c r="P204" s="31" t="n"/>
      <c r="Q204" s="31" t="n"/>
      <c r="R204" s="31" t="n"/>
      <c r="S204" s="31" t="n"/>
      <c r="T204" s="31" t="n"/>
      <c r="U204" s="31" t="n"/>
      <c r="V204" s="31" t="n"/>
      <c r="W204" s="31" t="n"/>
      <c r="X204" s="31" t="n"/>
      <c r="Y204" s="31" t="n"/>
      <c r="Z204" s="31" t="n"/>
      <c r="AA204" s="31" t="n"/>
    </row>
    <row r="205" ht="14.25" customHeight="1">
      <c r="A205" s="31" t="n"/>
      <c r="D205" s="161" t="n"/>
      <c r="E205" s="161" t="n"/>
      <c r="P205" s="31" t="n"/>
      <c r="Q205" s="31" t="n"/>
      <c r="R205" s="31" t="n"/>
      <c r="S205" s="31" t="n"/>
      <c r="T205" s="31" t="n"/>
      <c r="U205" s="31" t="n"/>
      <c r="V205" s="31" t="n"/>
      <c r="W205" s="31" t="n"/>
      <c r="X205" s="31" t="n"/>
      <c r="Y205" s="31" t="n"/>
      <c r="Z205" s="31" t="n"/>
      <c r="AA205" s="31" t="n"/>
    </row>
    <row r="206" ht="14.25" customHeight="1">
      <c r="A206" s="31" t="n"/>
      <c r="D206" s="161" t="n"/>
      <c r="E206" s="161" t="n"/>
      <c r="P206" s="31" t="n"/>
      <c r="Q206" s="31" t="n"/>
      <c r="R206" s="31" t="n"/>
      <c r="S206" s="31" t="n"/>
      <c r="T206" s="31" t="n"/>
      <c r="U206" s="31" t="n"/>
      <c r="V206" s="31" t="n"/>
      <c r="W206" s="31" t="n"/>
      <c r="X206" s="31" t="n"/>
      <c r="Y206" s="31" t="n"/>
      <c r="Z206" s="31" t="n"/>
      <c r="AA206" s="31" t="n"/>
    </row>
    <row r="207" ht="14.25" customHeight="1">
      <c r="A207" s="31" t="n"/>
      <c r="D207" s="161" t="n"/>
      <c r="E207" s="161" t="n"/>
      <c r="P207" s="31" t="n"/>
      <c r="Q207" s="31" t="n"/>
      <c r="R207" s="31" t="n"/>
      <c r="S207" s="31" t="n"/>
      <c r="T207" s="31" t="n"/>
      <c r="U207" s="31" t="n"/>
      <c r="V207" s="31" t="n"/>
      <c r="W207" s="31" t="n"/>
      <c r="X207" s="31" t="n"/>
      <c r="Y207" s="31" t="n"/>
      <c r="Z207" s="31" t="n"/>
      <c r="AA207" s="31" t="n"/>
    </row>
    <row r="208" ht="14.25" customHeight="1">
      <c r="A208" s="31" t="n"/>
      <c r="D208" s="161" t="n"/>
      <c r="E208" s="161" t="n"/>
      <c r="P208" s="31" t="n"/>
      <c r="Q208" s="31" t="n"/>
      <c r="R208" s="31" t="n"/>
      <c r="S208" s="31" t="n"/>
      <c r="T208" s="31" t="n"/>
      <c r="U208" s="31" t="n"/>
      <c r="V208" s="31" t="n"/>
      <c r="W208" s="31" t="n"/>
      <c r="X208" s="31" t="n"/>
      <c r="Y208" s="31" t="n"/>
      <c r="Z208" s="31" t="n"/>
      <c r="AA208" s="31" t="n"/>
    </row>
    <row r="209" ht="14.25" customHeight="1">
      <c r="A209" s="31" t="n"/>
      <c r="D209" s="161" t="n"/>
      <c r="E209" s="161" t="n"/>
      <c r="P209" s="31" t="n"/>
      <c r="Q209" s="31" t="n"/>
      <c r="R209" s="31" t="n"/>
      <c r="S209" s="31" t="n"/>
      <c r="T209" s="31" t="n"/>
      <c r="U209" s="31" t="n"/>
      <c r="V209" s="31" t="n"/>
      <c r="W209" s="31" t="n"/>
      <c r="X209" s="31" t="n"/>
      <c r="Y209" s="31" t="n"/>
      <c r="Z209" s="31" t="n"/>
      <c r="AA209" s="31" t="n"/>
    </row>
    <row r="210" ht="14.25" customHeight="1">
      <c r="A210" s="31" t="n"/>
      <c r="D210" s="161" t="n"/>
      <c r="E210" s="161" t="n"/>
      <c r="P210" s="31" t="n"/>
      <c r="Q210" s="31" t="n"/>
      <c r="R210" s="31" t="n"/>
      <c r="S210" s="31" t="n"/>
      <c r="T210" s="31" t="n"/>
      <c r="U210" s="31" t="n"/>
      <c r="V210" s="31" t="n"/>
      <c r="W210" s="31" t="n"/>
      <c r="X210" s="31" t="n"/>
      <c r="Y210" s="31" t="n"/>
      <c r="Z210" s="31" t="n"/>
      <c r="AA210" s="31" t="n"/>
    </row>
    <row r="211" ht="14.25" customHeight="1">
      <c r="A211" s="31" t="n"/>
      <c r="D211" s="161" t="n"/>
      <c r="E211" s="161" t="n"/>
      <c r="P211" s="31" t="n"/>
      <c r="Q211" s="31" t="n"/>
      <c r="R211" s="31" t="n"/>
      <c r="S211" s="31" t="n"/>
      <c r="T211" s="31" t="n"/>
      <c r="U211" s="31" t="n"/>
      <c r="V211" s="31" t="n"/>
      <c r="W211" s="31" t="n"/>
      <c r="X211" s="31" t="n"/>
      <c r="Y211" s="31" t="n"/>
      <c r="Z211" s="31" t="n"/>
      <c r="AA211" s="31" t="n"/>
    </row>
    <row r="212" ht="14.25" customHeight="1">
      <c r="A212" s="31" t="n"/>
      <c r="D212" s="161" t="n"/>
      <c r="E212" s="161" t="n"/>
      <c r="P212" s="31" t="n"/>
      <c r="Q212" s="31" t="n"/>
      <c r="R212" s="31" t="n"/>
      <c r="S212" s="31" t="n"/>
      <c r="T212" s="31" t="n"/>
      <c r="U212" s="31" t="n"/>
      <c r="V212" s="31" t="n"/>
      <c r="W212" s="31" t="n"/>
      <c r="X212" s="31" t="n"/>
      <c r="Y212" s="31" t="n"/>
      <c r="Z212" s="31" t="n"/>
      <c r="AA212" s="31" t="n"/>
    </row>
    <row r="213" ht="14.25" customHeight="1">
      <c r="A213" s="31" t="n"/>
      <c r="D213" s="161" t="n"/>
      <c r="E213" s="161" t="n"/>
      <c r="P213" s="31" t="n"/>
      <c r="Q213" s="31" t="n"/>
      <c r="R213" s="31" t="n"/>
      <c r="S213" s="31" t="n"/>
      <c r="T213" s="31" t="n"/>
      <c r="U213" s="31" t="n"/>
      <c r="V213" s="31" t="n"/>
      <c r="W213" s="31" t="n"/>
      <c r="X213" s="31" t="n"/>
      <c r="Y213" s="31" t="n"/>
      <c r="Z213" s="31" t="n"/>
      <c r="AA213" s="31" t="n"/>
    </row>
    <row r="214" ht="14.25" customHeight="1">
      <c r="A214" s="31" t="n"/>
      <c r="D214" s="161" t="n"/>
      <c r="E214" s="161" t="n"/>
      <c r="P214" s="31" t="n"/>
      <c r="Q214" s="31" t="n"/>
      <c r="R214" s="31" t="n"/>
      <c r="S214" s="31" t="n"/>
      <c r="T214" s="31" t="n"/>
      <c r="U214" s="31" t="n"/>
      <c r="V214" s="31" t="n"/>
      <c r="W214" s="31" t="n"/>
      <c r="X214" s="31" t="n"/>
      <c r="Y214" s="31" t="n"/>
      <c r="Z214" s="31" t="n"/>
      <c r="AA214" s="31" t="n"/>
    </row>
    <row r="215" ht="14.25" customHeight="1">
      <c r="A215" s="31" t="n"/>
      <c r="D215" s="161" t="n"/>
      <c r="E215" s="161" t="n"/>
      <c r="P215" s="31" t="n"/>
      <c r="Q215" s="31" t="n"/>
      <c r="R215" s="31" t="n"/>
      <c r="S215" s="31" t="n"/>
      <c r="T215" s="31" t="n"/>
      <c r="U215" s="31" t="n"/>
      <c r="V215" s="31" t="n"/>
      <c r="W215" s="31" t="n"/>
      <c r="X215" s="31" t="n"/>
      <c r="Y215" s="31" t="n"/>
      <c r="Z215" s="31" t="n"/>
      <c r="AA215" s="31" t="n"/>
    </row>
    <row r="216" ht="14.25" customHeight="1">
      <c r="A216" s="31" t="n"/>
      <c r="D216" s="161" t="n"/>
      <c r="E216" s="161" t="n"/>
      <c r="P216" s="31" t="n"/>
      <c r="Q216" s="31" t="n"/>
      <c r="R216" s="31" t="n"/>
      <c r="S216" s="31" t="n"/>
      <c r="T216" s="31" t="n"/>
      <c r="U216" s="31" t="n"/>
      <c r="V216" s="31" t="n"/>
      <c r="W216" s="31" t="n"/>
      <c r="X216" s="31" t="n"/>
      <c r="Y216" s="31" t="n"/>
      <c r="Z216" s="31" t="n"/>
      <c r="AA216" s="31" t="n"/>
    </row>
    <row r="217" ht="14.25" customHeight="1">
      <c r="A217" s="31" t="n"/>
      <c r="D217" s="161" t="n"/>
      <c r="E217" s="161" t="n"/>
      <c r="P217" s="31" t="n"/>
      <c r="Q217" s="31" t="n"/>
      <c r="R217" s="31" t="n"/>
      <c r="S217" s="31" t="n"/>
      <c r="T217" s="31" t="n"/>
      <c r="U217" s="31" t="n"/>
      <c r="V217" s="31" t="n"/>
      <c r="W217" s="31" t="n"/>
      <c r="X217" s="31" t="n"/>
      <c r="Y217" s="31" t="n"/>
      <c r="Z217" s="31" t="n"/>
      <c r="AA217" s="31" t="n"/>
    </row>
    <row r="218" ht="14.25" customHeight="1">
      <c r="A218" s="31" t="n"/>
      <c r="D218" s="161" t="n"/>
      <c r="E218" s="161" t="n"/>
      <c r="P218" s="31" t="n"/>
      <c r="Q218" s="31" t="n"/>
      <c r="R218" s="31" t="n"/>
      <c r="S218" s="31" t="n"/>
      <c r="T218" s="31" t="n"/>
      <c r="U218" s="31" t="n"/>
      <c r="V218" s="31" t="n"/>
      <c r="W218" s="31" t="n"/>
      <c r="X218" s="31" t="n"/>
      <c r="Y218" s="31" t="n"/>
      <c r="Z218" s="31" t="n"/>
      <c r="AA218" s="31" t="n"/>
    </row>
    <row r="219" ht="14.25" customHeight="1">
      <c r="A219" s="31" t="n"/>
      <c r="D219" s="161" t="n"/>
      <c r="E219" s="161" t="n"/>
      <c r="P219" s="31" t="n"/>
      <c r="Q219" s="31" t="n"/>
      <c r="R219" s="31" t="n"/>
      <c r="S219" s="31" t="n"/>
      <c r="T219" s="31" t="n"/>
      <c r="U219" s="31" t="n"/>
      <c r="V219" s="31" t="n"/>
      <c r="W219" s="31" t="n"/>
      <c r="X219" s="31" t="n"/>
      <c r="Y219" s="31" t="n"/>
      <c r="Z219" s="31" t="n"/>
      <c r="AA219" s="31" t="n"/>
    </row>
    <row r="220" ht="14.25" customHeight="1">
      <c r="A220" s="31" t="n"/>
      <c r="D220" s="161" t="n"/>
      <c r="E220" s="161" t="n"/>
      <c r="P220" s="31" t="n"/>
      <c r="Q220" s="31" t="n"/>
      <c r="R220" s="31" t="n"/>
      <c r="S220" s="31" t="n"/>
      <c r="T220" s="31" t="n"/>
      <c r="U220" s="31" t="n"/>
      <c r="V220" s="31" t="n"/>
      <c r="W220" s="31" t="n"/>
      <c r="X220" s="31" t="n"/>
      <c r="Y220" s="31" t="n"/>
      <c r="Z220" s="31" t="n"/>
      <c r="AA220" s="31" t="n"/>
    </row>
    <row r="221" ht="14.25" customHeight="1">
      <c r="A221" s="31" t="n"/>
      <c r="D221" s="161" t="n"/>
      <c r="E221" s="161" t="n"/>
      <c r="P221" s="31" t="n"/>
      <c r="Q221" s="31" t="n"/>
      <c r="R221" s="31" t="n"/>
      <c r="S221" s="31" t="n"/>
      <c r="T221" s="31" t="n"/>
      <c r="U221" s="31" t="n"/>
      <c r="V221" s="31" t="n"/>
      <c r="W221" s="31" t="n"/>
      <c r="X221" s="31" t="n"/>
      <c r="Y221" s="31" t="n"/>
      <c r="Z221" s="31" t="n"/>
      <c r="AA221" s="31" t="n"/>
    </row>
    <row r="222" ht="14.25" customHeight="1">
      <c r="A222" s="31" t="n"/>
      <c r="D222" s="161" t="n"/>
      <c r="E222" s="161" t="n"/>
      <c r="P222" s="31" t="n"/>
      <c r="Q222" s="31" t="n"/>
      <c r="R222" s="31" t="n"/>
      <c r="S222" s="31" t="n"/>
      <c r="T222" s="31" t="n"/>
      <c r="U222" s="31" t="n"/>
      <c r="V222" s="31" t="n"/>
      <c r="W222" s="31" t="n"/>
      <c r="X222" s="31" t="n"/>
      <c r="Y222" s="31" t="n"/>
      <c r="Z222" s="31" t="n"/>
      <c r="AA222" s="31" t="n"/>
    </row>
    <row r="223" ht="14.25" customHeight="1">
      <c r="A223" s="31" t="n"/>
      <c r="D223" s="161" t="n"/>
      <c r="E223" s="161" t="n"/>
      <c r="P223" s="31" t="n"/>
      <c r="Q223" s="31" t="n"/>
      <c r="R223" s="31" t="n"/>
      <c r="S223" s="31" t="n"/>
      <c r="T223" s="31" t="n"/>
      <c r="U223" s="31" t="n"/>
      <c r="V223" s="31" t="n"/>
      <c r="W223" s="31" t="n"/>
      <c r="X223" s="31" t="n"/>
      <c r="Y223" s="31" t="n"/>
      <c r="Z223" s="31" t="n"/>
      <c r="AA223" s="31" t="n"/>
    </row>
    <row r="224" ht="14.25" customHeight="1">
      <c r="A224" s="31" t="n"/>
      <c r="D224" s="161" t="n"/>
      <c r="E224" s="161" t="n"/>
      <c r="P224" s="31" t="n"/>
      <c r="Q224" s="31" t="n"/>
      <c r="R224" s="31" t="n"/>
      <c r="S224" s="31" t="n"/>
      <c r="T224" s="31" t="n"/>
      <c r="U224" s="31" t="n"/>
      <c r="V224" s="31" t="n"/>
      <c r="W224" s="31" t="n"/>
      <c r="X224" s="31" t="n"/>
      <c r="Y224" s="31" t="n"/>
      <c r="Z224" s="31" t="n"/>
      <c r="AA224" s="31" t="n"/>
    </row>
    <row r="225" ht="14.25" customHeight="1">
      <c r="A225" s="31" t="n"/>
      <c r="D225" s="161" t="n"/>
      <c r="E225" s="161" t="n"/>
      <c r="P225" s="31" t="n"/>
      <c r="Q225" s="31" t="n"/>
      <c r="R225" s="31" t="n"/>
      <c r="S225" s="31" t="n"/>
      <c r="T225" s="31" t="n"/>
      <c r="U225" s="31" t="n"/>
      <c r="V225" s="31" t="n"/>
      <c r="W225" s="31" t="n"/>
      <c r="X225" s="31" t="n"/>
      <c r="Y225" s="31" t="n"/>
      <c r="Z225" s="31" t="n"/>
      <c r="AA225" s="31" t="n"/>
    </row>
    <row r="226" ht="14.25" customHeight="1">
      <c r="A226" s="31" t="n"/>
      <c r="D226" s="161" t="n"/>
      <c r="E226" s="161" t="n"/>
      <c r="P226" s="31" t="n"/>
      <c r="Q226" s="31" t="n"/>
      <c r="R226" s="31" t="n"/>
      <c r="S226" s="31" t="n"/>
      <c r="T226" s="31" t="n"/>
      <c r="U226" s="31" t="n"/>
      <c r="V226" s="31" t="n"/>
      <c r="W226" s="31" t="n"/>
      <c r="X226" s="31" t="n"/>
      <c r="Y226" s="31" t="n"/>
      <c r="Z226" s="31" t="n"/>
      <c r="AA226" s="31" t="n"/>
    </row>
    <row r="227" ht="14.25" customHeight="1">
      <c r="A227" s="31" t="n"/>
      <c r="D227" s="161" t="n"/>
      <c r="E227" s="161" t="n"/>
      <c r="P227" s="31" t="n"/>
      <c r="Q227" s="31" t="n"/>
      <c r="R227" s="31" t="n"/>
      <c r="S227" s="31" t="n"/>
      <c r="T227" s="31" t="n"/>
      <c r="U227" s="31" t="n"/>
      <c r="V227" s="31" t="n"/>
      <c r="W227" s="31" t="n"/>
      <c r="X227" s="31" t="n"/>
      <c r="Y227" s="31" t="n"/>
      <c r="Z227" s="31" t="n"/>
      <c r="AA227" s="31" t="n"/>
    </row>
    <row r="228" ht="14.25" customHeight="1">
      <c r="A228" s="31" t="n"/>
      <c r="D228" s="161" t="n"/>
      <c r="E228" s="161" t="n"/>
      <c r="P228" s="31" t="n"/>
      <c r="Q228" s="31" t="n"/>
      <c r="R228" s="31" t="n"/>
      <c r="S228" s="31" t="n"/>
      <c r="T228" s="31" t="n"/>
      <c r="U228" s="31" t="n"/>
      <c r="V228" s="31" t="n"/>
      <c r="W228" s="31" t="n"/>
      <c r="X228" s="31" t="n"/>
      <c r="Y228" s="31" t="n"/>
      <c r="Z228" s="31" t="n"/>
      <c r="AA228" s="31" t="n"/>
    </row>
    <row r="229" ht="14.25" customHeight="1">
      <c r="A229" s="31" t="n"/>
      <c r="D229" s="161" t="n"/>
      <c r="E229" s="161" t="n"/>
      <c r="P229" s="31" t="n"/>
      <c r="Q229" s="31" t="n"/>
      <c r="R229" s="31" t="n"/>
      <c r="S229" s="31" t="n"/>
      <c r="T229" s="31" t="n"/>
      <c r="U229" s="31" t="n"/>
      <c r="V229" s="31" t="n"/>
      <c r="W229" s="31" t="n"/>
      <c r="X229" s="31" t="n"/>
      <c r="Y229" s="31" t="n"/>
      <c r="Z229" s="31" t="n"/>
      <c r="AA229" s="31" t="n"/>
    </row>
    <row r="230" ht="14.25" customHeight="1">
      <c r="A230" s="31" t="n"/>
      <c r="D230" s="161" t="n"/>
      <c r="E230" s="161" t="n"/>
      <c r="P230" s="31" t="n"/>
      <c r="Q230" s="31" t="n"/>
      <c r="R230" s="31" t="n"/>
      <c r="S230" s="31" t="n"/>
      <c r="T230" s="31" t="n"/>
      <c r="U230" s="31" t="n"/>
      <c r="V230" s="31" t="n"/>
      <c r="W230" s="31" t="n"/>
      <c r="X230" s="31" t="n"/>
      <c r="Y230" s="31" t="n"/>
      <c r="Z230" s="31" t="n"/>
      <c r="AA230" s="31" t="n"/>
    </row>
    <row r="231" ht="14.25" customHeight="1">
      <c r="A231" s="31" t="n"/>
      <c r="D231" s="161" t="n"/>
      <c r="E231" s="161" t="n"/>
      <c r="P231" s="31" t="n"/>
      <c r="Q231" s="31" t="n"/>
      <c r="R231" s="31" t="n"/>
      <c r="S231" s="31" t="n"/>
      <c r="T231" s="31" t="n"/>
      <c r="U231" s="31" t="n"/>
      <c r="V231" s="31" t="n"/>
      <c r="W231" s="31" t="n"/>
      <c r="X231" s="31" t="n"/>
      <c r="Y231" s="31" t="n"/>
      <c r="Z231" s="31" t="n"/>
      <c r="AA231" s="31" t="n"/>
    </row>
    <row r="232" ht="14.25" customHeight="1">
      <c r="A232" s="31" t="n"/>
      <c r="D232" s="161" t="n"/>
      <c r="E232" s="161" t="n"/>
      <c r="P232" s="31" t="n"/>
      <c r="Q232" s="31" t="n"/>
      <c r="R232" s="31" t="n"/>
      <c r="S232" s="31" t="n"/>
      <c r="T232" s="31" t="n"/>
      <c r="U232" s="31" t="n"/>
      <c r="V232" s="31" t="n"/>
      <c r="W232" s="31" t="n"/>
      <c r="X232" s="31" t="n"/>
      <c r="Y232" s="31" t="n"/>
      <c r="Z232" s="31" t="n"/>
      <c r="AA232" s="31" t="n"/>
    </row>
    <row r="233" ht="14.25" customHeight="1">
      <c r="A233" s="31" t="n"/>
      <c r="D233" s="161" t="n"/>
      <c r="E233" s="161" t="n"/>
      <c r="P233" s="31" t="n"/>
      <c r="Q233" s="31" t="n"/>
      <c r="R233" s="31" t="n"/>
      <c r="S233" s="31" t="n"/>
      <c r="T233" s="31" t="n"/>
      <c r="U233" s="31" t="n"/>
      <c r="V233" s="31" t="n"/>
      <c r="W233" s="31" t="n"/>
      <c r="X233" s="31" t="n"/>
      <c r="Y233" s="31" t="n"/>
      <c r="Z233" s="31" t="n"/>
      <c r="AA233" s="31" t="n"/>
    </row>
    <row r="234" ht="14.25" customHeight="1">
      <c r="A234" s="31" t="n"/>
      <c r="D234" s="161" t="n"/>
      <c r="E234" s="161" t="n"/>
      <c r="P234" s="31" t="n"/>
      <c r="Q234" s="31" t="n"/>
      <c r="R234" s="31" t="n"/>
      <c r="S234" s="31" t="n"/>
      <c r="T234" s="31" t="n"/>
      <c r="U234" s="31" t="n"/>
      <c r="V234" s="31" t="n"/>
      <c r="W234" s="31" t="n"/>
      <c r="X234" s="31" t="n"/>
      <c r="Y234" s="31" t="n"/>
      <c r="Z234" s="31" t="n"/>
      <c r="AA234" s="31" t="n"/>
    </row>
    <row r="235" ht="14.25" customHeight="1">
      <c r="A235" s="31" t="n"/>
      <c r="D235" s="161" t="n"/>
      <c r="E235" s="161" t="n"/>
      <c r="P235" s="31" t="n"/>
      <c r="Q235" s="31" t="n"/>
      <c r="R235" s="31" t="n"/>
      <c r="S235" s="31" t="n"/>
      <c r="T235" s="31" t="n"/>
      <c r="U235" s="31" t="n"/>
      <c r="V235" s="31" t="n"/>
      <c r="W235" s="31" t="n"/>
      <c r="X235" s="31" t="n"/>
      <c r="Y235" s="31" t="n"/>
      <c r="Z235" s="31" t="n"/>
      <c r="AA235" s="31" t="n"/>
    </row>
    <row r="236" ht="14.25" customHeight="1">
      <c r="A236" s="31" t="n"/>
      <c r="D236" s="161" t="n"/>
      <c r="E236" s="161" t="n"/>
      <c r="P236" s="31" t="n"/>
      <c r="Q236" s="31" t="n"/>
      <c r="R236" s="31" t="n"/>
      <c r="S236" s="31" t="n"/>
      <c r="T236" s="31" t="n"/>
      <c r="U236" s="31" t="n"/>
      <c r="V236" s="31" t="n"/>
      <c r="W236" s="31" t="n"/>
      <c r="X236" s="31" t="n"/>
      <c r="Y236" s="31" t="n"/>
      <c r="Z236" s="31" t="n"/>
      <c r="AA236" s="31" t="n"/>
    </row>
    <row r="237" ht="14.25" customHeight="1">
      <c r="A237" s="31" t="n"/>
      <c r="D237" s="161" t="n"/>
      <c r="E237" s="161" t="n"/>
      <c r="P237" s="31" t="n"/>
      <c r="Q237" s="31" t="n"/>
      <c r="R237" s="31" t="n"/>
      <c r="S237" s="31" t="n"/>
      <c r="T237" s="31" t="n"/>
      <c r="U237" s="31" t="n"/>
      <c r="V237" s="31" t="n"/>
      <c r="W237" s="31" t="n"/>
      <c r="X237" s="31" t="n"/>
      <c r="Y237" s="31" t="n"/>
      <c r="Z237" s="31" t="n"/>
      <c r="AA237" s="31" t="n"/>
    </row>
    <row r="238" ht="14.25" customHeight="1">
      <c r="A238" s="31" t="n"/>
      <c r="D238" s="161" t="n"/>
      <c r="E238" s="161" t="n"/>
      <c r="P238" s="31" t="n"/>
      <c r="Q238" s="31" t="n"/>
      <c r="R238" s="31" t="n"/>
      <c r="S238" s="31" t="n"/>
      <c r="T238" s="31" t="n"/>
      <c r="U238" s="31" t="n"/>
      <c r="V238" s="31" t="n"/>
      <c r="W238" s="31" t="n"/>
      <c r="X238" s="31" t="n"/>
      <c r="Y238" s="31" t="n"/>
      <c r="Z238" s="31" t="n"/>
      <c r="AA238" s="31" t="n"/>
    </row>
    <row r="239" ht="14.25" customHeight="1">
      <c r="A239" s="31" t="n"/>
      <c r="D239" s="161" t="n"/>
      <c r="E239" s="161" t="n"/>
      <c r="P239" s="31" t="n"/>
      <c r="Q239" s="31" t="n"/>
      <c r="R239" s="31" t="n"/>
      <c r="S239" s="31" t="n"/>
      <c r="T239" s="31" t="n"/>
      <c r="U239" s="31" t="n"/>
      <c r="V239" s="31" t="n"/>
      <c r="W239" s="31" t="n"/>
      <c r="X239" s="31" t="n"/>
      <c r="Y239" s="31" t="n"/>
      <c r="Z239" s="31" t="n"/>
      <c r="AA239" s="31" t="n"/>
    </row>
    <row r="240" ht="14.25" customHeight="1">
      <c r="A240" s="31" t="n"/>
      <c r="D240" s="161" t="n"/>
      <c r="E240" s="161" t="n"/>
      <c r="P240" s="31" t="n"/>
      <c r="Q240" s="31" t="n"/>
      <c r="R240" s="31" t="n"/>
      <c r="S240" s="31" t="n"/>
      <c r="T240" s="31" t="n"/>
      <c r="U240" s="31" t="n"/>
      <c r="V240" s="31" t="n"/>
      <c r="W240" s="31" t="n"/>
      <c r="X240" s="31" t="n"/>
      <c r="Y240" s="31" t="n"/>
      <c r="Z240" s="31" t="n"/>
      <c r="AA240" s="31" t="n"/>
    </row>
    <row r="241" ht="14.25" customHeight="1">
      <c r="A241" s="31" t="n"/>
      <c r="D241" s="161" t="n"/>
      <c r="E241" s="161" t="n"/>
      <c r="P241" s="31" t="n"/>
      <c r="Q241" s="31" t="n"/>
      <c r="R241" s="31" t="n"/>
      <c r="S241" s="31" t="n"/>
      <c r="T241" s="31" t="n"/>
      <c r="U241" s="31" t="n"/>
      <c r="V241" s="31" t="n"/>
      <c r="W241" s="31" t="n"/>
      <c r="X241" s="31" t="n"/>
      <c r="Y241" s="31" t="n"/>
      <c r="Z241" s="31" t="n"/>
      <c r="AA241" s="31" t="n"/>
    </row>
    <row r="242" ht="14.25" customHeight="1">
      <c r="A242" s="31" t="n"/>
      <c r="D242" s="161" t="n"/>
      <c r="E242" s="161" t="n"/>
      <c r="P242" s="31" t="n"/>
      <c r="Q242" s="31" t="n"/>
      <c r="R242" s="31" t="n"/>
      <c r="S242" s="31" t="n"/>
      <c r="T242" s="31" t="n"/>
      <c r="U242" s="31" t="n"/>
      <c r="V242" s="31" t="n"/>
      <c r="W242" s="31" t="n"/>
      <c r="X242" s="31" t="n"/>
      <c r="Y242" s="31" t="n"/>
      <c r="Z242" s="31" t="n"/>
      <c r="AA242" s="31" t="n"/>
    </row>
    <row r="243" ht="14.25" customHeight="1">
      <c r="A243" s="31" t="n"/>
      <c r="D243" s="161" t="n"/>
      <c r="E243" s="161" t="n"/>
      <c r="P243" s="31" t="n"/>
      <c r="Q243" s="31" t="n"/>
      <c r="R243" s="31" t="n"/>
      <c r="S243" s="31" t="n"/>
      <c r="T243" s="31" t="n"/>
      <c r="U243" s="31" t="n"/>
      <c r="V243" s="31" t="n"/>
      <c r="W243" s="31" t="n"/>
      <c r="X243" s="31" t="n"/>
      <c r="Y243" s="31" t="n"/>
      <c r="Z243" s="31" t="n"/>
      <c r="AA243" s="31" t="n"/>
    </row>
    <row r="244" ht="14.25" customHeight="1">
      <c r="A244" s="31" t="n"/>
      <c r="D244" s="161" t="n"/>
      <c r="E244" s="161" t="n"/>
      <c r="P244" s="31" t="n"/>
      <c r="Q244" s="31" t="n"/>
      <c r="R244" s="31" t="n"/>
      <c r="S244" s="31" t="n"/>
      <c r="T244" s="31" t="n"/>
      <c r="U244" s="31" t="n"/>
      <c r="V244" s="31" t="n"/>
      <c r="W244" s="31" t="n"/>
      <c r="X244" s="31" t="n"/>
      <c r="Y244" s="31" t="n"/>
      <c r="Z244" s="31" t="n"/>
      <c r="AA244" s="31" t="n"/>
    </row>
    <row r="245" ht="14.25" customHeight="1">
      <c r="A245" s="31" t="n"/>
      <c r="D245" s="161" t="n"/>
      <c r="E245" s="161" t="n"/>
      <c r="P245" s="31" t="n"/>
      <c r="Q245" s="31" t="n"/>
      <c r="R245" s="31" t="n"/>
      <c r="S245" s="31" t="n"/>
      <c r="T245" s="31" t="n"/>
      <c r="U245" s="31" t="n"/>
      <c r="V245" s="31" t="n"/>
      <c r="W245" s="31" t="n"/>
      <c r="X245" s="31" t="n"/>
      <c r="Y245" s="31" t="n"/>
      <c r="Z245" s="31" t="n"/>
      <c r="AA245" s="31" t="n"/>
    </row>
    <row r="246" ht="14.25" customHeight="1">
      <c r="A246" s="31" t="n"/>
      <c r="D246" s="161" t="n"/>
      <c r="E246" s="161" t="n"/>
      <c r="P246" s="31" t="n"/>
      <c r="Q246" s="31" t="n"/>
      <c r="R246" s="31" t="n"/>
      <c r="S246" s="31" t="n"/>
      <c r="T246" s="31" t="n"/>
      <c r="U246" s="31" t="n"/>
      <c r="V246" s="31" t="n"/>
      <c r="W246" s="31" t="n"/>
      <c r="X246" s="31" t="n"/>
      <c r="Y246" s="31" t="n"/>
      <c r="Z246" s="31" t="n"/>
      <c r="AA246" s="31" t="n"/>
    </row>
    <row r="247" ht="14.25" customHeight="1">
      <c r="A247" s="31" t="n"/>
      <c r="D247" s="161" t="n"/>
      <c r="E247" s="161" t="n"/>
      <c r="P247" s="31" t="n"/>
      <c r="Q247" s="31" t="n"/>
      <c r="R247" s="31" t="n"/>
      <c r="S247" s="31" t="n"/>
      <c r="T247" s="31" t="n"/>
      <c r="U247" s="31" t="n"/>
      <c r="V247" s="31" t="n"/>
      <c r="W247" s="31" t="n"/>
      <c r="X247" s="31" t="n"/>
      <c r="Y247" s="31" t="n"/>
      <c r="Z247" s="31" t="n"/>
      <c r="AA247" s="31" t="n"/>
    </row>
    <row r="248" ht="14.25" customHeight="1">
      <c r="A248" s="31" t="n"/>
      <c r="D248" s="161" t="n"/>
      <c r="E248" s="161" t="n"/>
      <c r="P248" s="31" t="n"/>
      <c r="Q248" s="31" t="n"/>
      <c r="R248" s="31" t="n"/>
      <c r="S248" s="31" t="n"/>
      <c r="T248" s="31" t="n"/>
      <c r="U248" s="31" t="n"/>
      <c r="V248" s="31" t="n"/>
      <c r="W248" s="31" t="n"/>
      <c r="X248" s="31" t="n"/>
      <c r="Y248" s="31" t="n"/>
      <c r="Z248" s="31" t="n"/>
      <c r="AA248" s="31" t="n"/>
    </row>
    <row r="249" ht="14.25" customHeight="1">
      <c r="A249" s="31" t="n"/>
      <c r="D249" s="161" t="n"/>
      <c r="E249" s="161" t="n"/>
      <c r="P249" s="31" t="n"/>
      <c r="Q249" s="31" t="n"/>
      <c r="R249" s="31" t="n"/>
      <c r="S249" s="31" t="n"/>
      <c r="T249" s="31" t="n"/>
      <c r="U249" s="31" t="n"/>
      <c r="V249" s="31" t="n"/>
      <c r="W249" s="31" t="n"/>
      <c r="X249" s="31" t="n"/>
      <c r="Y249" s="31" t="n"/>
      <c r="Z249" s="31" t="n"/>
      <c r="AA249" s="31" t="n"/>
    </row>
    <row r="250" ht="14.25" customHeight="1">
      <c r="A250" s="31" t="n"/>
      <c r="D250" s="161" t="n"/>
      <c r="E250" s="161" t="n"/>
      <c r="P250" s="31" t="n"/>
      <c r="Q250" s="31" t="n"/>
      <c r="R250" s="31" t="n"/>
      <c r="S250" s="31" t="n"/>
      <c r="T250" s="31" t="n"/>
      <c r="U250" s="31" t="n"/>
      <c r="V250" s="31" t="n"/>
      <c r="W250" s="31" t="n"/>
      <c r="X250" s="31" t="n"/>
      <c r="Y250" s="31" t="n"/>
      <c r="Z250" s="31" t="n"/>
      <c r="AA250" s="31" t="n"/>
    </row>
    <row r="251" ht="14.25" customHeight="1">
      <c r="A251" s="31" t="n"/>
      <c r="D251" s="161" t="n"/>
      <c r="E251" s="161" t="n"/>
      <c r="P251" s="31" t="n"/>
      <c r="Q251" s="31" t="n"/>
      <c r="R251" s="31" t="n"/>
      <c r="S251" s="31" t="n"/>
      <c r="T251" s="31" t="n"/>
      <c r="U251" s="31" t="n"/>
      <c r="V251" s="31" t="n"/>
      <c r="W251" s="31" t="n"/>
      <c r="X251" s="31" t="n"/>
      <c r="Y251" s="31" t="n"/>
      <c r="Z251" s="31" t="n"/>
      <c r="AA251" s="31" t="n"/>
    </row>
    <row r="252" ht="14.25" customHeight="1">
      <c r="A252" s="31" t="n"/>
      <c r="D252" s="161" t="n"/>
      <c r="E252" s="161" t="n"/>
      <c r="P252" s="31" t="n"/>
      <c r="Q252" s="31" t="n"/>
      <c r="R252" s="31" t="n"/>
      <c r="S252" s="31" t="n"/>
      <c r="T252" s="31" t="n"/>
      <c r="U252" s="31" t="n"/>
      <c r="V252" s="31" t="n"/>
      <c r="W252" s="31" t="n"/>
      <c r="X252" s="31" t="n"/>
      <c r="Y252" s="31" t="n"/>
      <c r="Z252" s="31" t="n"/>
      <c r="AA252" s="31" t="n"/>
    </row>
    <row r="253" ht="14.25" customHeight="1">
      <c r="A253" s="31" t="n"/>
      <c r="D253" s="161" t="n"/>
      <c r="E253" s="161" t="n"/>
      <c r="P253" s="31" t="n"/>
      <c r="Q253" s="31" t="n"/>
      <c r="R253" s="31" t="n"/>
      <c r="S253" s="31" t="n"/>
      <c r="T253" s="31" t="n"/>
      <c r="U253" s="31" t="n"/>
      <c r="V253" s="31" t="n"/>
      <c r="W253" s="31" t="n"/>
      <c r="X253" s="31" t="n"/>
      <c r="Y253" s="31" t="n"/>
      <c r="Z253" s="31" t="n"/>
      <c r="AA253" s="31" t="n"/>
    </row>
    <row r="254" ht="14.25" customHeight="1">
      <c r="A254" s="31" t="n"/>
      <c r="D254" s="161" t="n"/>
      <c r="E254" s="161" t="n"/>
      <c r="P254" s="31" t="n"/>
      <c r="Q254" s="31" t="n"/>
      <c r="R254" s="31" t="n"/>
      <c r="S254" s="31" t="n"/>
      <c r="T254" s="31" t="n"/>
      <c r="U254" s="31" t="n"/>
      <c r="V254" s="31" t="n"/>
      <c r="W254" s="31" t="n"/>
      <c r="X254" s="31" t="n"/>
      <c r="Y254" s="31" t="n"/>
      <c r="Z254" s="31" t="n"/>
      <c r="AA254" s="31" t="n"/>
    </row>
    <row r="255" ht="14.25" customHeight="1">
      <c r="A255" s="31" t="n"/>
      <c r="D255" s="161" t="n"/>
      <c r="E255" s="161" t="n"/>
      <c r="P255" s="31" t="n"/>
      <c r="Q255" s="31" t="n"/>
      <c r="R255" s="31" t="n"/>
      <c r="S255" s="31" t="n"/>
      <c r="T255" s="31" t="n"/>
      <c r="U255" s="31" t="n"/>
      <c r="V255" s="31" t="n"/>
      <c r="W255" s="31" t="n"/>
      <c r="X255" s="31" t="n"/>
      <c r="Y255" s="31" t="n"/>
      <c r="Z255" s="31" t="n"/>
      <c r="AA255" s="31" t="n"/>
    </row>
    <row r="256" ht="14.25" customHeight="1">
      <c r="A256" s="31" t="n"/>
      <c r="D256" s="161" t="n"/>
      <c r="E256" s="161" t="n"/>
      <c r="P256" s="31" t="n"/>
      <c r="Q256" s="31" t="n"/>
      <c r="R256" s="31" t="n"/>
      <c r="S256" s="31" t="n"/>
      <c r="T256" s="31" t="n"/>
      <c r="U256" s="31" t="n"/>
      <c r="V256" s="31" t="n"/>
      <c r="W256" s="31" t="n"/>
      <c r="X256" s="31" t="n"/>
      <c r="Y256" s="31" t="n"/>
      <c r="Z256" s="31" t="n"/>
      <c r="AA256" s="31" t="n"/>
    </row>
    <row r="257" ht="14.25" customHeight="1">
      <c r="A257" s="31" t="n"/>
      <c r="D257" s="161" t="n"/>
      <c r="E257" s="161" t="n"/>
      <c r="P257" s="31" t="n"/>
      <c r="Q257" s="31" t="n"/>
      <c r="R257" s="31" t="n"/>
      <c r="S257" s="31" t="n"/>
      <c r="T257" s="31" t="n"/>
      <c r="U257" s="31" t="n"/>
      <c r="V257" s="31" t="n"/>
      <c r="W257" s="31" t="n"/>
      <c r="X257" s="31" t="n"/>
      <c r="Y257" s="31" t="n"/>
      <c r="Z257" s="31" t="n"/>
      <c r="AA257" s="31" t="n"/>
    </row>
    <row r="258" ht="14.25" customHeight="1">
      <c r="A258" s="31" t="n"/>
      <c r="D258" s="161" t="n"/>
      <c r="E258" s="161" t="n"/>
      <c r="P258" s="31" t="n"/>
      <c r="Q258" s="31" t="n"/>
      <c r="R258" s="31" t="n"/>
      <c r="S258" s="31" t="n"/>
      <c r="T258" s="31" t="n"/>
      <c r="U258" s="31" t="n"/>
      <c r="V258" s="31" t="n"/>
      <c r="W258" s="31" t="n"/>
      <c r="X258" s="31" t="n"/>
      <c r="Y258" s="31" t="n"/>
      <c r="Z258" s="31" t="n"/>
      <c r="AA258" s="31" t="n"/>
    </row>
    <row r="259" ht="14.25" customHeight="1">
      <c r="A259" s="31" t="n"/>
      <c r="D259" s="161" t="n"/>
      <c r="E259" s="161" t="n"/>
      <c r="P259" s="31" t="n"/>
      <c r="Q259" s="31" t="n"/>
      <c r="R259" s="31" t="n"/>
      <c r="S259" s="31" t="n"/>
      <c r="T259" s="31" t="n"/>
      <c r="U259" s="31" t="n"/>
      <c r="V259" s="31" t="n"/>
      <c r="W259" s="31" t="n"/>
      <c r="X259" s="31" t="n"/>
      <c r="Y259" s="31" t="n"/>
      <c r="Z259" s="31" t="n"/>
      <c r="AA259" s="31" t="n"/>
    </row>
    <row r="260" ht="14.25" customHeight="1">
      <c r="A260" s="31" t="n"/>
      <c r="D260" s="161" t="n"/>
      <c r="E260" s="161" t="n"/>
      <c r="P260" s="31" t="n"/>
      <c r="Q260" s="31" t="n"/>
      <c r="R260" s="31" t="n"/>
      <c r="S260" s="31" t="n"/>
      <c r="T260" s="31" t="n"/>
      <c r="U260" s="31" t="n"/>
      <c r="V260" s="31" t="n"/>
      <c r="W260" s="31" t="n"/>
      <c r="X260" s="31" t="n"/>
      <c r="Y260" s="31" t="n"/>
      <c r="Z260" s="31" t="n"/>
      <c r="AA260" s="31" t="n"/>
    </row>
    <row r="261" ht="14.25" customHeight="1">
      <c r="A261" s="31" t="n"/>
      <c r="D261" s="161" t="n"/>
      <c r="E261" s="161" t="n"/>
      <c r="P261" s="31" t="n"/>
      <c r="Q261" s="31" t="n"/>
      <c r="R261" s="31" t="n"/>
      <c r="S261" s="31" t="n"/>
      <c r="T261" s="31" t="n"/>
      <c r="U261" s="31" t="n"/>
      <c r="V261" s="31" t="n"/>
      <c r="W261" s="31" t="n"/>
      <c r="X261" s="31" t="n"/>
      <c r="Y261" s="31" t="n"/>
      <c r="Z261" s="31" t="n"/>
      <c r="AA261" s="31" t="n"/>
    </row>
    <row r="262" ht="14.25" customHeight="1">
      <c r="A262" s="31" t="n"/>
      <c r="D262" s="161" t="n"/>
      <c r="E262" s="161" t="n"/>
      <c r="P262" s="31" t="n"/>
      <c r="Q262" s="31" t="n"/>
      <c r="R262" s="31" t="n"/>
      <c r="S262" s="31" t="n"/>
      <c r="T262" s="31" t="n"/>
      <c r="U262" s="31" t="n"/>
      <c r="V262" s="31" t="n"/>
      <c r="W262" s="31" t="n"/>
      <c r="X262" s="31" t="n"/>
      <c r="Y262" s="31" t="n"/>
      <c r="Z262" s="31" t="n"/>
      <c r="AA262" s="31" t="n"/>
    </row>
    <row r="263" ht="14.25" customHeight="1">
      <c r="A263" s="31" t="n"/>
      <c r="D263" s="161" t="n"/>
      <c r="E263" s="161" t="n"/>
      <c r="P263" s="31" t="n"/>
      <c r="Q263" s="31" t="n"/>
      <c r="R263" s="31" t="n"/>
      <c r="S263" s="31" t="n"/>
      <c r="T263" s="31" t="n"/>
      <c r="U263" s="31" t="n"/>
      <c r="V263" s="31" t="n"/>
      <c r="W263" s="31" t="n"/>
      <c r="X263" s="31" t="n"/>
      <c r="Y263" s="31" t="n"/>
      <c r="Z263" s="31" t="n"/>
      <c r="AA263" s="31" t="n"/>
    </row>
    <row r="264" ht="14.25" customHeight="1">
      <c r="A264" s="31" t="n"/>
      <c r="D264" s="161" t="n"/>
      <c r="E264" s="161" t="n"/>
      <c r="P264" s="31" t="n"/>
      <c r="Q264" s="31" t="n"/>
      <c r="R264" s="31" t="n"/>
      <c r="S264" s="31" t="n"/>
      <c r="T264" s="31" t="n"/>
      <c r="U264" s="31" t="n"/>
      <c r="V264" s="31" t="n"/>
      <c r="W264" s="31" t="n"/>
      <c r="X264" s="31" t="n"/>
      <c r="Y264" s="31" t="n"/>
      <c r="Z264" s="31" t="n"/>
      <c r="AA264" s="31" t="n"/>
    </row>
    <row r="265" ht="14.25" customHeight="1">
      <c r="A265" s="31" t="n"/>
      <c r="D265" s="161" t="n"/>
      <c r="E265" s="161" t="n"/>
      <c r="P265" s="31" t="n"/>
      <c r="Q265" s="31" t="n"/>
      <c r="R265" s="31" t="n"/>
      <c r="S265" s="31" t="n"/>
      <c r="T265" s="31" t="n"/>
      <c r="U265" s="31" t="n"/>
      <c r="V265" s="31" t="n"/>
      <c r="W265" s="31" t="n"/>
      <c r="X265" s="31" t="n"/>
      <c r="Y265" s="31" t="n"/>
      <c r="Z265" s="31" t="n"/>
      <c r="AA265" s="31" t="n"/>
    </row>
    <row r="266" ht="14.25" customHeight="1">
      <c r="A266" s="31" t="n"/>
      <c r="D266" s="161" t="n"/>
      <c r="E266" s="161" t="n"/>
      <c r="P266" s="31" t="n"/>
      <c r="Q266" s="31" t="n"/>
      <c r="R266" s="31" t="n"/>
      <c r="S266" s="31" t="n"/>
      <c r="T266" s="31" t="n"/>
      <c r="U266" s="31" t="n"/>
      <c r="V266" s="31" t="n"/>
      <c r="W266" s="31" t="n"/>
      <c r="X266" s="31" t="n"/>
      <c r="Y266" s="31" t="n"/>
      <c r="Z266" s="31" t="n"/>
      <c r="AA266" s="31" t="n"/>
    </row>
    <row r="267" ht="14.25" customHeight="1">
      <c r="A267" s="31" t="n"/>
      <c r="D267" s="161" t="n"/>
      <c r="E267" s="161" t="n"/>
      <c r="P267" s="31" t="n"/>
      <c r="Q267" s="31" t="n"/>
      <c r="R267" s="31" t="n"/>
      <c r="S267" s="31" t="n"/>
      <c r="T267" s="31" t="n"/>
      <c r="U267" s="31" t="n"/>
      <c r="V267" s="31" t="n"/>
      <c r="W267" s="31" t="n"/>
      <c r="X267" s="31" t="n"/>
      <c r="Y267" s="31" t="n"/>
      <c r="Z267" s="31" t="n"/>
      <c r="AA267" s="31" t="n"/>
    </row>
    <row r="268" ht="14.25" customHeight="1">
      <c r="A268" s="31" t="n"/>
      <c r="D268" s="161" t="n"/>
      <c r="E268" s="161" t="n"/>
      <c r="P268" s="31" t="n"/>
      <c r="Q268" s="31" t="n"/>
      <c r="R268" s="31" t="n"/>
      <c r="S268" s="31" t="n"/>
      <c r="T268" s="31" t="n"/>
      <c r="U268" s="31" t="n"/>
      <c r="V268" s="31" t="n"/>
      <c r="W268" s="31" t="n"/>
      <c r="X268" s="31" t="n"/>
      <c r="Y268" s="31" t="n"/>
      <c r="Z268" s="31" t="n"/>
      <c r="AA268" s="31" t="n"/>
    </row>
    <row r="269" ht="14.25" customHeight="1">
      <c r="A269" s="31" t="n"/>
      <c r="D269" s="161" t="n"/>
      <c r="E269" s="161" t="n"/>
      <c r="P269" s="31" t="n"/>
      <c r="Q269" s="31" t="n"/>
      <c r="R269" s="31" t="n"/>
      <c r="S269" s="31" t="n"/>
      <c r="T269" s="31" t="n"/>
      <c r="U269" s="31" t="n"/>
      <c r="V269" s="31" t="n"/>
      <c r="W269" s="31" t="n"/>
      <c r="X269" s="31" t="n"/>
      <c r="Y269" s="31" t="n"/>
      <c r="Z269" s="31" t="n"/>
      <c r="AA269" s="31" t="n"/>
    </row>
    <row r="270" ht="14.25" customHeight="1">
      <c r="A270" s="31" t="n"/>
      <c r="D270" s="161" t="n"/>
      <c r="E270" s="161" t="n"/>
      <c r="P270" s="31" t="n"/>
      <c r="Q270" s="31" t="n"/>
      <c r="R270" s="31" t="n"/>
      <c r="S270" s="31" t="n"/>
      <c r="T270" s="31" t="n"/>
      <c r="U270" s="31" t="n"/>
      <c r="V270" s="31" t="n"/>
      <c r="W270" s="31" t="n"/>
      <c r="X270" s="31" t="n"/>
      <c r="Y270" s="31" t="n"/>
      <c r="Z270" s="31" t="n"/>
      <c r="AA270" s="31" t="n"/>
    </row>
    <row r="271" ht="14.25" customHeight="1">
      <c r="A271" s="31" t="n"/>
      <c r="D271" s="161" t="n"/>
      <c r="E271" s="161" t="n"/>
      <c r="P271" s="31" t="n"/>
      <c r="Q271" s="31" t="n"/>
      <c r="R271" s="31" t="n"/>
      <c r="S271" s="31" t="n"/>
      <c r="T271" s="31" t="n"/>
      <c r="U271" s="31" t="n"/>
      <c r="V271" s="31" t="n"/>
      <c r="W271" s="31" t="n"/>
      <c r="X271" s="31" t="n"/>
      <c r="Y271" s="31" t="n"/>
      <c r="Z271" s="31" t="n"/>
      <c r="AA271" s="31" t="n"/>
    </row>
    <row r="272" ht="14.25" customHeight="1">
      <c r="A272" s="31" t="n"/>
      <c r="D272" s="161" t="n"/>
      <c r="E272" s="161" t="n"/>
      <c r="P272" s="31" t="n"/>
      <c r="Q272" s="31" t="n"/>
      <c r="R272" s="31" t="n"/>
      <c r="S272" s="31" t="n"/>
      <c r="T272" s="31" t="n"/>
      <c r="U272" s="31" t="n"/>
      <c r="V272" s="31" t="n"/>
      <c r="W272" s="31" t="n"/>
      <c r="X272" s="31" t="n"/>
      <c r="Y272" s="31" t="n"/>
      <c r="Z272" s="31" t="n"/>
      <c r="AA272" s="31" t="n"/>
    </row>
    <row r="273" ht="14.25" customHeight="1">
      <c r="A273" s="31" t="n"/>
      <c r="D273" s="161" t="n"/>
      <c r="E273" s="161" t="n"/>
      <c r="P273" s="31" t="n"/>
      <c r="Q273" s="31" t="n"/>
      <c r="R273" s="31" t="n"/>
      <c r="S273" s="31" t="n"/>
      <c r="T273" s="31" t="n"/>
      <c r="U273" s="31" t="n"/>
      <c r="V273" s="31" t="n"/>
      <c r="W273" s="31" t="n"/>
      <c r="X273" s="31" t="n"/>
      <c r="Y273" s="31" t="n"/>
      <c r="Z273" s="31" t="n"/>
      <c r="AA273" s="31" t="n"/>
    </row>
    <row r="274" ht="14.25" customHeight="1">
      <c r="A274" s="31" t="n"/>
      <c r="D274" s="161" t="n"/>
      <c r="E274" s="161" t="n"/>
      <c r="P274" s="31" t="n"/>
      <c r="Q274" s="31" t="n"/>
      <c r="R274" s="31" t="n"/>
      <c r="S274" s="31" t="n"/>
      <c r="T274" s="31" t="n"/>
      <c r="U274" s="31" t="n"/>
      <c r="V274" s="31" t="n"/>
      <c r="W274" s="31" t="n"/>
      <c r="X274" s="31" t="n"/>
      <c r="Y274" s="31" t="n"/>
      <c r="Z274" s="31" t="n"/>
      <c r="AA274" s="31" t="n"/>
    </row>
    <row r="275" ht="14.25" customHeight="1">
      <c r="A275" s="31" t="n"/>
      <c r="D275" s="161" t="n"/>
      <c r="E275" s="161" t="n"/>
      <c r="P275" s="31" t="n"/>
      <c r="Q275" s="31" t="n"/>
      <c r="R275" s="31" t="n"/>
      <c r="S275" s="31" t="n"/>
      <c r="T275" s="31" t="n"/>
      <c r="U275" s="31" t="n"/>
      <c r="V275" s="31" t="n"/>
      <c r="W275" s="31" t="n"/>
      <c r="X275" s="31" t="n"/>
      <c r="Y275" s="31" t="n"/>
      <c r="Z275" s="31" t="n"/>
      <c r="AA275" s="31" t="n"/>
    </row>
    <row r="276" ht="14.25" customHeight="1">
      <c r="A276" s="31" t="n"/>
      <c r="D276" s="161" t="n"/>
      <c r="E276" s="161" t="n"/>
      <c r="P276" s="31" t="n"/>
      <c r="Q276" s="31" t="n"/>
      <c r="R276" s="31" t="n"/>
      <c r="S276" s="31" t="n"/>
      <c r="T276" s="31" t="n"/>
      <c r="U276" s="31" t="n"/>
      <c r="V276" s="31" t="n"/>
      <c r="W276" s="31" t="n"/>
      <c r="X276" s="31" t="n"/>
      <c r="Y276" s="31" t="n"/>
      <c r="Z276" s="31" t="n"/>
      <c r="AA276" s="31" t="n"/>
    </row>
    <row r="277" ht="14.25" customHeight="1">
      <c r="A277" s="31" t="n"/>
      <c r="D277" s="161" t="n"/>
      <c r="E277" s="161" t="n"/>
      <c r="P277" s="31" t="n"/>
      <c r="Q277" s="31" t="n"/>
      <c r="R277" s="31" t="n"/>
      <c r="S277" s="31" t="n"/>
      <c r="T277" s="31" t="n"/>
      <c r="U277" s="31" t="n"/>
      <c r="V277" s="31" t="n"/>
      <c r="W277" s="31" t="n"/>
      <c r="X277" s="31" t="n"/>
      <c r="Y277" s="31" t="n"/>
      <c r="Z277" s="31" t="n"/>
      <c r="AA277" s="31" t="n"/>
    </row>
    <row r="278" ht="14.25" customHeight="1">
      <c r="A278" s="31" t="n"/>
      <c r="D278" s="161" t="n"/>
      <c r="E278" s="161" t="n"/>
      <c r="P278" s="31" t="n"/>
      <c r="Q278" s="31" t="n"/>
      <c r="R278" s="31" t="n"/>
      <c r="S278" s="31" t="n"/>
      <c r="T278" s="31" t="n"/>
      <c r="U278" s="31" t="n"/>
      <c r="V278" s="31" t="n"/>
      <c r="W278" s="31" t="n"/>
      <c r="X278" s="31" t="n"/>
      <c r="Y278" s="31" t="n"/>
      <c r="Z278" s="31" t="n"/>
      <c r="AA278" s="31" t="n"/>
    </row>
    <row r="279" ht="14.25" customHeight="1">
      <c r="A279" s="31" t="n"/>
      <c r="D279" s="161" t="n"/>
      <c r="E279" s="161" t="n"/>
      <c r="P279" s="31" t="n"/>
      <c r="Q279" s="31" t="n"/>
      <c r="R279" s="31" t="n"/>
      <c r="S279" s="31" t="n"/>
      <c r="T279" s="31" t="n"/>
      <c r="U279" s="31" t="n"/>
      <c r="V279" s="31" t="n"/>
      <c r="W279" s="31" t="n"/>
      <c r="X279" s="31" t="n"/>
      <c r="Y279" s="31" t="n"/>
      <c r="Z279" s="31" t="n"/>
      <c r="AA279" s="31" t="n"/>
    </row>
    <row r="280" ht="14.25" customHeight="1">
      <c r="A280" s="31" t="n"/>
      <c r="D280" s="161" t="n"/>
      <c r="E280" s="161" t="n"/>
      <c r="P280" s="31" t="n"/>
      <c r="Q280" s="31" t="n"/>
      <c r="R280" s="31" t="n"/>
      <c r="S280" s="31" t="n"/>
      <c r="T280" s="31" t="n"/>
      <c r="U280" s="31" t="n"/>
      <c r="V280" s="31" t="n"/>
      <c r="W280" s="31" t="n"/>
      <c r="X280" s="31" t="n"/>
      <c r="Y280" s="31" t="n"/>
      <c r="Z280" s="31" t="n"/>
      <c r="AA280" s="31" t="n"/>
    </row>
    <row r="281" ht="14.25" customHeight="1">
      <c r="A281" s="31" t="n"/>
      <c r="D281" s="161" t="n"/>
      <c r="E281" s="161" t="n"/>
      <c r="P281" s="31" t="n"/>
      <c r="Q281" s="31" t="n"/>
      <c r="R281" s="31" t="n"/>
      <c r="S281" s="31" t="n"/>
      <c r="T281" s="31" t="n"/>
      <c r="U281" s="31" t="n"/>
      <c r="V281" s="31" t="n"/>
      <c r="W281" s="31" t="n"/>
      <c r="X281" s="31" t="n"/>
      <c r="Y281" s="31" t="n"/>
      <c r="Z281" s="31" t="n"/>
      <c r="AA281" s="31" t="n"/>
    </row>
    <row r="282" ht="14.25" customHeight="1">
      <c r="A282" s="31" t="n"/>
      <c r="D282" s="161" t="n"/>
      <c r="E282" s="161" t="n"/>
      <c r="P282" s="31" t="n"/>
      <c r="Q282" s="31" t="n"/>
      <c r="R282" s="31" t="n"/>
      <c r="S282" s="31" t="n"/>
      <c r="T282" s="31" t="n"/>
      <c r="U282" s="31" t="n"/>
      <c r="V282" s="31" t="n"/>
      <c r="W282" s="31" t="n"/>
      <c r="X282" s="31" t="n"/>
      <c r="Y282" s="31" t="n"/>
      <c r="Z282" s="31" t="n"/>
      <c r="AA282" s="31" t="n"/>
    </row>
    <row r="283" ht="14.25" customHeight="1">
      <c r="A283" s="31" t="n"/>
      <c r="D283" s="161" t="n"/>
      <c r="E283" s="161" t="n"/>
      <c r="P283" s="31" t="n"/>
      <c r="Q283" s="31" t="n"/>
      <c r="R283" s="31" t="n"/>
      <c r="S283" s="31" t="n"/>
      <c r="T283" s="31" t="n"/>
      <c r="U283" s="31" t="n"/>
      <c r="V283" s="31" t="n"/>
      <c r="W283" s="31" t="n"/>
      <c r="X283" s="31" t="n"/>
      <c r="Y283" s="31" t="n"/>
      <c r="Z283" s="31" t="n"/>
      <c r="AA283" s="31" t="n"/>
    </row>
    <row r="284" ht="14.25" customHeight="1">
      <c r="A284" s="31" t="n"/>
      <c r="D284" s="161" t="n"/>
      <c r="E284" s="161" t="n"/>
      <c r="P284" s="31" t="n"/>
      <c r="Q284" s="31" t="n"/>
      <c r="R284" s="31" t="n"/>
      <c r="S284" s="31" t="n"/>
      <c r="T284" s="31" t="n"/>
      <c r="U284" s="31" t="n"/>
      <c r="V284" s="31" t="n"/>
      <c r="W284" s="31" t="n"/>
      <c r="X284" s="31" t="n"/>
      <c r="Y284" s="31" t="n"/>
      <c r="Z284" s="31" t="n"/>
      <c r="AA284" s="31" t="n"/>
    </row>
    <row r="285" ht="14.25" customHeight="1">
      <c r="A285" s="31" t="n"/>
      <c r="D285" s="161" t="n"/>
      <c r="E285" s="161" t="n"/>
      <c r="P285" s="31" t="n"/>
      <c r="Q285" s="31" t="n"/>
      <c r="R285" s="31" t="n"/>
      <c r="S285" s="31" t="n"/>
      <c r="T285" s="31" t="n"/>
      <c r="U285" s="31" t="n"/>
      <c r="V285" s="31" t="n"/>
      <c r="W285" s="31" t="n"/>
      <c r="X285" s="31" t="n"/>
      <c r="Y285" s="31" t="n"/>
      <c r="Z285" s="31" t="n"/>
      <c r="AA285" s="31" t="n"/>
    </row>
    <row r="286" ht="14.25" customHeight="1">
      <c r="A286" s="31" t="n"/>
      <c r="D286" s="161" t="n"/>
      <c r="E286" s="161" t="n"/>
      <c r="P286" s="31" t="n"/>
      <c r="Q286" s="31" t="n"/>
      <c r="R286" s="31" t="n"/>
      <c r="S286" s="31" t="n"/>
      <c r="T286" s="31" t="n"/>
      <c r="U286" s="31" t="n"/>
      <c r="V286" s="31" t="n"/>
      <c r="W286" s="31" t="n"/>
      <c r="X286" s="31" t="n"/>
      <c r="Y286" s="31" t="n"/>
      <c r="Z286" s="31" t="n"/>
      <c r="AA286" s="31" t="n"/>
    </row>
    <row r="287" ht="14.25" customHeight="1">
      <c r="A287" s="31" t="n"/>
      <c r="D287" s="161" t="n"/>
      <c r="E287" s="161" t="n"/>
      <c r="P287" s="31" t="n"/>
      <c r="Q287" s="31" t="n"/>
      <c r="R287" s="31" t="n"/>
      <c r="S287" s="31" t="n"/>
      <c r="T287" s="31" t="n"/>
      <c r="U287" s="31" t="n"/>
      <c r="V287" s="31" t="n"/>
      <c r="W287" s="31" t="n"/>
      <c r="X287" s="31" t="n"/>
      <c r="Y287" s="31" t="n"/>
      <c r="Z287" s="31" t="n"/>
      <c r="AA287" s="31" t="n"/>
    </row>
    <row r="288" ht="14.25" customHeight="1">
      <c r="A288" s="31" t="n"/>
      <c r="D288" s="161" t="n"/>
      <c r="E288" s="161" t="n"/>
      <c r="P288" s="31" t="n"/>
      <c r="Q288" s="31" t="n"/>
      <c r="R288" s="31" t="n"/>
      <c r="S288" s="31" t="n"/>
      <c r="T288" s="31" t="n"/>
      <c r="U288" s="31" t="n"/>
      <c r="V288" s="31" t="n"/>
      <c r="W288" s="31" t="n"/>
      <c r="X288" s="31" t="n"/>
      <c r="Y288" s="31" t="n"/>
      <c r="Z288" s="31" t="n"/>
      <c r="AA288" s="31" t="n"/>
    </row>
    <row r="289" ht="14.25" customHeight="1">
      <c r="A289" s="31" t="n"/>
      <c r="D289" s="161" t="n"/>
      <c r="E289" s="161" t="n"/>
      <c r="P289" s="31" t="n"/>
      <c r="Q289" s="31" t="n"/>
      <c r="R289" s="31" t="n"/>
      <c r="S289" s="31" t="n"/>
      <c r="T289" s="31" t="n"/>
      <c r="U289" s="31" t="n"/>
      <c r="V289" s="31" t="n"/>
      <c r="W289" s="31" t="n"/>
      <c r="X289" s="31" t="n"/>
      <c r="Y289" s="31" t="n"/>
      <c r="Z289" s="31" t="n"/>
      <c r="AA289" s="31" t="n"/>
    </row>
    <row r="290" ht="14.25" customHeight="1">
      <c r="A290" s="31" t="n"/>
      <c r="D290" s="161" t="n"/>
      <c r="E290" s="161" t="n"/>
      <c r="P290" s="31" t="n"/>
      <c r="Q290" s="31" t="n"/>
      <c r="R290" s="31" t="n"/>
      <c r="S290" s="31" t="n"/>
      <c r="T290" s="31" t="n"/>
      <c r="U290" s="31" t="n"/>
      <c r="V290" s="31" t="n"/>
      <c r="W290" s="31" t="n"/>
      <c r="X290" s="31" t="n"/>
      <c r="Y290" s="31" t="n"/>
      <c r="Z290" s="31" t="n"/>
      <c r="AA290" s="31" t="n"/>
    </row>
    <row r="291" ht="14.25" customHeight="1">
      <c r="A291" s="31" t="n"/>
      <c r="D291" s="161" t="n"/>
      <c r="E291" s="161" t="n"/>
      <c r="P291" s="31" t="n"/>
      <c r="Q291" s="31" t="n"/>
      <c r="R291" s="31" t="n"/>
      <c r="S291" s="31" t="n"/>
      <c r="T291" s="31" t="n"/>
      <c r="U291" s="31" t="n"/>
      <c r="V291" s="31" t="n"/>
      <c r="W291" s="31" t="n"/>
      <c r="X291" s="31" t="n"/>
      <c r="Y291" s="31" t="n"/>
      <c r="Z291" s="31" t="n"/>
      <c r="AA291" s="31" t="n"/>
    </row>
    <row r="292" ht="14.25" customHeight="1">
      <c r="A292" s="31" t="n"/>
      <c r="D292" s="161" t="n"/>
      <c r="E292" s="161" t="n"/>
      <c r="P292" s="31" t="n"/>
      <c r="Q292" s="31" t="n"/>
      <c r="R292" s="31" t="n"/>
      <c r="S292" s="31" t="n"/>
      <c r="T292" s="31" t="n"/>
      <c r="U292" s="31" t="n"/>
      <c r="V292" s="31" t="n"/>
      <c r="W292" s="31" t="n"/>
      <c r="X292" s="31" t="n"/>
      <c r="Y292" s="31" t="n"/>
      <c r="Z292" s="31" t="n"/>
      <c r="AA292" s="31" t="n"/>
    </row>
    <row r="293" ht="14.25" customHeight="1">
      <c r="A293" s="31" t="n"/>
      <c r="D293" s="161" t="n"/>
      <c r="E293" s="161" t="n"/>
      <c r="P293" s="31" t="n"/>
      <c r="Q293" s="31" t="n"/>
      <c r="R293" s="31" t="n"/>
      <c r="S293" s="31" t="n"/>
      <c r="T293" s="31" t="n"/>
      <c r="U293" s="31" t="n"/>
      <c r="V293" s="31" t="n"/>
      <c r="W293" s="31" t="n"/>
      <c r="X293" s="31" t="n"/>
      <c r="Y293" s="31" t="n"/>
      <c r="Z293" s="31" t="n"/>
      <c r="AA293" s="31" t="n"/>
    </row>
    <row r="294" ht="14.25" customHeight="1">
      <c r="A294" s="31" t="n"/>
      <c r="D294" s="161" t="n"/>
      <c r="E294" s="161" t="n"/>
      <c r="P294" s="31" t="n"/>
      <c r="Q294" s="31" t="n"/>
      <c r="R294" s="31" t="n"/>
      <c r="S294" s="31" t="n"/>
      <c r="T294" s="31" t="n"/>
      <c r="U294" s="31" t="n"/>
      <c r="V294" s="31" t="n"/>
      <c r="W294" s="31" t="n"/>
      <c r="X294" s="31" t="n"/>
      <c r="Y294" s="31" t="n"/>
      <c r="Z294" s="31" t="n"/>
      <c r="AA294" s="31" t="n"/>
    </row>
    <row r="295" ht="14.25" customHeight="1">
      <c r="A295" s="31" t="n"/>
      <c r="D295" s="161" t="n"/>
      <c r="E295" s="161" t="n"/>
      <c r="P295" s="31" t="n"/>
      <c r="Q295" s="31" t="n"/>
      <c r="R295" s="31" t="n"/>
      <c r="S295" s="31" t="n"/>
      <c r="T295" s="31" t="n"/>
      <c r="U295" s="31" t="n"/>
      <c r="V295" s="31" t="n"/>
      <c r="W295" s="31" t="n"/>
      <c r="X295" s="31" t="n"/>
      <c r="Y295" s="31" t="n"/>
      <c r="Z295" s="31" t="n"/>
      <c r="AA295" s="31" t="n"/>
    </row>
    <row r="296" ht="14.25" customHeight="1">
      <c r="A296" s="31" t="n"/>
      <c r="D296" s="161" t="n"/>
      <c r="E296" s="161" t="n"/>
      <c r="P296" s="31" t="n"/>
      <c r="Q296" s="31" t="n"/>
      <c r="R296" s="31" t="n"/>
      <c r="S296" s="31" t="n"/>
      <c r="T296" s="31" t="n"/>
      <c r="U296" s="31" t="n"/>
      <c r="V296" s="31" t="n"/>
      <c r="W296" s="31" t="n"/>
      <c r="X296" s="31" t="n"/>
      <c r="Y296" s="31" t="n"/>
      <c r="Z296" s="31" t="n"/>
      <c r="AA296" s="31" t="n"/>
    </row>
    <row r="297" ht="14.25" customHeight="1">
      <c r="A297" s="31" t="n"/>
      <c r="D297" s="161" t="n"/>
      <c r="E297" s="161" t="n"/>
      <c r="P297" s="31" t="n"/>
      <c r="Q297" s="31" t="n"/>
      <c r="R297" s="31" t="n"/>
      <c r="S297" s="31" t="n"/>
      <c r="T297" s="31" t="n"/>
      <c r="U297" s="31" t="n"/>
      <c r="V297" s="31" t="n"/>
      <c r="W297" s="31" t="n"/>
      <c r="X297" s="31" t="n"/>
      <c r="Y297" s="31" t="n"/>
      <c r="Z297" s="31" t="n"/>
      <c r="AA297" s="31" t="n"/>
    </row>
    <row r="298" ht="14.25" customHeight="1">
      <c r="A298" s="31" t="n"/>
      <c r="D298" s="161" t="n"/>
      <c r="E298" s="161" t="n"/>
      <c r="P298" s="31" t="n"/>
      <c r="Q298" s="31" t="n"/>
      <c r="R298" s="31" t="n"/>
      <c r="S298" s="31" t="n"/>
      <c r="T298" s="31" t="n"/>
      <c r="U298" s="31" t="n"/>
      <c r="V298" s="31" t="n"/>
      <c r="W298" s="31" t="n"/>
      <c r="X298" s="31" t="n"/>
      <c r="Y298" s="31" t="n"/>
      <c r="Z298" s="31" t="n"/>
      <c r="AA298" s="31" t="n"/>
    </row>
    <row r="299" ht="14.25" customHeight="1">
      <c r="A299" s="31" t="n"/>
      <c r="D299" s="161" t="n"/>
      <c r="E299" s="161" t="n"/>
      <c r="P299" s="31" t="n"/>
      <c r="Q299" s="31" t="n"/>
      <c r="R299" s="31" t="n"/>
      <c r="S299" s="31" t="n"/>
      <c r="T299" s="31" t="n"/>
      <c r="U299" s="31" t="n"/>
      <c r="V299" s="31" t="n"/>
      <c r="W299" s="31" t="n"/>
      <c r="X299" s="31" t="n"/>
      <c r="Y299" s="31" t="n"/>
      <c r="Z299" s="31" t="n"/>
      <c r="AA299" s="31" t="n"/>
    </row>
    <row r="300" ht="14.25" customHeight="1">
      <c r="A300" s="31" t="n"/>
      <c r="D300" s="161" t="n"/>
      <c r="E300" s="161" t="n"/>
      <c r="P300" s="31" t="n"/>
      <c r="Q300" s="31" t="n"/>
      <c r="R300" s="31" t="n"/>
      <c r="S300" s="31" t="n"/>
      <c r="T300" s="31" t="n"/>
      <c r="U300" s="31" t="n"/>
      <c r="V300" s="31" t="n"/>
      <c r="W300" s="31" t="n"/>
      <c r="X300" s="31" t="n"/>
      <c r="Y300" s="31" t="n"/>
      <c r="Z300" s="31" t="n"/>
      <c r="AA300" s="31" t="n"/>
    </row>
    <row r="301" ht="14.25" customHeight="1">
      <c r="A301" s="31" t="n"/>
      <c r="D301" s="161" t="n"/>
      <c r="E301" s="161" t="n"/>
      <c r="P301" s="31" t="n"/>
      <c r="Q301" s="31" t="n"/>
      <c r="R301" s="31" t="n"/>
      <c r="S301" s="31" t="n"/>
      <c r="T301" s="31" t="n"/>
      <c r="U301" s="31" t="n"/>
      <c r="V301" s="31" t="n"/>
      <c r="W301" s="31" t="n"/>
      <c r="X301" s="31" t="n"/>
      <c r="Y301" s="31" t="n"/>
      <c r="Z301" s="31" t="n"/>
      <c r="AA301" s="31" t="n"/>
    </row>
    <row r="302" ht="14.25" customHeight="1">
      <c r="A302" s="31" t="n"/>
      <c r="D302" s="161" t="n"/>
      <c r="E302" s="161" t="n"/>
      <c r="P302" s="31" t="n"/>
      <c r="Q302" s="31" t="n"/>
      <c r="R302" s="31" t="n"/>
      <c r="S302" s="31" t="n"/>
      <c r="T302" s="31" t="n"/>
      <c r="U302" s="31" t="n"/>
      <c r="V302" s="31" t="n"/>
      <c r="W302" s="31" t="n"/>
      <c r="X302" s="31" t="n"/>
      <c r="Y302" s="31" t="n"/>
      <c r="Z302" s="31" t="n"/>
      <c r="AA302" s="31" t="n"/>
    </row>
    <row r="303" ht="14.25" customHeight="1">
      <c r="A303" s="31" t="n"/>
      <c r="D303" s="161" t="n"/>
      <c r="E303" s="161" t="n"/>
      <c r="P303" s="31" t="n"/>
      <c r="Q303" s="31" t="n"/>
      <c r="R303" s="31" t="n"/>
      <c r="S303" s="31" t="n"/>
      <c r="T303" s="31" t="n"/>
      <c r="U303" s="31" t="n"/>
      <c r="V303" s="31" t="n"/>
      <c r="W303" s="31" t="n"/>
      <c r="X303" s="31" t="n"/>
      <c r="Y303" s="31" t="n"/>
      <c r="Z303" s="31" t="n"/>
      <c r="AA303" s="31" t="n"/>
    </row>
    <row r="304" ht="14.25" customHeight="1">
      <c r="A304" s="31" t="n"/>
      <c r="D304" s="161" t="n"/>
      <c r="E304" s="161" t="n"/>
      <c r="P304" s="31" t="n"/>
      <c r="Q304" s="31" t="n"/>
      <c r="R304" s="31" t="n"/>
      <c r="S304" s="31" t="n"/>
      <c r="T304" s="31" t="n"/>
      <c r="U304" s="31" t="n"/>
      <c r="V304" s="31" t="n"/>
      <c r="W304" s="31" t="n"/>
      <c r="X304" s="31" t="n"/>
      <c r="Y304" s="31" t="n"/>
      <c r="Z304" s="31" t="n"/>
      <c r="AA304" s="31" t="n"/>
    </row>
    <row r="305" ht="14.25" customHeight="1">
      <c r="A305" s="31" t="n"/>
      <c r="D305" s="161" t="n"/>
      <c r="E305" s="161" t="n"/>
      <c r="P305" s="31" t="n"/>
      <c r="Q305" s="31" t="n"/>
      <c r="R305" s="31" t="n"/>
      <c r="S305" s="31" t="n"/>
      <c r="T305" s="31" t="n"/>
      <c r="U305" s="31" t="n"/>
      <c r="V305" s="31" t="n"/>
      <c r="W305" s="31" t="n"/>
      <c r="X305" s="31" t="n"/>
      <c r="Y305" s="31" t="n"/>
      <c r="Z305" s="31" t="n"/>
      <c r="AA305" s="31" t="n"/>
    </row>
    <row r="306" ht="14.25" customHeight="1">
      <c r="A306" s="31" t="n"/>
      <c r="D306" s="161" t="n"/>
      <c r="E306" s="161" t="n"/>
      <c r="P306" s="31" t="n"/>
      <c r="Q306" s="31" t="n"/>
      <c r="R306" s="31" t="n"/>
      <c r="S306" s="31" t="n"/>
      <c r="T306" s="31" t="n"/>
      <c r="U306" s="31" t="n"/>
      <c r="V306" s="31" t="n"/>
      <c r="W306" s="31" t="n"/>
      <c r="X306" s="31" t="n"/>
      <c r="Y306" s="31" t="n"/>
      <c r="Z306" s="31" t="n"/>
      <c r="AA306" s="31" t="n"/>
    </row>
    <row r="307" ht="14.25" customHeight="1">
      <c r="A307" s="31" t="n"/>
      <c r="D307" s="161" t="n"/>
      <c r="E307" s="161" t="n"/>
      <c r="P307" s="31" t="n"/>
      <c r="Q307" s="31" t="n"/>
      <c r="R307" s="31" t="n"/>
      <c r="S307" s="31" t="n"/>
      <c r="T307" s="31" t="n"/>
      <c r="U307" s="31" t="n"/>
      <c r="V307" s="31" t="n"/>
      <c r="W307" s="31" t="n"/>
      <c r="X307" s="31" t="n"/>
      <c r="Y307" s="31" t="n"/>
      <c r="Z307" s="31" t="n"/>
      <c r="AA307" s="31" t="n"/>
    </row>
    <row r="308" ht="14.25" customHeight="1">
      <c r="A308" s="31" t="n"/>
      <c r="D308" s="161" t="n"/>
      <c r="E308" s="161" t="n"/>
      <c r="P308" s="31" t="n"/>
      <c r="Q308" s="31" t="n"/>
      <c r="R308" s="31" t="n"/>
      <c r="S308" s="31" t="n"/>
      <c r="T308" s="31" t="n"/>
      <c r="U308" s="31" t="n"/>
      <c r="V308" s="31" t="n"/>
      <c r="W308" s="31" t="n"/>
      <c r="X308" s="31" t="n"/>
      <c r="Y308" s="31" t="n"/>
      <c r="Z308" s="31" t="n"/>
      <c r="AA308" s="31" t="n"/>
    </row>
    <row r="309" ht="14.25" customHeight="1">
      <c r="A309" s="31" t="n"/>
      <c r="D309" s="161" t="n"/>
      <c r="E309" s="161" t="n"/>
      <c r="P309" s="31" t="n"/>
      <c r="Q309" s="31" t="n"/>
      <c r="R309" s="31" t="n"/>
      <c r="S309" s="31" t="n"/>
      <c r="T309" s="31" t="n"/>
      <c r="U309" s="31" t="n"/>
      <c r="V309" s="31" t="n"/>
      <c r="W309" s="31" t="n"/>
      <c r="X309" s="31" t="n"/>
      <c r="Y309" s="31" t="n"/>
      <c r="Z309" s="31" t="n"/>
      <c r="AA309" s="31" t="n"/>
    </row>
    <row r="310" ht="14.25" customHeight="1">
      <c r="A310" s="31" t="n"/>
      <c r="D310" s="161" t="n"/>
      <c r="E310" s="161" t="n"/>
      <c r="P310" s="31" t="n"/>
      <c r="Q310" s="31" t="n"/>
      <c r="R310" s="31" t="n"/>
      <c r="S310" s="31" t="n"/>
      <c r="T310" s="31" t="n"/>
      <c r="U310" s="31" t="n"/>
      <c r="V310" s="31" t="n"/>
      <c r="W310" s="31" t="n"/>
      <c r="X310" s="31" t="n"/>
      <c r="Y310" s="31" t="n"/>
      <c r="Z310" s="31" t="n"/>
      <c r="AA310" s="31" t="n"/>
    </row>
    <row r="311" ht="14.25" customHeight="1">
      <c r="A311" s="31" t="n"/>
      <c r="D311" s="161" t="n"/>
      <c r="E311" s="161" t="n"/>
      <c r="P311" s="31" t="n"/>
      <c r="Q311" s="31" t="n"/>
      <c r="R311" s="31" t="n"/>
      <c r="S311" s="31" t="n"/>
      <c r="T311" s="31" t="n"/>
      <c r="U311" s="31" t="n"/>
      <c r="V311" s="31" t="n"/>
      <c r="W311" s="31" t="n"/>
      <c r="X311" s="31" t="n"/>
      <c r="Y311" s="31" t="n"/>
      <c r="Z311" s="31" t="n"/>
      <c r="AA311" s="31" t="n"/>
    </row>
    <row r="312" ht="14.25" customHeight="1">
      <c r="A312" s="31" t="n"/>
      <c r="D312" s="161" t="n"/>
      <c r="E312" s="161" t="n"/>
      <c r="P312" s="31" t="n"/>
      <c r="Q312" s="31" t="n"/>
      <c r="R312" s="31" t="n"/>
      <c r="S312" s="31" t="n"/>
      <c r="T312" s="31" t="n"/>
      <c r="U312" s="31" t="n"/>
      <c r="V312" s="31" t="n"/>
      <c r="W312" s="31" t="n"/>
      <c r="X312" s="31" t="n"/>
      <c r="Y312" s="31" t="n"/>
      <c r="Z312" s="31" t="n"/>
      <c r="AA312" s="31" t="n"/>
    </row>
    <row r="313" ht="14.25" customHeight="1">
      <c r="A313" s="31" t="n"/>
      <c r="D313" s="161" t="n"/>
      <c r="E313" s="161" t="n"/>
      <c r="P313" s="31" t="n"/>
      <c r="Q313" s="31" t="n"/>
      <c r="R313" s="31" t="n"/>
      <c r="S313" s="31" t="n"/>
      <c r="T313" s="31" t="n"/>
      <c r="U313" s="31" t="n"/>
      <c r="V313" s="31" t="n"/>
      <c r="W313" s="31" t="n"/>
      <c r="X313" s="31" t="n"/>
      <c r="Y313" s="31" t="n"/>
      <c r="Z313" s="31" t="n"/>
      <c r="AA313" s="31" t="n"/>
    </row>
    <row r="314" ht="14.25" customHeight="1">
      <c r="A314" s="31" t="n"/>
      <c r="D314" s="161" t="n"/>
      <c r="E314" s="161" t="n"/>
      <c r="P314" s="31" t="n"/>
      <c r="Q314" s="31" t="n"/>
      <c r="R314" s="31" t="n"/>
      <c r="S314" s="31" t="n"/>
      <c r="T314" s="31" t="n"/>
      <c r="U314" s="31" t="n"/>
      <c r="V314" s="31" t="n"/>
      <c r="W314" s="31" t="n"/>
      <c r="X314" s="31" t="n"/>
      <c r="Y314" s="31" t="n"/>
      <c r="Z314" s="31" t="n"/>
      <c r="AA314" s="31" t="n"/>
    </row>
    <row r="315" ht="14.25" customHeight="1">
      <c r="A315" s="31" t="n"/>
      <c r="D315" s="161" t="n"/>
      <c r="E315" s="161" t="n"/>
      <c r="P315" s="31" t="n"/>
      <c r="Q315" s="31" t="n"/>
      <c r="R315" s="31" t="n"/>
      <c r="S315" s="31" t="n"/>
      <c r="T315" s="31" t="n"/>
      <c r="U315" s="31" t="n"/>
      <c r="V315" s="31" t="n"/>
      <c r="W315" s="31" t="n"/>
      <c r="X315" s="31" t="n"/>
      <c r="Y315" s="31" t="n"/>
      <c r="Z315" s="31" t="n"/>
      <c r="AA315" s="31" t="n"/>
    </row>
    <row r="316" ht="14.25" customHeight="1">
      <c r="A316" s="31" t="n"/>
      <c r="D316" s="161" t="n"/>
      <c r="E316" s="161" t="n"/>
      <c r="P316" s="31" t="n"/>
      <c r="Q316" s="31" t="n"/>
      <c r="R316" s="31" t="n"/>
      <c r="S316" s="31" t="n"/>
      <c r="T316" s="31" t="n"/>
      <c r="U316" s="31" t="n"/>
      <c r="V316" s="31" t="n"/>
      <c r="W316" s="31" t="n"/>
      <c r="X316" s="31" t="n"/>
      <c r="Y316" s="31" t="n"/>
      <c r="Z316" s="31" t="n"/>
      <c r="AA316" s="31" t="n"/>
    </row>
    <row r="317" ht="14.25" customHeight="1">
      <c r="A317" s="31" t="n"/>
      <c r="D317" s="161" t="n"/>
      <c r="E317" s="161" t="n"/>
      <c r="P317" s="31" t="n"/>
      <c r="Q317" s="31" t="n"/>
      <c r="R317" s="31" t="n"/>
      <c r="S317" s="31" t="n"/>
      <c r="T317" s="31" t="n"/>
      <c r="U317" s="31" t="n"/>
      <c r="V317" s="31" t="n"/>
      <c r="W317" s="31" t="n"/>
      <c r="X317" s="31" t="n"/>
      <c r="Y317" s="31" t="n"/>
      <c r="Z317" s="31" t="n"/>
      <c r="AA317" s="31" t="n"/>
    </row>
    <row r="318" ht="14.25" customHeight="1">
      <c r="A318" s="31" t="n"/>
      <c r="D318" s="161" t="n"/>
      <c r="E318" s="161" t="n"/>
      <c r="P318" s="31" t="n"/>
      <c r="Q318" s="31" t="n"/>
      <c r="R318" s="31" t="n"/>
      <c r="S318" s="31" t="n"/>
      <c r="T318" s="31" t="n"/>
      <c r="U318" s="31" t="n"/>
      <c r="V318" s="31" t="n"/>
      <c r="W318" s="31" t="n"/>
      <c r="X318" s="31" t="n"/>
      <c r="Y318" s="31" t="n"/>
      <c r="Z318" s="31" t="n"/>
      <c r="AA318" s="31" t="n"/>
    </row>
    <row r="319" ht="14.25" customHeight="1">
      <c r="A319" s="31" t="n"/>
      <c r="D319" s="161" t="n"/>
      <c r="E319" s="161" t="n"/>
      <c r="P319" s="31" t="n"/>
      <c r="Q319" s="31" t="n"/>
      <c r="R319" s="31" t="n"/>
      <c r="S319" s="31" t="n"/>
      <c r="T319" s="31" t="n"/>
      <c r="U319" s="31" t="n"/>
      <c r="V319" s="31" t="n"/>
      <c r="W319" s="31" t="n"/>
      <c r="X319" s="31" t="n"/>
      <c r="Y319" s="31" t="n"/>
      <c r="Z319" s="31" t="n"/>
      <c r="AA319" s="31" t="n"/>
    </row>
    <row r="320" ht="14.25" customHeight="1">
      <c r="A320" s="31" t="n"/>
      <c r="D320" s="161" t="n"/>
      <c r="E320" s="161" t="n"/>
      <c r="P320" s="31" t="n"/>
      <c r="Q320" s="31" t="n"/>
      <c r="R320" s="31" t="n"/>
      <c r="S320" s="31" t="n"/>
      <c r="T320" s="31" t="n"/>
      <c r="U320" s="31" t="n"/>
      <c r="V320" s="31" t="n"/>
      <c r="W320" s="31" t="n"/>
      <c r="X320" s="31" t="n"/>
      <c r="Y320" s="31" t="n"/>
      <c r="Z320" s="31" t="n"/>
      <c r="AA320" s="31" t="n"/>
    </row>
    <row r="321" ht="14.25" customHeight="1">
      <c r="A321" s="31" t="n"/>
      <c r="D321" s="161" t="n"/>
      <c r="E321" s="161" t="n"/>
      <c r="P321" s="31" t="n"/>
      <c r="Q321" s="31" t="n"/>
      <c r="R321" s="31" t="n"/>
      <c r="S321" s="31" t="n"/>
      <c r="T321" s="31" t="n"/>
      <c r="U321" s="31" t="n"/>
      <c r="V321" s="31" t="n"/>
      <c r="W321" s="31" t="n"/>
      <c r="X321" s="31" t="n"/>
      <c r="Y321" s="31" t="n"/>
      <c r="Z321" s="31" t="n"/>
      <c r="AA321" s="31" t="n"/>
    </row>
    <row r="322" ht="14.25" customHeight="1">
      <c r="A322" s="31" t="n"/>
      <c r="D322" s="161" t="n"/>
      <c r="E322" s="161" t="n"/>
      <c r="P322" s="31" t="n"/>
      <c r="Q322" s="31" t="n"/>
      <c r="R322" s="31" t="n"/>
      <c r="S322" s="31" t="n"/>
      <c r="T322" s="31" t="n"/>
      <c r="U322" s="31" t="n"/>
      <c r="V322" s="31" t="n"/>
      <c r="W322" s="31" t="n"/>
      <c r="X322" s="31" t="n"/>
      <c r="Y322" s="31" t="n"/>
      <c r="Z322" s="31" t="n"/>
      <c r="AA322" s="31" t="n"/>
    </row>
    <row r="323" ht="14.25" customHeight="1">
      <c r="A323" s="31" t="n"/>
      <c r="D323" s="161" t="n"/>
      <c r="E323" s="161" t="n"/>
      <c r="P323" s="31" t="n"/>
      <c r="Q323" s="31" t="n"/>
      <c r="R323" s="31" t="n"/>
      <c r="S323" s="31" t="n"/>
      <c r="T323" s="31" t="n"/>
      <c r="U323" s="31" t="n"/>
      <c r="V323" s="31" t="n"/>
      <c r="W323" s="31" t="n"/>
      <c r="X323" s="31" t="n"/>
      <c r="Y323" s="31" t="n"/>
      <c r="Z323" s="31" t="n"/>
      <c r="AA323" s="31" t="n"/>
    </row>
    <row r="324" ht="14.25" customHeight="1">
      <c r="A324" s="31" t="n"/>
      <c r="D324" s="161" t="n"/>
      <c r="E324" s="161" t="n"/>
      <c r="P324" s="31" t="n"/>
      <c r="Q324" s="31" t="n"/>
      <c r="R324" s="31" t="n"/>
      <c r="S324" s="31" t="n"/>
      <c r="T324" s="31" t="n"/>
      <c r="U324" s="31" t="n"/>
      <c r="V324" s="31" t="n"/>
      <c r="W324" s="31" t="n"/>
      <c r="X324" s="31" t="n"/>
      <c r="Y324" s="31" t="n"/>
      <c r="Z324" s="31" t="n"/>
      <c r="AA324" s="31" t="n"/>
    </row>
    <row r="325" ht="14.25" customHeight="1">
      <c r="A325" s="31" t="n"/>
      <c r="D325" s="161" t="n"/>
      <c r="E325" s="161" t="n"/>
      <c r="P325" s="31" t="n"/>
      <c r="Q325" s="31" t="n"/>
      <c r="R325" s="31" t="n"/>
      <c r="S325" s="31" t="n"/>
      <c r="T325" s="31" t="n"/>
      <c r="U325" s="31" t="n"/>
      <c r="V325" s="31" t="n"/>
      <c r="W325" s="31" t="n"/>
      <c r="X325" s="31" t="n"/>
      <c r="Y325" s="31" t="n"/>
      <c r="Z325" s="31" t="n"/>
      <c r="AA325" s="31" t="n"/>
    </row>
    <row r="326" ht="14.25" customHeight="1">
      <c r="A326" s="31" t="n"/>
      <c r="D326" s="161" t="n"/>
      <c r="E326" s="161" t="n"/>
      <c r="P326" s="31" t="n"/>
      <c r="Q326" s="31" t="n"/>
      <c r="R326" s="31" t="n"/>
      <c r="S326" s="31" t="n"/>
      <c r="T326" s="31" t="n"/>
      <c r="U326" s="31" t="n"/>
      <c r="V326" s="31" t="n"/>
      <c r="W326" s="31" t="n"/>
      <c r="X326" s="31" t="n"/>
      <c r="Y326" s="31" t="n"/>
      <c r="Z326" s="31" t="n"/>
      <c r="AA326" s="31" t="n"/>
    </row>
    <row r="327" ht="14.25" customHeight="1">
      <c r="A327" s="31" t="n"/>
      <c r="D327" s="161" t="n"/>
      <c r="E327" s="161" t="n"/>
      <c r="P327" s="31" t="n"/>
      <c r="Q327" s="31" t="n"/>
      <c r="R327" s="31" t="n"/>
      <c r="S327" s="31" t="n"/>
      <c r="T327" s="31" t="n"/>
      <c r="U327" s="31" t="n"/>
      <c r="V327" s="31" t="n"/>
      <c r="W327" s="31" t="n"/>
      <c r="X327" s="31" t="n"/>
      <c r="Y327" s="31" t="n"/>
      <c r="Z327" s="31" t="n"/>
      <c r="AA327" s="31" t="n"/>
    </row>
    <row r="328" ht="14.25" customHeight="1">
      <c r="A328" s="31" t="n"/>
      <c r="D328" s="161" t="n"/>
      <c r="E328" s="161" t="n"/>
      <c r="P328" s="31" t="n"/>
      <c r="Q328" s="31" t="n"/>
      <c r="R328" s="31" t="n"/>
      <c r="S328" s="31" t="n"/>
      <c r="T328" s="31" t="n"/>
      <c r="U328" s="31" t="n"/>
      <c r="V328" s="31" t="n"/>
      <c r="W328" s="31" t="n"/>
      <c r="X328" s="31" t="n"/>
      <c r="Y328" s="31" t="n"/>
      <c r="Z328" s="31" t="n"/>
      <c r="AA328" s="31" t="n"/>
    </row>
    <row r="329" ht="14.25" customHeight="1">
      <c r="A329" s="31" t="n"/>
      <c r="D329" s="161" t="n"/>
      <c r="E329" s="161" t="n"/>
      <c r="P329" s="31" t="n"/>
      <c r="Q329" s="31" t="n"/>
      <c r="R329" s="31" t="n"/>
      <c r="S329" s="31" t="n"/>
      <c r="T329" s="31" t="n"/>
      <c r="U329" s="31" t="n"/>
      <c r="V329" s="31" t="n"/>
      <c r="W329" s="31" t="n"/>
      <c r="X329" s="31" t="n"/>
      <c r="Y329" s="31" t="n"/>
      <c r="Z329" s="31" t="n"/>
      <c r="AA329" s="31" t="n"/>
    </row>
    <row r="330" ht="14.25" customHeight="1">
      <c r="A330" s="31" t="n"/>
      <c r="D330" s="161" t="n"/>
      <c r="E330" s="161" t="n"/>
      <c r="P330" s="31" t="n"/>
      <c r="Q330" s="31" t="n"/>
      <c r="R330" s="31" t="n"/>
      <c r="S330" s="31" t="n"/>
      <c r="T330" s="31" t="n"/>
      <c r="U330" s="31" t="n"/>
      <c r="V330" s="31" t="n"/>
      <c r="W330" s="31" t="n"/>
      <c r="X330" s="31" t="n"/>
      <c r="Y330" s="31" t="n"/>
      <c r="Z330" s="31" t="n"/>
      <c r="AA330" s="31" t="n"/>
    </row>
    <row r="331" ht="14.25" customHeight="1">
      <c r="A331" s="31" t="n"/>
      <c r="D331" s="161" t="n"/>
      <c r="E331" s="161" t="n"/>
      <c r="P331" s="31" t="n"/>
      <c r="Q331" s="31" t="n"/>
      <c r="R331" s="31" t="n"/>
      <c r="S331" s="31" t="n"/>
      <c r="T331" s="31" t="n"/>
      <c r="U331" s="31" t="n"/>
      <c r="V331" s="31" t="n"/>
      <c r="W331" s="31" t="n"/>
      <c r="X331" s="31" t="n"/>
      <c r="Y331" s="31" t="n"/>
      <c r="Z331" s="31" t="n"/>
      <c r="AA331" s="31" t="n"/>
    </row>
    <row r="332" ht="14.25" customHeight="1">
      <c r="A332" s="31" t="n"/>
      <c r="D332" s="161" t="n"/>
      <c r="E332" s="161" t="n"/>
      <c r="P332" s="31" t="n"/>
      <c r="Q332" s="31" t="n"/>
      <c r="R332" s="31" t="n"/>
      <c r="S332" s="31" t="n"/>
      <c r="T332" s="31" t="n"/>
      <c r="U332" s="31" t="n"/>
      <c r="V332" s="31" t="n"/>
      <c r="W332" s="31" t="n"/>
      <c r="X332" s="31" t="n"/>
      <c r="Y332" s="31" t="n"/>
      <c r="Z332" s="31" t="n"/>
      <c r="AA332" s="31" t="n"/>
    </row>
    <row r="333" ht="14.25" customHeight="1">
      <c r="A333" s="31" t="n"/>
      <c r="D333" s="161" t="n"/>
      <c r="E333" s="161" t="n"/>
      <c r="P333" s="31" t="n"/>
      <c r="Q333" s="31" t="n"/>
      <c r="R333" s="31" t="n"/>
      <c r="S333" s="31" t="n"/>
      <c r="T333" s="31" t="n"/>
      <c r="U333" s="31" t="n"/>
      <c r="V333" s="31" t="n"/>
      <c r="W333" s="31" t="n"/>
      <c r="X333" s="31" t="n"/>
      <c r="Y333" s="31" t="n"/>
      <c r="Z333" s="31" t="n"/>
      <c r="AA333" s="31" t="n"/>
    </row>
    <row r="334" ht="14.25" customHeight="1">
      <c r="A334" s="31" t="n"/>
      <c r="D334" s="161" t="n"/>
      <c r="E334" s="161" t="n"/>
      <c r="P334" s="31" t="n"/>
      <c r="Q334" s="31" t="n"/>
      <c r="R334" s="31" t="n"/>
      <c r="S334" s="31" t="n"/>
      <c r="T334" s="31" t="n"/>
      <c r="U334" s="31" t="n"/>
      <c r="V334" s="31" t="n"/>
      <c r="W334" s="31" t="n"/>
      <c r="X334" s="31" t="n"/>
      <c r="Y334" s="31" t="n"/>
      <c r="Z334" s="31" t="n"/>
      <c r="AA334" s="31" t="n"/>
    </row>
    <row r="335" ht="14.25" customHeight="1">
      <c r="A335" s="31" t="n"/>
      <c r="D335" s="161" t="n"/>
      <c r="E335" s="161" t="n"/>
      <c r="P335" s="31" t="n"/>
      <c r="Q335" s="31" t="n"/>
      <c r="R335" s="31" t="n"/>
      <c r="S335" s="31" t="n"/>
      <c r="T335" s="31" t="n"/>
      <c r="U335" s="31" t="n"/>
      <c r="V335" s="31" t="n"/>
      <c r="W335" s="31" t="n"/>
      <c r="X335" s="31" t="n"/>
      <c r="Y335" s="31" t="n"/>
      <c r="Z335" s="31" t="n"/>
      <c r="AA335" s="31" t="n"/>
    </row>
    <row r="336" ht="14.25" customHeight="1">
      <c r="A336" s="31" t="n"/>
      <c r="D336" s="161" t="n"/>
      <c r="E336" s="161" t="n"/>
      <c r="P336" s="31" t="n"/>
      <c r="Q336" s="31" t="n"/>
      <c r="R336" s="31" t="n"/>
      <c r="S336" s="31" t="n"/>
      <c r="T336" s="31" t="n"/>
      <c r="U336" s="31" t="n"/>
      <c r="V336" s="31" t="n"/>
      <c r="W336" s="31" t="n"/>
      <c r="X336" s="31" t="n"/>
      <c r="Y336" s="31" t="n"/>
      <c r="Z336" s="31" t="n"/>
      <c r="AA336" s="31" t="n"/>
    </row>
    <row r="337" ht="14.25" customHeight="1">
      <c r="A337" s="31" t="n"/>
      <c r="D337" s="161" t="n"/>
      <c r="E337" s="161" t="n"/>
      <c r="P337" s="31" t="n"/>
      <c r="Q337" s="31" t="n"/>
      <c r="R337" s="31" t="n"/>
      <c r="S337" s="31" t="n"/>
      <c r="T337" s="31" t="n"/>
      <c r="U337" s="31" t="n"/>
      <c r="V337" s="31" t="n"/>
      <c r="W337" s="31" t="n"/>
      <c r="X337" s="31" t="n"/>
      <c r="Y337" s="31" t="n"/>
      <c r="Z337" s="31" t="n"/>
      <c r="AA337" s="31" t="n"/>
    </row>
    <row r="338" ht="14.25" customHeight="1">
      <c r="A338" s="31" t="n"/>
      <c r="D338" s="161" t="n"/>
      <c r="E338" s="161" t="n"/>
      <c r="P338" s="31" t="n"/>
      <c r="Q338" s="31" t="n"/>
      <c r="R338" s="31" t="n"/>
      <c r="S338" s="31" t="n"/>
      <c r="T338" s="31" t="n"/>
      <c r="U338" s="31" t="n"/>
      <c r="V338" s="31" t="n"/>
      <c r="W338" s="31" t="n"/>
      <c r="X338" s="31" t="n"/>
      <c r="Y338" s="31" t="n"/>
      <c r="Z338" s="31" t="n"/>
      <c r="AA338" s="31" t="n"/>
    </row>
    <row r="339" ht="14.25" customHeight="1">
      <c r="A339" s="31" t="n"/>
      <c r="D339" s="161" t="n"/>
      <c r="E339" s="161" t="n"/>
      <c r="P339" s="31" t="n"/>
      <c r="Q339" s="31" t="n"/>
      <c r="R339" s="31" t="n"/>
      <c r="S339" s="31" t="n"/>
      <c r="T339" s="31" t="n"/>
      <c r="U339" s="31" t="n"/>
      <c r="V339" s="31" t="n"/>
      <c r="W339" s="31" t="n"/>
      <c r="X339" s="31" t="n"/>
      <c r="Y339" s="31" t="n"/>
      <c r="Z339" s="31" t="n"/>
      <c r="AA339" s="31" t="n"/>
    </row>
    <row r="340" ht="14.25" customHeight="1">
      <c r="A340" s="31" t="n"/>
      <c r="D340" s="161" t="n"/>
      <c r="E340" s="161" t="n"/>
      <c r="P340" s="31" t="n"/>
      <c r="Q340" s="31" t="n"/>
      <c r="R340" s="31" t="n"/>
      <c r="S340" s="31" t="n"/>
      <c r="T340" s="31" t="n"/>
      <c r="U340" s="31" t="n"/>
      <c r="V340" s="31" t="n"/>
      <c r="W340" s="31" t="n"/>
      <c r="X340" s="31" t="n"/>
      <c r="Y340" s="31" t="n"/>
      <c r="Z340" s="31" t="n"/>
      <c r="AA340" s="31" t="n"/>
    </row>
    <row r="341" ht="14.25" customHeight="1">
      <c r="A341" s="31" t="n"/>
      <c r="D341" s="161" t="n"/>
      <c r="E341" s="161" t="n"/>
      <c r="P341" s="31" t="n"/>
      <c r="Q341" s="31" t="n"/>
      <c r="R341" s="31" t="n"/>
      <c r="S341" s="31" t="n"/>
      <c r="T341" s="31" t="n"/>
      <c r="U341" s="31" t="n"/>
      <c r="V341" s="31" t="n"/>
      <c r="W341" s="31" t="n"/>
      <c r="X341" s="31" t="n"/>
      <c r="Y341" s="31" t="n"/>
      <c r="Z341" s="31" t="n"/>
      <c r="AA341" s="31" t="n"/>
    </row>
    <row r="342" ht="14.25" customHeight="1">
      <c r="A342" s="31" t="n"/>
      <c r="D342" s="161" t="n"/>
      <c r="E342" s="161" t="n"/>
      <c r="P342" s="31" t="n"/>
      <c r="Q342" s="31" t="n"/>
      <c r="R342" s="31" t="n"/>
      <c r="S342" s="31" t="n"/>
      <c r="T342" s="31" t="n"/>
      <c r="U342" s="31" t="n"/>
      <c r="V342" s="31" t="n"/>
      <c r="W342" s="31" t="n"/>
      <c r="X342" s="31" t="n"/>
      <c r="Y342" s="31" t="n"/>
      <c r="Z342" s="31" t="n"/>
      <c r="AA342" s="31" t="n"/>
    </row>
    <row r="343" ht="14.25" customHeight="1">
      <c r="A343" s="31" t="n"/>
      <c r="D343" s="161" t="n"/>
      <c r="E343" s="161" t="n"/>
      <c r="P343" s="31" t="n"/>
      <c r="Q343" s="31" t="n"/>
      <c r="R343" s="31" t="n"/>
      <c r="S343" s="31" t="n"/>
      <c r="T343" s="31" t="n"/>
      <c r="U343" s="31" t="n"/>
      <c r="V343" s="31" t="n"/>
      <c r="W343" s="31" t="n"/>
      <c r="X343" s="31" t="n"/>
      <c r="Y343" s="31" t="n"/>
      <c r="Z343" s="31" t="n"/>
      <c r="AA343" s="31" t="n"/>
    </row>
    <row r="344" ht="14.25" customHeight="1">
      <c r="A344" s="31" t="n"/>
      <c r="D344" s="161" t="n"/>
      <c r="E344" s="161" t="n"/>
      <c r="P344" s="31" t="n"/>
      <c r="Q344" s="31" t="n"/>
      <c r="R344" s="31" t="n"/>
      <c r="S344" s="31" t="n"/>
      <c r="T344" s="31" t="n"/>
      <c r="U344" s="31" t="n"/>
      <c r="V344" s="31" t="n"/>
      <c r="W344" s="31" t="n"/>
      <c r="X344" s="31" t="n"/>
      <c r="Y344" s="31" t="n"/>
      <c r="Z344" s="31" t="n"/>
      <c r="AA344" s="31" t="n"/>
    </row>
    <row r="345" ht="14.25" customHeight="1">
      <c r="A345" s="31" t="n"/>
      <c r="D345" s="161" t="n"/>
      <c r="E345" s="161" t="n"/>
      <c r="P345" s="31" t="n"/>
      <c r="Q345" s="31" t="n"/>
      <c r="R345" s="31" t="n"/>
      <c r="S345" s="31" t="n"/>
      <c r="T345" s="31" t="n"/>
      <c r="U345" s="31" t="n"/>
      <c r="V345" s="31" t="n"/>
      <c r="W345" s="31" t="n"/>
      <c r="X345" s="31" t="n"/>
      <c r="Y345" s="31" t="n"/>
      <c r="Z345" s="31" t="n"/>
      <c r="AA345" s="31" t="n"/>
    </row>
    <row r="346" ht="14.25" customHeight="1">
      <c r="A346" s="31" t="n"/>
      <c r="D346" s="161" t="n"/>
      <c r="E346" s="161" t="n"/>
      <c r="P346" s="31" t="n"/>
      <c r="Q346" s="31" t="n"/>
      <c r="R346" s="31" t="n"/>
      <c r="S346" s="31" t="n"/>
      <c r="T346" s="31" t="n"/>
      <c r="U346" s="31" t="n"/>
      <c r="V346" s="31" t="n"/>
      <c r="W346" s="31" t="n"/>
      <c r="X346" s="31" t="n"/>
      <c r="Y346" s="31" t="n"/>
      <c r="Z346" s="31" t="n"/>
      <c r="AA346" s="31" t="n"/>
    </row>
    <row r="347" ht="14.25" customHeight="1">
      <c r="A347" s="31" t="n"/>
      <c r="D347" s="161" t="n"/>
      <c r="E347" s="161" t="n"/>
      <c r="P347" s="31" t="n"/>
      <c r="Q347" s="31" t="n"/>
      <c r="R347" s="31" t="n"/>
      <c r="S347" s="31" t="n"/>
      <c r="T347" s="31" t="n"/>
      <c r="U347" s="31" t="n"/>
      <c r="V347" s="31" t="n"/>
      <c r="W347" s="31" t="n"/>
      <c r="X347" s="31" t="n"/>
      <c r="Y347" s="31" t="n"/>
      <c r="Z347" s="31" t="n"/>
      <c r="AA347" s="31" t="n"/>
    </row>
    <row r="348" ht="14.25" customHeight="1">
      <c r="A348" s="31" t="n"/>
      <c r="D348" s="161" t="n"/>
      <c r="E348" s="161" t="n"/>
      <c r="P348" s="31" t="n"/>
      <c r="Q348" s="31" t="n"/>
      <c r="R348" s="31" t="n"/>
      <c r="S348" s="31" t="n"/>
      <c r="T348" s="31" t="n"/>
      <c r="U348" s="31" t="n"/>
      <c r="V348" s="31" t="n"/>
      <c r="W348" s="31" t="n"/>
      <c r="X348" s="31" t="n"/>
      <c r="Y348" s="31" t="n"/>
      <c r="Z348" s="31" t="n"/>
      <c r="AA348" s="31" t="n"/>
    </row>
    <row r="349" ht="14.25" customHeight="1">
      <c r="A349" s="31" t="n"/>
      <c r="D349" s="161" t="n"/>
      <c r="E349" s="161" t="n"/>
      <c r="P349" s="31" t="n"/>
      <c r="Q349" s="31" t="n"/>
      <c r="R349" s="31" t="n"/>
      <c r="S349" s="31" t="n"/>
      <c r="T349" s="31" t="n"/>
      <c r="U349" s="31" t="n"/>
      <c r="V349" s="31" t="n"/>
      <c r="W349" s="31" t="n"/>
      <c r="X349" s="31" t="n"/>
      <c r="Y349" s="31" t="n"/>
      <c r="Z349" s="31" t="n"/>
      <c r="AA349" s="31" t="n"/>
    </row>
    <row r="350" ht="14.25" customHeight="1">
      <c r="A350" s="31" t="n"/>
      <c r="D350" s="161" t="n"/>
      <c r="E350" s="161" t="n"/>
      <c r="P350" s="31" t="n"/>
      <c r="Q350" s="31" t="n"/>
      <c r="R350" s="31" t="n"/>
      <c r="S350" s="31" t="n"/>
      <c r="T350" s="31" t="n"/>
      <c r="U350" s="31" t="n"/>
      <c r="V350" s="31" t="n"/>
      <c r="W350" s="31" t="n"/>
      <c r="X350" s="31" t="n"/>
      <c r="Y350" s="31" t="n"/>
      <c r="Z350" s="31" t="n"/>
      <c r="AA350" s="31" t="n"/>
    </row>
    <row r="351" ht="14.25" customHeight="1">
      <c r="A351" s="31" t="n"/>
      <c r="D351" s="161" t="n"/>
      <c r="E351" s="161" t="n"/>
      <c r="P351" s="31" t="n"/>
      <c r="Q351" s="31" t="n"/>
      <c r="R351" s="31" t="n"/>
      <c r="S351" s="31" t="n"/>
      <c r="T351" s="31" t="n"/>
      <c r="U351" s="31" t="n"/>
      <c r="V351" s="31" t="n"/>
      <c r="W351" s="31" t="n"/>
      <c r="X351" s="31" t="n"/>
      <c r="Y351" s="31" t="n"/>
      <c r="Z351" s="31" t="n"/>
      <c r="AA351" s="31" t="n"/>
    </row>
    <row r="352" ht="14.25" customHeight="1">
      <c r="A352" s="31" t="n"/>
      <c r="D352" s="161" t="n"/>
      <c r="E352" s="161" t="n"/>
      <c r="P352" s="31" t="n"/>
      <c r="Q352" s="31" t="n"/>
      <c r="R352" s="31" t="n"/>
      <c r="S352" s="31" t="n"/>
      <c r="T352" s="31" t="n"/>
      <c r="U352" s="31" t="n"/>
      <c r="V352" s="31" t="n"/>
      <c r="W352" s="31" t="n"/>
      <c r="X352" s="31" t="n"/>
      <c r="Y352" s="31" t="n"/>
      <c r="Z352" s="31" t="n"/>
      <c r="AA352" s="31" t="n"/>
    </row>
    <row r="353" ht="14.25" customHeight="1">
      <c r="A353" s="31" t="n"/>
      <c r="D353" s="161" t="n"/>
      <c r="E353" s="161" t="n"/>
      <c r="P353" s="31" t="n"/>
      <c r="Q353" s="31" t="n"/>
      <c r="R353" s="31" t="n"/>
      <c r="S353" s="31" t="n"/>
      <c r="T353" s="31" t="n"/>
      <c r="U353" s="31" t="n"/>
      <c r="V353" s="31" t="n"/>
      <c r="W353" s="31" t="n"/>
      <c r="X353" s="31" t="n"/>
      <c r="Y353" s="31" t="n"/>
      <c r="Z353" s="31" t="n"/>
      <c r="AA353" s="31" t="n"/>
    </row>
    <row r="354" ht="14.25" customHeight="1">
      <c r="A354" s="31" t="n"/>
      <c r="D354" s="161" t="n"/>
      <c r="E354" s="161" t="n"/>
      <c r="P354" s="31" t="n"/>
      <c r="Q354" s="31" t="n"/>
      <c r="R354" s="31" t="n"/>
      <c r="S354" s="31" t="n"/>
      <c r="T354" s="31" t="n"/>
      <c r="U354" s="31" t="n"/>
      <c r="V354" s="31" t="n"/>
      <c r="W354" s="31" t="n"/>
      <c r="X354" s="31" t="n"/>
      <c r="Y354" s="31" t="n"/>
      <c r="Z354" s="31" t="n"/>
      <c r="AA354" s="31" t="n"/>
    </row>
    <row r="355" ht="14.25" customHeight="1">
      <c r="A355" s="31" t="n"/>
      <c r="D355" s="161" t="n"/>
      <c r="E355" s="161" t="n"/>
      <c r="P355" s="31" t="n"/>
      <c r="Q355" s="31" t="n"/>
      <c r="R355" s="31" t="n"/>
      <c r="S355" s="31" t="n"/>
      <c r="T355" s="31" t="n"/>
      <c r="U355" s="31" t="n"/>
      <c r="V355" s="31" t="n"/>
      <c r="W355" s="31" t="n"/>
      <c r="X355" s="31" t="n"/>
      <c r="Y355" s="31" t="n"/>
      <c r="Z355" s="31" t="n"/>
      <c r="AA355" s="31" t="n"/>
    </row>
    <row r="356" ht="14.25" customHeight="1">
      <c r="A356" s="31" t="n"/>
      <c r="D356" s="161" t="n"/>
      <c r="E356" s="161" t="n"/>
      <c r="P356" s="31" t="n"/>
      <c r="Q356" s="31" t="n"/>
      <c r="R356" s="31" t="n"/>
      <c r="S356" s="31" t="n"/>
      <c r="T356" s="31" t="n"/>
      <c r="U356" s="31" t="n"/>
      <c r="V356" s="31" t="n"/>
      <c r="W356" s="31" t="n"/>
      <c r="X356" s="31" t="n"/>
      <c r="Y356" s="31" t="n"/>
      <c r="Z356" s="31" t="n"/>
      <c r="AA356" s="31" t="n"/>
    </row>
    <row r="357" ht="14.25" customHeight="1">
      <c r="A357" s="31" t="n"/>
      <c r="D357" s="161" t="n"/>
      <c r="E357" s="161" t="n"/>
      <c r="P357" s="31" t="n"/>
      <c r="Q357" s="31" t="n"/>
      <c r="R357" s="31" t="n"/>
      <c r="S357" s="31" t="n"/>
      <c r="T357" s="31" t="n"/>
      <c r="U357" s="31" t="n"/>
      <c r="V357" s="31" t="n"/>
      <c r="W357" s="31" t="n"/>
      <c r="X357" s="31" t="n"/>
      <c r="Y357" s="31" t="n"/>
      <c r="Z357" s="31" t="n"/>
      <c r="AA357" s="31" t="n"/>
    </row>
    <row r="358" ht="14.25" customHeight="1">
      <c r="A358" s="31" t="n"/>
      <c r="D358" s="161" t="n"/>
      <c r="E358" s="161" t="n"/>
      <c r="P358" s="31" t="n"/>
      <c r="Q358" s="31" t="n"/>
      <c r="R358" s="31" t="n"/>
      <c r="S358" s="31" t="n"/>
      <c r="T358" s="31" t="n"/>
      <c r="U358" s="31" t="n"/>
      <c r="V358" s="31" t="n"/>
      <c r="W358" s="31" t="n"/>
      <c r="X358" s="31" t="n"/>
      <c r="Y358" s="31" t="n"/>
      <c r="Z358" s="31" t="n"/>
      <c r="AA358" s="31" t="n"/>
    </row>
    <row r="359" ht="14.25" customHeight="1">
      <c r="A359" s="31" t="n"/>
      <c r="D359" s="161" t="n"/>
      <c r="E359" s="161" t="n"/>
      <c r="P359" s="31" t="n"/>
      <c r="Q359" s="31" t="n"/>
      <c r="R359" s="31" t="n"/>
      <c r="S359" s="31" t="n"/>
      <c r="T359" s="31" t="n"/>
      <c r="U359" s="31" t="n"/>
      <c r="V359" s="31" t="n"/>
      <c r="W359" s="31" t="n"/>
      <c r="X359" s="31" t="n"/>
      <c r="Y359" s="31" t="n"/>
      <c r="Z359" s="31" t="n"/>
      <c r="AA359" s="31" t="n"/>
    </row>
    <row r="360" ht="14.25" customHeight="1">
      <c r="A360" s="31" t="n"/>
      <c r="D360" s="161" t="n"/>
      <c r="E360" s="161" t="n"/>
      <c r="P360" s="31" t="n"/>
      <c r="Q360" s="31" t="n"/>
      <c r="R360" s="31" t="n"/>
      <c r="S360" s="31" t="n"/>
      <c r="T360" s="31" t="n"/>
      <c r="U360" s="31" t="n"/>
      <c r="V360" s="31" t="n"/>
      <c r="W360" s="31" t="n"/>
      <c r="X360" s="31" t="n"/>
      <c r="Y360" s="31" t="n"/>
      <c r="Z360" s="31" t="n"/>
      <c r="AA360" s="31" t="n"/>
    </row>
    <row r="361" ht="14.25" customHeight="1">
      <c r="A361" s="31" t="n"/>
      <c r="D361" s="161" t="n"/>
      <c r="E361" s="161" t="n"/>
      <c r="P361" s="31" t="n"/>
      <c r="Q361" s="31" t="n"/>
      <c r="R361" s="31" t="n"/>
      <c r="S361" s="31" t="n"/>
      <c r="T361" s="31" t="n"/>
      <c r="U361" s="31" t="n"/>
      <c r="V361" s="31" t="n"/>
      <c r="W361" s="31" t="n"/>
      <c r="X361" s="31" t="n"/>
      <c r="Y361" s="31" t="n"/>
      <c r="Z361" s="31" t="n"/>
      <c r="AA361" s="31" t="n"/>
    </row>
    <row r="362" ht="14.25" customHeight="1">
      <c r="A362" s="31" t="n"/>
      <c r="D362" s="161" t="n"/>
      <c r="E362" s="161" t="n"/>
      <c r="P362" s="31" t="n"/>
      <c r="Q362" s="31" t="n"/>
      <c r="R362" s="31" t="n"/>
      <c r="S362" s="31" t="n"/>
      <c r="T362" s="31" t="n"/>
      <c r="U362" s="31" t="n"/>
      <c r="V362" s="31" t="n"/>
      <c r="W362" s="31" t="n"/>
      <c r="X362" s="31" t="n"/>
      <c r="Y362" s="31" t="n"/>
      <c r="Z362" s="31" t="n"/>
      <c r="AA362" s="31" t="n"/>
    </row>
    <row r="363" ht="14.25" customHeight="1">
      <c r="A363" s="31" t="n"/>
      <c r="D363" s="161" t="n"/>
      <c r="E363" s="161" t="n"/>
      <c r="P363" s="31" t="n"/>
      <c r="Q363" s="31" t="n"/>
      <c r="R363" s="31" t="n"/>
      <c r="S363" s="31" t="n"/>
      <c r="T363" s="31" t="n"/>
      <c r="U363" s="31" t="n"/>
      <c r="V363" s="31" t="n"/>
      <c r="W363" s="31" t="n"/>
      <c r="X363" s="31" t="n"/>
      <c r="Y363" s="31" t="n"/>
      <c r="Z363" s="31" t="n"/>
      <c r="AA363" s="31" t="n"/>
    </row>
    <row r="364" ht="14.25" customHeight="1">
      <c r="A364" s="31" t="n"/>
      <c r="D364" s="161" t="n"/>
      <c r="E364" s="161" t="n"/>
      <c r="P364" s="31" t="n"/>
      <c r="Q364" s="31" t="n"/>
      <c r="R364" s="31" t="n"/>
      <c r="S364" s="31" t="n"/>
      <c r="T364" s="31" t="n"/>
      <c r="U364" s="31" t="n"/>
      <c r="V364" s="31" t="n"/>
      <c r="W364" s="31" t="n"/>
      <c r="X364" s="31" t="n"/>
      <c r="Y364" s="31" t="n"/>
      <c r="Z364" s="31" t="n"/>
      <c r="AA364" s="31" t="n"/>
    </row>
    <row r="365" ht="14.25" customHeight="1">
      <c r="A365" s="31" t="n"/>
      <c r="D365" s="161" t="n"/>
      <c r="E365" s="161" t="n"/>
      <c r="P365" s="31" t="n"/>
      <c r="Q365" s="31" t="n"/>
      <c r="R365" s="31" t="n"/>
      <c r="S365" s="31" t="n"/>
      <c r="T365" s="31" t="n"/>
      <c r="U365" s="31" t="n"/>
      <c r="V365" s="31" t="n"/>
      <c r="W365" s="31" t="n"/>
      <c r="X365" s="31" t="n"/>
      <c r="Y365" s="31" t="n"/>
      <c r="Z365" s="31" t="n"/>
      <c r="AA365" s="31" t="n"/>
    </row>
    <row r="366" ht="14.25" customHeight="1">
      <c r="A366" s="31" t="n"/>
      <c r="D366" s="161" t="n"/>
      <c r="E366" s="161" t="n"/>
      <c r="P366" s="31" t="n"/>
      <c r="Q366" s="31" t="n"/>
      <c r="R366" s="31" t="n"/>
      <c r="S366" s="31" t="n"/>
      <c r="T366" s="31" t="n"/>
      <c r="U366" s="31" t="n"/>
      <c r="V366" s="31" t="n"/>
      <c r="W366" s="31" t="n"/>
      <c r="X366" s="31" t="n"/>
      <c r="Y366" s="31" t="n"/>
      <c r="Z366" s="31" t="n"/>
      <c r="AA366" s="31" t="n"/>
    </row>
    <row r="367" ht="14.25" customHeight="1">
      <c r="A367" s="31" t="n"/>
      <c r="D367" s="161" t="n"/>
      <c r="E367" s="161" t="n"/>
      <c r="P367" s="31" t="n"/>
      <c r="Q367" s="31" t="n"/>
      <c r="R367" s="31" t="n"/>
      <c r="S367" s="31" t="n"/>
      <c r="T367" s="31" t="n"/>
      <c r="U367" s="31" t="n"/>
      <c r="V367" s="31" t="n"/>
      <c r="W367" s="31" t="n"/>
      <c r="X367" s="31" t="n"/>
      <c r="Y367" s="31" t="n"/>
      <c r="Z367" s="31" t="n"/>
      <c r="AA367" s="31" t="n"/>
    </row>
    <row r="368" ht="14.25" customHeight="1">
      <c r="A368" s="31" t="n"/>
      <c r="D368" s="161" t="n"/>
      <c r="E368" s="161" t="n"/>
      <c r="P368" s="31" t="n"/>
      <c r="Q368" s="31" t="n"/>
      <c r="R368" s="31" t="n"/>
      <c r="S368" s="31" t="n"/>
      <c r="T368" s="31" t="n"/>
      <c r="U368" s="31" t="n"/>
      <c r="V368" s="31" t="n"/>
      <c r="W368" s="31" t="n"/>
      <c r="X368" s="31" t="n"/>
      <c r="Y368" s="31" t="n"/>
      <c r="Z368" s="31" t="n"/>
      <c r="AA368" s="31" t="n"/>
    </row>
    <row r="369" ht="14.25" customHeight="1">
      <c r="A369" s="31" t="n"/>
      <c r="D369" s="161" t="n"/>
      <c r="E369" s="161" t="n"/>
      <c r="P369" s="31" t="n"/>
      <c r="Q369" s="31" t="n"/>
      <c r="R369" s="31" t="n"/>
      <c r="S369" s="31" t="n"/>
      <c r="T369" s="31" t="n"/>
      <c r="U369" s="31" t="n"/>
      <c r="V369" s="31" t="n"/>
      <c r="W369" s="31" t="n"/>
      <c r="X369" s="31" t="n"/>
      <c r="Y369" s="31" t="n"/>
      <c r="Z369" s="31" t="n"/>
      <c r="AA369" s="31" t="n"/>
    </row>
    <row r="370" ht="14.25" customHeight="1">
      <c r="A370" s="31" t="n"/>
      <c r="D370" s="161" t="n"/>
      <c r="E370" s="161" t="n"/>
      <c r="P370" s="31" t="n"/>
      <c r="Q370" s="31" t="n"/>
      <c r="R370" s="31" t="n"/>
      <c r="S370" s="31" t="n"/>
      <c r="T370" s="31" t="n"/>
      <c r="U370" s="31" t="n"/>
      <c r="V370" s="31" t="n"/>
      <c r="W370" s="31" t="n"/>
      <c r="X370" s="31" t="n"/>
      <c r="Y370" s="31" t="n"/>
      <c r="Z370" s="31" t="n"/>
      <c r="AA370" s="31" t="n"/>
    </row>
    <row r="371" ht="14.25" customHeight="1">
      <c r="A371" s="31" t="n"/>
      <c r="D371" s="161" t="n"/>
      <c r="E371" s="161" t="n"/>
      <c r="P371" s="31" t="n"/>
      <c r="Q371" s="31" t="n"/>
      <c r="R371" s="31" t="n"/>
      <c r="S371" s="31" t="n"/>
      <c r="T371" s="31" t="n"/>
      <c r="U371" s="31" t="n"/>
      <c r="V371" s="31" t="n"/>
      <c r="W371" s="31" t="n"/>
      <c r="X371" s="31" t="n"/>
      <c r="Y371" s="31" t="n"/>
      <c r="Z371" s="31" t="n"/>
      <c r="AA371" s="31" t="n"/>
    </row>
    <row r="372" ht="14.25" customHeight="1">
      <c r="A372" s="31" t="n"/>
      <c r="D372" s="161" t="n"/>
      <c r="E372" s="161" t="n"/>
      <c r="P372" s="31" t="n"/>
      <c r="Q372" s="31" t="n"/>
      <c r="R372" s="31" t="n"/>
      <c r="S372" s="31" t="n"/>
      <c r="T372" s="31" t="n"/>
      <c r="U372" s="31" t="n"/>
      <c r="V372" s="31" t="n"/>
      <c r="W372" s="31" t="n"/>
      <c r="X372" s="31" t="n"/>
      <c r="Y372" s="31" t="n"/>
      <c r="Z372" s="31" t="n"/>
      <c r="AA372" s="31" t="n"/>
    </row>
    <row r="373" ht="14.25" customHeight="1">
      <c r="A373" s="31" t="n"/>
      <c r="D373" s="161" t="n"/>
      <c r="E373" s="161" t="n"/>
      <c r="P373" s="31" t="n"/>
      <c r="Q373" s="31" t="n"/>
      <c r="R373" s="31" t="n"/>
      <c r="S373" s="31" t="n"/>
      <c r="T373" s="31" t="n"/>
      <c r="U373" s="31" t="n"/>
      <c r="V373" s="31" t="n"/>
      <c r="W373" s="31" t="n"/>
      <c r="X373" s="31" t="n"/>
      <c r="Y373" s="31" t="n"/>
      <c r="Z373" s="31" t="n"/>
      <c r="AA373" s="31" t="n"/>
    </row>
    <row r="374" ht="14.25" customHeight="1">
      <c r="A374" s="31" t="n"/>
      <c r="D374" s="161" t="n"/>
      <c r="E374" s="161" t="n"/>
      <c r="P374" s="31" t="n"/>
      <c r="Q374" s="31" t="n"/>
      <c r="R374" s="31" t="n"/>
      <c r="S374" s="31" t="n"/>
      <c r="T374" s="31" t="n"/>
      <c r="U374" s="31" t="n"/>
      <c r="V374" s="31" t="n"/>
      <c r="W374" s="31" t="n"/>
      <c r="X374" s="31" t="n"/>
      <c r="Y374" s="31" t="n"/>
      <c r="Z374" s="31" t="n"/>
      <c r="AA374" s="31" t="n"/>
    </row>
    <row r="375" ht="14.25" customHeight="1">
      <c r="A375" s="31" t="n"/>
      <c r="D375" s="161" t="n"/>
      <c r="E375" s="161" t="n"/>
      <c r="P375" s="31" t="n"/>
      <c r="Q375" s="31" t="n"/>
      <c r="R375" s="31" t="n"/>
      <c r="S375" s="31" t="n"/>
      <c r="T375" s="31" t="n"/>
      <c r="U375" s="31" t="n"/>
      <c r="V375" s="31" t="n"/>
      <c r="W375" s="31" t="n"/>
      <c r="X375" s="31" t="n"/>
      <c r="Y375" s="31" t="n"/>
      <c r="Z375" s="31" t="n"/>
      <c r="AA375" s="31" t="n"/>
    </row>
    <row r="376" ht="14.25" customHeight="1">
      <c r="A376" s="31" t="n"/>
      <c r="D376" s="161" t="n"/>
      <c r="E376" s="161" t="n"/>
      <c r="P376" s="31" t="n"/>
      <c r="Q376" s="31" t="n"/>
      <c r="R376" s="31" t="n"/>
      <c r="S376" s="31" t="n"/>
      <c r="T376" s="31" t="n"/>
      <c r="U376" s="31" t="n"/>
      <c r="V376" s="31" t="n"/>
      <c r="W376" s="31" t="n"/>
      <c r="X376" s="31" t="n"/>
      <c r="Y376" s="31" t="n"/>
      <c r="Z376" s="31" t="n"/>
      <c r="AA376" s="31" t="n"/>
    </row>
    <row r="377" ht="14.25" customHeight="1">
      <c r="A377" s="31" t="n"/>
      <c r="D377" s="161" t="n"/>
      <c r="E377" s="161" t="n"/>
      <c r="P377" s="31" t="n"/>
      <c r="Q377" s="31" t="n"/>
      <c r="R377" s="31" t="n"/>
      <c r="S377" s="31" t="n"/>
      <c r="T377" s="31" t="n"/>
      <c r="U377" s="31" t="n"/>
      <c r="V377" s="31" t="n"/>
      <c r="W377" s="31" t="n"/>
      <c r="X377" s="31" t="n"/>
      <c r="Y377" s="31" t="n"/>
      <c r="Z377" s="31" t="n"/>
      <c r="AA377" s="31" t="n"/>
    </row>
    <row r="378" ht="14.25" customHeight="1">
      <c r="A378" s="31" t="n"/>
      <c r="D378" s="161" t="n"/>
      <c r="E378" s="161" t="n"/>
      <c r="P378" s="31" t="n"/>
      <c r="Q378" s="31" t="n"/>
      <c r="R378" s="31" t="n"/>
      <c r="S378" s="31" t="n"/>
      <c r="T378" s="31" t="n"/>
      <c r="U378" s="31" t="n"/>
      <c r="V378" s="31" t="n"/>
      <c r="W378" s="31" t="n"/>
      <c r="X378" s="31" t="n"/>
      <c r="Y378" s="31" t="n"/>
      <c r="Z378" s="31" t="n"/>
      <c r="AA378" s="31" t="n"/>
    </row>
    <row r="379" ht="14.25" customHeight="1">
      <c r="A379" s="31" t="n"/>
      <c r="D379" s="161" t="n"/>
      <c r="E379" s="161" t="n"/>
      <c r="P379" s="31" t="n"/>
      <c r="Q379" s="31" t="n"/>
      <c r="R379" s="31" t="n"/>
      <c r="S379" s="31" t="n"/>
      <c r="T379" s="31" t="n"/>
      <c r="U379" s="31" t="n"/>
      <c r="V379" s="31" t="n"/>
      <c r="W379" s="31" t="n"/>
      <c r="X379" s="31" t="n"/>
      <c r="Y379" s="31" t="n"/>
      <c r="Z379" s="31" t="n"/>
      <c r="AA379" s="31" t="n"/>
    </row>
    <row r="380" ht="14.25" customHeight="1">
      <c r="A380" s="31" t="n"/>
      <c r="D380" s="161" t="n"/>
      <c r="E380" s="161" t="n"/>
      <c r="P380" s="31" t="n"/>
      <c r="Q380" s="31" t="n"/>
      <c r="R380" s="31" t="n"/>
      <c r="S380" s="31" t="n"/>
      <c r="T380" s="31" t="n"/>
      <c r="U380" s="31" t="n"/>
      <c r="V380" s="31" t="n"/>
      <c r="W380" s="31" t="n"/>
      <c r="X380" s="31" t="n"/>
      <c r="Y380" s="31" t="n"/>
      <c r="Z380" s="31" t="n"/>
      <c r="AA380" s="31" t="n"/>
    </row>
    <row r="381" ht="14.25" customHeight="1">
      <c r="A381" s="31" t="n"/>
      <c r="D381" s="161" t="n"/>
      <c r="E381" s="161" t="n"/>
      <c r="P381" s="31" t="n"/>
      <c r="Q381" s="31" t="n"/>
      <c r="R381" s="31" t="n"/>
      <c r="S381" s="31" t="n"/>
      <c r="T381" s="31" t="n"/>
      <c r="U381" s="31" t="n"/>
      <c r="V381" s="31" t="n"/>
      <c r="W381" s="31" t="n"/>
      <c r="X381" s="31" t="n"/>
      <c r="Y381" s="31" t="n"/>
      <c r="Z381" s="31" t="n"/>
      <c r="AA381" s="31" t="n"/>
    </row>
    <row r="382" ht="14.25" customHeight="1">
      <c r="A382" s="31" t="n"/>
      <c r="D382" s="161" t="n"/>
      <c r="E382" s="161" t="n"/>
      <c r="P382" s="31" t="n"/>
      <c r="Q382" s="31" t="n"/>
      <c r="R382" s="31" t="n"/>
      <c r="S382" s="31" t="n"/>
      <c r="T382" s="31" t="n"/>
      <c r="U382" s="31" t="n"/>
      <c r="V382" s="31" t="n"/>
      <c r="W382" s="31" t="n"/>
      <c r="X382" s="31" t="n"/>
      <c r="Y382" s="31" t="n"/>
      <c r="Z382" s="31" t="n"/>
      <c r="AA382" s="31" t="n"/>
    </row>
    <row r="383" ht="14.25" customHeight="1">
      <c r="A383" s="31" t="n"/>
      <c r="D383" s="161" t="n"/>
      <c r="E383" s="161" t="n"/>
      <c r="P383" s="31" t="n"/>
      <c r="Q383" s="31" t="n"/>
      <c r="R383" s="31" t="n"/>
      <c r="S383" s="31" t="n"/>
      <c r="T383" s="31" t="n"/>
      <c r="U383" s="31" t="n"/>
      <c r="V383" s="31" t="n"/>
      <c r="W383" s="31" t="n"/>
      <c r="X383" s="31" t="n"/>
      <c r="Y383" s="31" t="n"/>
      <c r="Z383" s="31" t="n"/>
      <c r="AA383" s="31" t="n"/>
    </row>
    <row r="384" ht="14.25" customHeight="1">
      <c r="A384" s="31" t="n"/>
      <c r="D384" s="161" t="n"/>
      <c r="E384" s="161" t="n"/>
      <c r="P384" s="31" t="n"/>
      <c r="Q384" s="31" t="n"/>
      <c r="R384" s="31" t="n"/>
      <c r="S384" s="31" t="n"/>
      <c r="T384" s="31" t="n"/>
      <c r="U384" s="31" t="n"/>
      <c r="V384" s="31" t="n"/>
      <c r="W384" s="31" t="n"/>
      <c r="X384" s="31" t="n"/>
      <c r="Y384" s="31" t="n"/>
      <c r="Z384" s="31" t="n"/>
      <c r="AA384" s="31" t="n"/>
    </row>
    <row r="385" ht="14.25" customHeight="1">
      <c r="A385" s="31" t="n"/>
      <c r="D385" s="161" t="n"/>
      <c r="E385" s="161" t="n"/>
      <c r="P385" s="31" t="n"/>
      <c r="Q385" s="31" t="n"/>
      <c r="R385" s="31" t="n"/>
      <c r="S385" s="31" t="n"/>
      <c r="T385" s="31" t="n"/>
      <c r="U385" s="31" t="n"/>
      <c r="V385" s="31" t="n"/>
      <c r="W385" s="31" t="n"/>
      <c r="X385" s="31" t="n"/>
      <c r="Y385" s="31" t="n"/>
      <c r="Z385" s="31" t="n"/>
      <c r="AA385" s="31" t="n"/>
    </row>
    <row r="386" ht="14.25" customHeight="1">
      <c r="A386" s="31" t="n"/>
      <c r="D386" s="161" t="n"/>
      <c r="E386" s="161" t="n"/>
      <c r="P386" s="31" t="n"/>
      <c r="Q386" s="31" t="n"/>
      <c r="R386" s="31" t="n"/>
      <c r="S386" s="31" t="n"/>
      <c r="T386" s="31" t="n"/>
      <c r="U386" s="31" t="n"/>
      <c r="V386" s="31" t="n"/>
      <c r="W386" s="31" t="n"/>
      <c r="X386" s="31" t="n"/>
      <c r="Y386" s="31" t="n"/>
      <c r="Z386" s="31" t="n"/>
      <c r="AA386" s="31" t="n"/>
    </row>
    <row r="387" ht="14.25" customHeight="1">
      <c r="A387" s="31" t="n"/>
      <c r="D387" s="161" t="n"/>
      <c r="E387" s="161" t="n"/>
      <c r="P387" s="31" t="n"/>
      <c r="Q387" s="31" t="n"/>
      <c r="R387" s="31" t="n"/>
      <c r="S387" s="31" t="n"/>
      <c r="T387" s="31" t="n"/>
      <c r="U387" s="31" t="n"/>
      <c r="V387" s="31" t="n"/>
      <c r="W387" s="31" t="n"/>
      <c r="X387" s="31" t="n"/>
      <c r="Y387" s="31" t="n"/>
      <c r="Z387" s="31" t="n"/>
      <c r="AA387" s="31" t="n"/>
    </row>
    <row r="388" ht="14.25" customHeight="1">
      <c r="A388" s="31" t="n"/>
      <c r="D388" s="161" t="n"/>
      <c r="E388" s="161" t="n"/>
      <c r="P388" s="31" t="n"/>
      <c r="Q388" s="31" t="n"/>
      <c r="R388" s="31" t="n"/>
      <c r="S388" s="31" t="n"/>
      <c r="T388" s="31" t="n"/>
      <c r="U388" s="31" t="n"/>
      <c r="V388" s="31" t="n"/>
      <c r="W388" s="31" t="n"/>
      <c r="X388" s="31" t="n"/>
      <c r="Y388" s="31" t="n"/>
      <c r="Z388" s="31" t="n"/>
      <c r="AA388" s="31" t="n"/>
    </row>
    <row r="389" ht="14.25" customHeight="1">
      <c r="A389" s="31" t="n"/>
      <c r="D389" s="161" t="n"/>
      <c r="E389" s="161" t="n"/>
      <c r="P389" s="31" t="n"/>
      <c r="Q389" s="31" t="n"/>
      <c r="R389" s="31" t="n"/>
      <c r="S389" s="31" t="n"/>
      <c r="T389" s="31" t="n"/>
      <c r="U389" s="31" t="n"/>
      <c r="V389" s="31" t="n"/>
      <c r="W389" s="31" t="n"/>
      <c r="X389" s="31" t="n"/>
      <c r="Y389" s="31" t="n"/>
      <c r="Z389" s="31" t="n"/>
      <c r="AA389" s="31" t="n"/>
    </row>
    <row r="390" ht="14.25" customHeight="1">
      <c r="A390" s="31" t="n"/>
      <c r="D390" s="161" t="n"/>
      <c r="E390" s="161" t="n"/>
      <c r="P390" s="31" t="n"/>
      <c r="Q390" s="31" t="n"/>
      <c r="R390" s="31" t="n"/>
      <c r="S390" s="31" t="n"/>
      <c r="T390" s="31" t="n"/>
      <c r="U390" s="31" t="n"/>
      <c r="V390" s="31" t="n"/>
      <c r="W390" s="31" t="n"/>
      <c r="X390" s="31" t="n"/>
      <c r="Y390" s="31" t="n"/>
      <c r="Z390" s="31" t="n"/>
      <c r="AA390" s="31" t="n"/>
    </row>
    <row r="391" ht="14.25" customHeight="1">
      <c r="A391" s="31" t="n"/>
      <c r="D391" s="161" t="n"/>
      <c r="E391" s="161" t="n"/>
      <c r="P391" s="31" t="n"/>
      <c r="Q391" s="31" t="n"/>
      <c r="R391" s="31" t="n"/>
      <c r="S391" s="31" t="n"/>
      <c r="T391" s="31" t="n"/>
      <c r="U391" s="31" t="n"/>
      <c r="V391" s="31" t="n"/>
      <c r="W391" s="31" t="n"/>
      <c r="X391" s="31" t="n"/>
      <c r="Y391" s="31" t="n"/>
      <c r="Z391" s="31" t="n"/>
      <c r="AA391" s="31" t="n"/>
    </row>
    <row r="392" ht="14.25" customHeight="1">
      <c r="A392" s="31" t="n"/>
      <c r="D392" s="161" t="n"/>
      <c r="E392" s="161" t="n"/>
      <c r="P392" s="31" t="n"/>
      <c r="Q392" s="31" t="n"/>
      <c r="R392" s="31" t="n"/>
      <c r="S392" s="31" t="n"/>
      <c r="T392" s="31" t="n"/>
      <c r="U392" s="31" t="n"/>
      <c r="V392" s="31" t="n"/>
      <c r="W392" s="31" t="n"/>
      <c r="X392" s="31" t="n"/>
      <c r="Y392" s="31" t="n"/>
      <c r="Z392" s="31" t="n"/>
      <c r="AA392" s="31" t="n"/>
    </row>
    <row r="393" ht="14.25" customHeight="1">
      <c r="A393" s="31" t="n"/>
      <c r="D393" s="161" t="n"/>
      <c r="E393" s="161" t="n"/>
      <c r="P393" s="31" t="n"/>
      <c r="Q393" s="31" t="n"/>
      <c r="R393" s="31" t="n"/>
      <c r="S393" s="31" t="n"/>
      <c r="T393" s="31" t="n"/>
      <c r="U393" s="31" t="n"/>
      <c r="V393" s="31" t="n"/>
      <c r="W393" s="31" t="n"/>
      <c r="X393" s="31" t="n"/>
      <c r="Y393" s="31" t="n"/>
      <c r="Z393" s="31" t="n"/>
      <c r="AA393" s="31" t="n"/>
    </row>
    <row r="394" ht="14.25" customHeight="1">
      <c r="A394" s="31" t="n"/>
      <c r="D394" s="161" t="n"/>
      <c r="E394" s="161" t="n"/>
      <c r="P394" s="31" t="n"/>
      <c r="Q394" s="31" t="n"/>
      <c r="R394" s="31" t="n"/>
      <c r="S394" s="31" t="n"/>
      <c r="T394" s="31" t="n"/>
      <c r="U394" s="31" t="n"/>
      <c r="V394" s="31" t="n"/>
      <c r="W394" s="31" t="n"/>
      <c r="X394" s="31" t="n"/>
      <c r="Y394" s="31" t="n"/>
      <c r="Z394" s="31" t="n"/>
      <c r="AA394" s="31" t="n"/>
    </row>
    <row r="395" ht="14.25" customHeight="1">
      <c r="A395" s="31" t="n"/>
      <c r="D395" s="161" t="n"/>
      <c r="E395" s="161" t="n"/>
      <c r="P395" s="31" t="n"/>
      <c r="Q395" s="31" t="n"/>
      <c r="R395" s="31" t="n"/>
      <c r="S395" s="31" t="n"/>
      <c r="T395" s="31" t="n"/>
      <c r="U395" s="31" t="n"/>
      <c r="V395" s="31" t="n"/>
      <c r="W395" s="31" t="n"/>
      <c r="X395" s="31" t="n"/>
      <c r="Y395" s="31" t="n"/>
      <c r="Z395" s="31" t="n"/>
      <c r="AA395" s="31" t="n"/>
    </row>
    <row r="396" ht="14.25" customHeight="1">
      <c r="A396" s="31" t="n"/>
      <c r="D396" s="161" t="n"/>
      <c r="E396" s="161" t="n"/>
      <c r="P396" s="31" t="n"/>
      <c r="Q396" s="31" t="n"/>
      <c r="R396" s="31" t="n"/>
      <c r="S396" s="31" t="n"/>
      <c r="T396" s="31" t="n"/>
      <c r="U396" s="31" t="n"/>
      <c r="V396" s="31" t="n"/>
      <c r="W396" s="31" t="n"/>
      <c r="X396" s="31" t="n"/>
      <c r="Y396" s="31" t="n"/>
      <c r="Z396" s="31" t="n"/>
      <c r="AA396" s="31" t="n"/>
    </row>
    <row r="397" ht="14.25" customHeight="1">
      <c r="A397" s="31" t="n"/>
      <c r="D397" s="161" t="n"/>
      <c r="E397" s="161" t="n"/>
      <c r="P397" s="31" t="n"/>
      <c r="Q397" s="31" t="n"/>
      <c r="R397" s="31" t="n"/>
      <c r="S397" s="31" t="n"/>
      <c r="T397" s="31" t="n"/>
      <c r="U397" s="31" t="n"/>
      <c r="V397" s="31" t="n"/>
      <c r="W397" s="31" t="n"/>
      <c r="X397" s="31" t="n"/>
      <c r="Y397" s="31" t="n"/>
      <c r="Z397" s="31" t="n"/>
      <c r="AA397" s="31" t="n"/>
    </row>
    <row r="398" ht="14.25" customHeight="1">
      <c r="A398" s="31" t="n"/>
      <c r="D398" s="161" t="n"/>
      <c r="E398" s="161" t="n"/>
      <c r="P398" s="31" t="n"/>
      <c r="Q398" s="31" t="n"/>
      <c r="R398" s="31" t="n"/>
      <c r="S398" s="31" t="n"/>
      <c r="T398" s="31" t="n"/>
      <c r="U398" s="31" t="n"/>
      <c r="V398" s="31" t="n"/>
      <c r="W398" s="31" t="n"/>
      <c r="X398" s="31" t="n"/>
      <c r="Y398" s="31" t="n"/>
      <c r="Z398" s="31" t="n"/>
      <c r="AA398" s="31" t="n"/>
    </row>
    <row r="399" ht="14.25" customHeight="1">
      <c r="A399" s="31" t="n"/>
      <c r="D399" s="161" t="n"/>
      <c r="E399" s="161" t="n"/>
      <c r="P399" s="31" t="n"/>
      <c r="Q399" s="31" t="n"/>
      <c r="R399" s="31" t="n"/>
      <c r="S399" s="31" t="n"/>
      <c r="T399" s="31" t="n"/>
      <c r="U399" s="31" t="n"/>
      <c r="V399" s="31" t="n"/>
      <c r="W399" s="31" t="n"/>
      <c r="X399" s="31" t="n"/>
      <c r="Y399" s="31" t="n"/>
      <c r="Z399" s="31" t="n"/>
      <c r="AA399" s="31" t="n"/>
    </row>
    <row r="400" ht="14.25" customHeight="1">
      <c r="A400" s="31" t="n"/>
      <c r="D400" s="161" t="n"/>
      <c r="E400" s="161" t="n"/>
      <c r="P400" s="31" t="n"/>
      <c r="Q400" s="31" t="n"/>
      <c r="R400" s="31" t="n"/>
      <c r="S400" s="31" t="n"/>
      <c r="T400" s="31" t="n"/>
      <c r="U400" s="31" t="n"/>
      <c r="V400" s="31" t="n"/>
      <c r="W400" s="31" t="n"/>
      <c r="X400" s="31" t="n"/>
      <c r="Y400" s="31" t="n"/>
      <c r="Z400" s="31" t="n"/>
      <c r="AA400" s="31" t="n"/>
    </row>
    <row r="401" ht="14.25" customHeight="1">
      <c r="A401" s="31" t="n"/>
      <c r="D401" s="161" t="n"/>
      <c r="E401" s="161" t="n"/>
      <c r="P401" s="31" t="n"/>
      <c r="Q401" s="31" t="n"/>
      <c r="R401" s="31" t="n"/>
      <c r="S401" s="31" t="n"/>
      <c r="T401" s="31" t="n"/>
      <c r="U401" s="31" t="n"/>
      <c r="V401" s="31" t="n"/>
      <c r="W401" s="31" t="n"/>
      <c r="X401" s="31" t="n"/>
      <c r="Y401" s="31" t="n"/>
      <c r="Z401" s="31" t="n"/>
      <c r="AA401" s="31" t="n"/>
    </row>
    <row r="402" ht="14.25" customHeight="1">
      <c r="A402" s="31" t="n"/>
      <c r="D402" s="161" t="n"/>
      <c r="E402" s="161" t="n"/>
      <c r="P402" s="31" t="n"/>
      <c r="Q402" s="31" t="n"/>
      <c r="R402" s="31" t="n"/>
      <c r="S402" s="31" t="n"/>
      <c r="T402" s="31" t="n"/>
      <c r="U402" s="31" t="n"/>
      <c r="V402" s="31" t="n"/>
      <c r="W402" s="31" t="n"/>
      <c r="X402" s="31" t="n"/>
      <c r="Y402" s="31" t="n"/>
      <c r="Z402" s="31" t="n"/>
      <c r="AA402" s="31" t="n"/>
    </row>
    <row r="403" ht="14.25" customHeight="1">
      <c r="A403" s="31" t="n"/>
      <c r="D403" s="161" t="n"/>
      <c r="E403" s="161" t="n"/>
      <c r="P403" s="31" t="n"/>
      <c r="Q403" s="31" t="n"/>
      <c r="R403" s="31" t="n"/>
      <c r="S403" s="31" t="n"/>
      <c r="T403" s="31" t="n"/>
      <c r="U403" s="31" t="n"/>
      <c r="V403" s="31" t="n"/>
      <c r="W403" s="31" t="n"/>
      <c r="X403" s="31" t="n"/>
      <c r="Y403" s="31" t="n"/>
      <c r="Z403" s="31" t="n"/>
      <c r="AA403" s="31" t="n"/>
    </row>
    <row r="404" ht="14.25" customHeight="1">
      <c r="A404" s="31" t="n"/>
      <c r="D404" s="161" t="n"/>
      <c r="E404" s="161" t="n"/>
      <c r="P404" s="31" t="n"/>
      <c r="Q404" s="31" t="n"/>
      <c r="R404" s="31" t="n"/>
      <c r="S404" s="31" t="n"/>
      <c r="T404" s="31" t="n"/>
      <c r="U404" s="31" t="n"/>
      <c r="V404" s="31" t="n"/>
      <c r="W404" s="31" t="n"/>
      <c r="X404" s="31" t="n"/>
      <c r="Y404" s="31" t="n"/>
      <c r="Z404" s="31" t="n"/>
      <c r="AA404" s="31" t="n"/>
    </row>
    <row r="405" ht="14.25" customHeight="1">
      <c r="A405" s="31" t="n"/>
      <c r="D405" s="161" t="n"/>
      <c r="E405" s="161" t="n"/>
      <c r="P405" s="31" t="n"/>
      <c r="Q405" s="31" t="n"/>
      <c r="R405" s="31" t="n"/>
      <c r="S405" s="31" t="n"/>
      <c r="T405" s="31" t="n"/>
      <c r="U405" s="31" t="n"/>
      <c r="V405" s="31" t="n"/>
      <c r="W405" s="31" t="n"/>
      <c r="X405" s="31" t="n"/>
      <c r="Y405" s="31" t="n"/>
      <c r="Z405" s="31" t="n"/>
      <c r="AA405" s="31" t="n"/>
    </row>
    <row r="406" ht="14.25" customHeight="1">
      <c r="A406" s="31" t="n"/>
      <c r="D406" s="161" t="n"/>
      <c r="E406" s="161" t="n"/>
      <c r="P406" s="31" t="n"/>
      <c r="Q406" s="31" t="n"/>
      <c r="R406" s="31" t="n"/>
      <c r="S406" s="31" t="n"/>
      <c r="T406" s="31" t="n"/>
      <c r="U406" s="31" t="n"/>
      <c r="V406" s="31" t="n"/>
      <c r="W406" s="31" t="n"/>
      <c r="X406" s="31" t="n"/>
      <c r="Y406" s="31" t="n"/>
      <c r="Z406" s="31" t="n"/>
      <c r="AA406" s="31" t="n"/>
    </row>
    <row r="407" ht="14.25" customHeight="1">
      <c r="A407" s="31" t="n"/>
      <c r="D407" s="161" t="n"/>
      <c r="E407" s="161" t="n"/>
      <c r="P407" s="31" t="n"/>
      <c r="Q407" s="31" t="n"/>
      <c r="R407" s="31" t="n"/>
      <c r="S407" s="31" t="n"/>
      <c r="T407" s="31" t="n"/>
      <c r="U407" s="31" t="n"/>
      <c r="V407" s="31" t="n"/>
      <c r="W407" s="31" t="n"/>
      <c r="X407" s="31" t="n"/>
      <c r="Y407" s="31" t="n"/>
      <c r="Z407" s="31" t="n"/>
      <c r="AA407" s="31" t="n"/>
    </row>
    <row r="408" ht="14.25" customHeight="1">
      <c r="A408" s="31" t="n"/>
      <c r="D408" s="161" t="n"/>
      <c r="E408" s="161" t="n"/>
      <c r="P408" s="31" t="n"/>
      <c r="Q408" s="31" t="n"/>
      <c r="R408" s="31" t="n"/>
      <c r="S408" s="31" t="n"/>
      <c r="T408" s="31" t="n"/>
      <c r="U408" s="31" t="n"/>
      <c r="V408" s="31" t="n"/>
      <c r="W408" s="31" t="n"/>
      <c r="X408" s="31" t="n"/>
      <c r="Y408" s="31" t="n"/>
      <c r="Z408" s="31" t="n"/>
      <c r="AA408" s="31" t="n"/>
    </row>
    <row r="409" ht="14.25" customHeight="1">
      <c r="A409" s="31" t="n"/>
      <c r="D409" s="161" t="n"/>
      <c r="E409" s="161" t="n"/>
      <c r="P409" s="31" t="n"/>
      <c r="Q409" s="31" t="n"/>
      <c r="R409" s="31" t="n"/>
      <c r="S409" s="31" t="n"/>
      <c r="T409" s="31" t="n"/>
      <c r="U409" s="31" t="n"/>
      <c r="V409" s="31" t="n"/>
      <c r="W409" s="31" t="n"/>
      <c r="X409" s="31" t="n"/>
      <c r="Y409" s="31" t="n"/>
      <c r="Z409" s="31" t="n"/>
      <c r="AA409" s="31" t="n"/>
    </row>
    <row r="410" ht="14.25" customHeight="1">
      <c r="A410" s="31" t="n"/>
      <c r="D410" s="161" t="n"/>
      <c r="E410" s="161" t="n"/>
      <c r="P410" s="31" t="n"/>
      <c r="Q410" s="31" t="n"/>
      <c r="R410" s="31" t="n"/>
      <c r="S410" s="31" t="n"/>
      <c r="T410" s="31" t="n"/>
      <c r="U410" s="31" t="n"/>
      <c r="V410" s="31" t="n"/>
      <c r="W410" s="31" t="n"/>
      <c r="X410" s="31" t="n"/>
      <c r="Y410" s="31" t="n"/>
      <c r="Z410" s="31" t="n"/>
      <c r="AA410" s="31" t="n"/>
    </row>
    <row r="411" ht="14.25" customHeight="1">
      <c r="A411" s="31" t="n"/>
      <c r="D411" s="161" t="n"/>
      <c r="E411" s="161" t="n"/>
      <c r="P411" s="31" t="n"/>
      <c r="Q411" s="31" t="n"/>
      <c r="R411" s="31" t="n"/>
      <c r="S411" s="31" t="n"/>
      <c r="T411" s="31" t="n"/>
      <c r="U411" s="31" t="n"/>
      <c r="V411" s="31" t="n"/>
      <c r="W411" s="31" t="n"/>
      <c r="X411" s="31" t="n"/>
      <c r="Y411" s="31" t="n"/>
      <c r="Z411" s="31" t="n"/>
      <c r="AA411" s="31" t="n"/>
    </row>
    <row r="412" ht="14.25" customHeight="1">
      <c r="A412" s="31" t="n"/>
      <c r="D412" s="161" t="n"/>
      <c r="E412" s="161" t="n"/>
      <c r="P412" s="31" t="n"/>
      <c r="Q412" s="31" t="n"/>
      <c r="R412" s="31" t="n"/>
      <c r="S412" s="31" t="n"/>
      <c r="T412" s="31" t="n"/>
      <c r="U412" s="31" t="n"/>
      <c r="V412" s="31" t="n"/>
      <c r="W412" s="31" t="n"/>
      <c r="X412" s="31" t="n"/>
      <c r="Y412" s="31" t="n"/>
      <c r="Z412" s="31" t="n"/>
      <c r="AA412" s="31" t="n"/>
    </row>
    <row r="413" ht="14.25" customHeight="1">
      <c r="A413" s="31" t="n"/>
      <c r="D413" s="161" t="n"/>
      <c r="E413" s="161" t="n"/>
      <c r="P413" s="31" t="n"/>
      <c r="Q413" s="31" t="n"/>
      <c r="R413" s="31" t="n"/>
      <c r="S413" s="31" t="n"/>
      <c r="T413" s="31" t="n"/>
      <c r="U413" s="31" t="n"/>
      <c r="V413" s="31" t="n"/>
      <c r="W413" s="31" t="n"/>
      <c r="X413" s="31" t="n"/>
      <c r="Y413" s="31" t="n"/>
      <c r="Z413" s="31" t="n"/>
      <c r="AA413" s="31" t="n"/>
    </row>
    <row r="414" ht="14.25" customHeight="1">
      <c r="A414" s="31" t="n"/>
      <c r="D414" s="161" t="n"/>
      <c r="E414" s="161" t="n"/>
      <c r="P414" s="31" t="n"/>
      <c r="Q414" s="31" t="n"/>
      <c r="R414" s="31" t="n"/>
      <c r="S414" s="31" t="n"/>
      <c r="T414" s="31" t="n"/>
      <c r="U414" s="31" t="n"/>
      <c r="V414" s="31" t="n"/>
      <c r="W414" s="31" t="n"/>
      <c r="X414" s="31" t="n"/>
      <c r="Y414" s="31" t="n"/>
      <c r="Z414" s="31" t="n"/>
      <c r="AA414" s="31" t="n"/>
    </row>
    <row r="415" ht="14.25" customHeight="1">
      <c r="A415" s="31" t="n"/>
      <c r="D415" s="161" t="n"/>
      <c r="E415" s="161" t="n"/>
      <c r="P415" s="31" t="n"/>
      <c r="Q415" s="31" t="n"/>
      <c r="R415" s="31" t="n"/>
      <c r="S415" s="31" t="n"/>
      <c r="T415" s="31" t="n"/>
      <c r="U415" s="31" t="n"/>
      <c r="V415" s="31" t="n"/>
      <c r="W415" s="31" t="n"/>
      <c r="X415" s="31" t="n"/>
      <c r="Y415" s="31" t="n"/>
      <c r="Z415" s="31" t="n"/>
      <c r="AA415" s="31" t="n"/>
    </row>
    <row r="416" ht="14.25" customHeight="1">
      <c r="A416" s="31" t="n"/>
      <c r="D416" s="161" t="n"/>
      <c r="E416" s="161" t="n"/>
      <c r="P416" s="31" t="n"/>
      <c r="Q416" s="31" t="n"/>
      <c r="R416" s="31" t="n"/>
      <c r="S416" s="31" t="n"/>
      <c r="T416" s="31" t="n"/>
      <c r="U416" s="31" t="n"/>
      <c r="V416" s="31" t="n"/>
      <c r="W416" s="31" t="n"/>
      <c r="X416" s="31" t="n"/>
      <c r="Y416" s="31" t="n"/>
      <c r="Z416" s="31" t="n"/>
      <c r="AA416" s="31" t="n"/>
    </row>
    <row r="417" ht="14.25" customHeight="1">
      <c r="A417" s="31" t="n"/>
      <c r="D417" s="161" t="n"/>
      <c r="E417" s="161" t="n"/>
      <c r="P417" s="31" t="n"/>
      <c r="Q417" s="31" t="n"/>
      <c r="R417" s="31" t="n"/>
      <c r="S417" s="31" t="n"/>
      <c r="T417" s="31" t="n"/>
      <c r="U417" s="31" t="n"/>
      <c r="V417" s="31" t="n"/>
      <c r="W417" s="31" t="n"/>
      <c r="X417" s="31" t="n"/>
      <c r="Y417" s="31" t="n"/>
      <c r="Z417" s="31" t="n"/>
      <c r="AA417" s="31" t="n"/>
    </row>
    <row r="418" ht="14.25" customHeight="1">
      <c r="A418" s="31" t="n"/>
      <c r="D418" s="161" t="n"/>
      <c r="E418" s="161" t="n"/>
      <c r="P418" s="31" t="n"/>
      <c r="Q418" s="31" t="n"/>
      <c r="R418" s="31" t="n"/>
      <c r="S418" s="31" t="n"/>
      <c r="T418" s="31" t="n"/>
      <c r="U418" s="31" t="n"/>
      <c r="V418" s="31" t="n"/>
      <c r="W418" s="31" t="n"/>
      <c r="X418" s="31" t="n"/>
      <c r="Y418" s="31" t="n"/>
      <c r="Z418" s="31" t="n"/>
      <c r="AA418" s="31" t="n"/>
    </row>
    <row r="419" ht="14.25" customHeight="1">
      <c r="A419" s="31" t="n"/>
      <c r="D419" s="161" t="n"/>
      <c r="E419" s="161" t="n"/>
      <c r="P419" s="31" t="n"/>
      <c r="Q419" s="31" t="n"/>
      <c r="R419" s="31" t="n"/>
      <c r="S419" s="31" t="n"/>
      <c r="T419" s="31" t="n"/>
      <c r="U419" s="31" t="n"/>
      <c r="V419" s="31" t="n"/>
      <c r="W419" s="31" t="n"/>
      <c r="X419" s="31" t="n"/>
      <c r="Y419" s="31" t="n"/>
      <c r="Z419" s="31" t="n"/>
      <c r="AA419" s="31" t="n"/>
    </row>
    <row r="420" ht="14.25" customHeight="1">
      <c r="A420" s="31" t="n"/>
      <c r="D420" s="161" t="n"/>
      <c r="E420" s="161" t="n"/>
      <c r="P420" s="31" t="n"/>
      <c r="Q420" s="31" t="n"/>
      <c r="R420" s="31" t="n"/>
      <c r="S420" s="31" t="n"/>
      <c r="T420" s="31" t="n"/>
      <c r="U420" s="31" t="n"/>
      <c r="V420" s="31" t="n"/>
      <c r="W420" s="31" t="n"/>
      <c r="X420" s="31" t="n"/>
      <c r="Y420" s="31" t="n"/>
      <c r="Z420" s="31" t="n"/>
      <c r="AA420" s="31" t="n"/>
    </row>
    <row r="421" ht="14.25" customHeight="1">
      <c r="A421" s="31" t="n"/>
      <c r="D421" s="161" t="n"/>
      <c r="E421" s="161" t="n"/>
      <c r="P421" s="31" t="n"/>
      <c r="Q421" s="31" t="n"/>
      <c r="R421" s="31" t="n"/>
      <c r="S421" s="31" t="n"/>
      <c r="T421" s="31" t="n"/>
      <c r="U421" s="31" t="n"/>
      <c r="V421" s="31" t="n"/>
      <c r="W421" s="31" t="n"/>
      <c r="X421" s="31" t="n"/>
      <c r="Y421" s="31" t="n"/>
      <c r="Z421" s="31" t="n"/>
      <c r="AA421" s="31" t="n"/>
    </row>
    <row r="422" ht="14.25" customHeight="1">
      <c r="A422" s="31" t="n"/>
      <c r="D422" s="161" t="n"/>
      <c r="E422" s="161" t="n"/>
      <c r="P422" s="31" t="n"/>
      <c r="Q422" s="31" t="n"/>
      <c r="R422" s="31" t="n"/>
      <c r="S422" s="31" t="n"/>
      <c r="T422" s="31" t="n"/>
      <c r="U422" s="31" t="n"/>
      <c r="V422" s="31" t="n"/>
      <c r="W422" s="31" t="n"/>
      <c r="X422" s="31" t="n"/>
      <c r="Y422" s="31" t="n"/>
      <c r="Z422" s="31" t="n"/>
      <c r="AA422" s="31" t="n"/>
    </row>
    <row r="423" ht="14.25" customHeight="1">
      <c r="A423" s="31" t="n"/>
      <c r="D423" s="161" t="n"/>
      <c r="E423" s="161" t="n"/>
      <c r="P423" s="31" t="n"/>
      <c r="Q423" s="31" t="n"/>
      <c r="R423" s="31" t="n"/>
      <c r="S423" s="31" t="n"/>
      <c r="T423" s="31" t="n"/>
      <c r="U423" s="31" t="n"/>
      <c r="V423" s="31" t="n"/>
      <c r="W423" s="31" t="n"/>
      <c r="X423" s="31" t="n"/>
      <c r="Y423" s="31" t="n"/>
      <c r="Z423" s="31" t="n"/>
      <c r="AA423" s="31" t="n"/>
    </row>
    <row r="424" ht="14.25" customHeight="1">
      <c r="A424" s="31" t="n"/>
      <c r="D424" s="161" t="n"/>
      <c r="E424" s="161" t="n"/>
      <c r="P424" s="31" t="n"/>
      <c r="Q424" s="31" t="n"/>
      <c r="R424" s="31" t="n"/>
      <c r="S424" s="31" t="n"/>
      <c r="T424" s="31" t="n"/>
      <c r="U424" s="31" t="n"/>
      <c r="V424" s="31" t="n"/>
      <c r="W424" s="31" t="n"/>
      <c r="X424" s="31" t="n"/>
      <c r="Y424" s="31" t="n"/>
      <c r="Z424" s="31" t="n"/>
      <c r="AA424" s="31" t="n"/>
    </row>
    <row r="425" ht="14.25" customHeight="1">
      <c r="A425" s="31" t="n"/>
      <c r="D425" s="161" t="n"/>
      <c r="E425" s="161" t="n"/>
      <c r="P425" s="31" t="n"/>
      <c r="Q425" s="31" t="n"/>
      <c r="R425" s="31" t="n"/>
      <c r="S425" s="31" t="n"/>
      <c r="T425" s="31" t="n"/>
      <c r="U425" s="31" t="n"/>
      <c r="V425" s="31" t="n"/>
      <c r="W425" s="31" t="n"/>
      <c r="X425" s="31" t="n"/>
      <c r="Y425" s="31" t="n"/>
      <c r="Z425" s="31" t="n"/>
      <c r="AA425" s="31" t="n"/>
    </row>
    <row r="426" ht="14.25" customHeight="1">
      <c r="A426" s="31" t="n"/>
      <c r="D426" s="161" t="n"/>
      <c r="E426" s="161" t="n"/>
      <c r="P426" s="31" t="n"/>
      <c r="Q426" s="31" t="n"/>
      <c r="R426" s="31" t="n"/>
      <c r="S426" s="31" t="n"/>
      <c r="T426" s="31" t="n"/>
      <c r="U426" s="31" t="n"/>
      <c r="V426" s="31" t="n"/>
      <c r="W426" s="31" t="n"/>
      <c r="X426" s="31" t="n"/>
      <c r="Y426" s="31" t="n"/>
      <c r="Z426" s="31" t="n"/>
      <c r="AA426" s="31" t="n"/>
    </row>
    <row r="427" ht="14.25" customHeight="1">
      <c r="A427" s="31" t="n"/>
      <c r="D427" s="161" t="n"/>
      <c r="E427" s="161" t="n"/>
      <c r="P427" s="31" t="n"/>
      <c r="Q427" s="31" t="n"/>
      <c r="R427" s="31" t="n"/>
      <c r="S427" s="31" t="n"/>
      <c r="T427" s="31" t="n"/>
      <c r="U427" s="31" t="n"/>
      <c r="V427" s="31" t="n"/>
      <c r="W427" s="31" t="n"/>
      <c r="X427" s="31" t="n"/>
      <c r="Y427" s="31" t="n"/>
      <c r="Z427" s="31" t="n"/>
      <c r="AA427" s="31" t="n"/>
    </row>
    <row r="428" ht="14.25" customHeight="1">
      <c r="A428" s="31" t="n"/>
      <c r="D428" s="161" t="n"/>
      <c r="E428" s="161" t="n"/>
      <c r="P428" s="31" t="n"/>
      <c r="Q428" s="31" t="n"/>
      <c r="R428" s="31" t="n"/>
      <c r="S428" s="31" t="n"/>
      <c r="T428" s="31" t="n"/>
      <c r="U428" s="31" t="n"/>
      <c r="V428" s="31" t="n"/>
      <c r="W428" s="31" t="n"/>
      <c r="X428" s="31" t="n"/>
      <c r="Y428" s="31" t="n"/>
      <c r="Z428" s="31" t="n"/>
      <c r="AA428" s="31" t="n"/>
    </row>
    <row r="429" ht="14.25" customHeight="1">
      <c r="A429" s="31" t="n"/>
      <c r="D429" s="161" t="n"/>
      <c r="E429" s="161" t="n"/>
      <c r="P429" s="31" t="n"/>
      <c r="Q429" s="31" t="n"/>
      <c r="R429" s="31" t="n"/>
      <c r="S429" s="31" t="n"/>
      <c r="T429" s="31" t="n"/>
      <c r="U429" s="31" t="n"/>
      <c r="V429" s="31" t="n"/>
      <c r="W429" s="31" t="n"/>
      <c r="X429" s="31" t="n"/>
      <c r="Y429" s="31" t="n"/>
      <c r="Z429" s="31" t="n"/>
      <c r="AA429" s="31" t="n"/>
    </row>
    <row r="430" ht="14.25" customHeight="1">
      <c r="A430" s="31" t="n"/>
      <c r="D430" s="161" t="n"/>
      <c r="E430" s="161" t="n"/>
      <c r="P430" s="31" t="n"/>
      <c r="Q430" s="31" t="n"/>
      <c r="R430" s="31" t="n"/>
      <c r="S430" s="31" t="n"/>
      <c r="T430" s="31" t="n"/>
      <c r="U430" s="31" t="n"/>
      <c r="V430" s="31" t="n"/>
      <c r="W430" s="31" t="n"/>
      <c r="X430" s="31" t="n"/>
      <c r="Y430" s="31" t="n"/>
      <c r="Z430" s="31" t="n"/>
      <c r="AA430" s="31" t="n"/>
    </row>
    <row r="431" ht="14.25" customHeight="1">
      <c r="A431" s="31" t="n"/>
      <c r="D431" s="161" t="n"/>
      <c r="E431" s="161" t="n"/>
      <c r="P431" s="31" t="n"/>
      <c r="Q431" s="31" t="n"/>
      <c r="R431" s="31" t="n"/>
      <c r="S431" s="31" t="n"/>
      <c r="T431" s="31" t="n"/>
      <c r="U431" s="31" t="n"/>
      <c r="V431" s="31" t="n"/>
      <c r="W431" s="31" t="n"/>
      <c r="X431" s="31" t="n"/>
      <c r="Y431" s="31" t="n"/>
      <c r="Z431" s="31" t="n"/>
      <c r="AA431" s="31" t="n"/>
    </row>
    <row r="432" ht="14.25" customHeight="1">
      <c r="A432" s="31" t="n"/>
      <c r="D432" s="161" t="n"/>
      <c r="E432" s="161" t="n"/>
      <c r="P432" s="31" t="n"/>
      <c r="Q432" s="31" t="n"/>
      <c r="R432" s="31" t="n"/>
      <c r="S432" s="31" t="n"/>
      <c r="T432" s="31" t="n"/>
      <c r="U432" s="31" t="n"/>
      <c r="V432" s="31" t="n"/>
      <c r="W432" s="31" t="n"/>
      <c r="X432" s="31" t="n"/>
      <c r="Y432" s="31" t="n"/>
      <c r="Z432" s="31" t="n"/>
      <c r="AA432" s="31" t="n"/>
    </row>
    <row r="433" ht="14.25" customHeight="1">
      <c r="A433" s="31" t="n"/>
      <c r="D433" s="161" t="n"/>
      <c r="E433" s="161" t="n"/>
      <c r="P433" s="31" t="n"/>
      <c r="Q433" s="31" t="n"/>
      <c r="R433" s="31" t="n"/>
      <c r="S433" s="31" t="n"/>
      <c r="T433" s="31" t="n"/>
      <c r="U433" s="31" t="n"/>
      <c r="V433" s="31" t="n"/>
      <c r="W433" s="31" t="n"/>
      <c r="X433" s="31" t="n"/>
      <c r="Y433" s="31" t="n"/>
      <c r="Z433" s="31" t="n"/>
      <c r="AA433" s="31" t="n"/>
    </row>
    <row r="434" ht="14.25" customHeight="1">
      <c r="A434" s="31" t="n"/>
      <c r="D434" s="161" t="n"/>
      <c r="E434" s="161" t="n"/>
      <c r="P434" s="31" t="n"/>
      <c r="Q434" s="31" t="n"/>
      <c r="R434" s="31" t="n"/>
      <c r="S434" s="31" t="n"/>
      <c r="T434" s="31" t="n"/>
      <c r="U434" s="31" t="n"/>
      <c r="V434" s="31" t="n"/>
      <c r="W434" s="31" t="n"/>
      <c r="X434" s="31" t="n"/>
      <c r="Y434" s="31" t="n"/>
      <c r="Z434" s="31" t="n"/>
      <c r="AA434" s="31" t="n"/>
    </row>
    <row r="435" ht="14.25" customHeight="1">
      <c r="A435" s="31" t="n"/>
      <c r="D435" s="161" t="n"/>
      <c r="E435" s="161" t="n"/>
      <c r="P435" s="31" t="n"/>
      <c r="Q435" s="31" t="n"/>
      <c r="R435" s="31" t="n"/>
      <c r="S435" s="31" t="n"/>
      <c r="T435" s="31" t="n"/>
      <c r="U435" s="31" t="n"/>
      <c r="V435" s="31" t="n"/>
      <c r="W435" s="31" t="n"/>
      <c r="X435" s="31" t="n"/>
      <c r="Y435" s="31" t="n"/>
      <c r="Z435" s="31" t="n"/>
      <c r="AA435" s="31" t="n"/>
    </row>
    <row r="436" ht="14.25" customHeight="1">
      <c r="A436" s="31" t="n"/>
      <c r="D436" s="161" t="n"/>
      <c r="E436" s="161" t="n"/>
      <c r="P436" s="31" t="n"/>
      <c r="Q436" s="31" t="n"/>
      <c r="R436" s="31" t="n"/>
      <c r="S436" s="31" t="n"/>
      <c r="T436" s="31" t="n"/>
      <c r="U436" s="31" t="n"/>
      <c r="V436" s="31" t="n"/>
      <c r="W436" s="31" t="n"/>
      <c r="X436" s="31" t="n"/>
      <c r="Y436" s="31" t="n"/>
      <c r="Z436" s="31" t="n"/>
      <c r="AA436" s="31" t="n"/>
    </row>
    <row r="437" ht="14.25" customHeight="1">
      <c r="A437" s="31" t="n"/>
      <c r="D437" s="161" t="n"/>
      <c r="E437" s="161" t="n"/>
      <c r="P437" s="31" t="n"/>
      <c r="Q437" s="31" t="n"/>
      <c r="R437" s="31" t="n"/>
      <c r="S437" s="31" t="n"/>
      <c r="T437" s="31" t="n"/>
      <c r="U437" s="31" t="n"/>
      <c r="V437" s="31" t="n"/>
      <c r="W437" s="31" t="n"/>
      <c r="X437" s="31" t="n"/>
      <c r="Y437" s="31" t="n"/>
      <c r="Z437" s="31" t="n"/>
      <c r="AA437" s="31" t="n"/>
    </row>
    <row r="438" ht="14.25" customHeight="1">
      <c r="A438" s="31" t="n"/>
      <c r="D438" s="161" t="n"/>
      <c r="E438" s="161" t="n"/>
      <c r="P438" s="31" t="n"/>
      <c r="Q438" s="31" t="n"/>
      <c r="R438" s="31" t="n"/>
      <c r="S438" s="31" t="n"/>
      <c r="T438" s="31" t="n"/>
      <c r="U438" s="31" t="n"/>
      <c r="V438" s="31" t="n"/>
      <c r="W438" s="31" t="n"/>
      <c r="X438" s="31" t="n"/>
      <c r="Y438" s="31" t="n"/>
      <c r="Z438" s="31" t="n"/>
      <c r="AA438" s="31" t="n"/>
    </row>
    <row r="439" ht="14.25" customHeight="1">
      <c r="A439" s="31" t="n"/>
      <c r="D439" s="161" t="n"/>
      <c r="E439" s="161" t="n"/>
      <c r="P439" s="31" t="n"/>
      <c r="Q439" s="31" t="n"/>
      <c r="R439" s="31" t="n"/>
      <c r="S439" s="31" t="n"/>
      <c r="T439" s="31" t="n"/>
      <c r="U439" s="31" t="n"/>
      <c r="V439" s="31" t="n"/>
      <c r="W439" s="31" t="n"/>
      <c r="X439" s="31" t="n"/>
      <c r="Y439" s="31" t="n"/>
      <c r="Z439" s="31" t="n"/>
      <c r="AA439" s="31" t="n"/>
    </row>
    <row r="440" ht="14.25" customHeight="1">
      <c r="A440" s="31" t="n"/>
      <c r="D440" s="161" t="n"/>
      <c r="E440" s="161" t="n"/>
      <c r="P440" s="31" t="n"/>
      <c r="Q440" s="31" t="n"/>
      <c r="R440" s="31" t="n"/>
      <c r="S440" s="31" t="n"/>
      <c r="T440" s="31" t="n"/>
      <c r="U440" s="31" t="n"/>
      <c r="V440" s="31" t="n"/>
      <c r="W440" s="31" t="n"/>
      <c r="X440" s="31" t="n"/>
      <c r="Y440" s="31" t="n"/>
      <c r="Z440" s="31" t="n"/>
      <c r="AA440" s="31" t="n"/>
    </row>
    <row r="441" ht="14.25" customHeight="1">
      <c r="A441" s="31" t="n"/>
      <c r="D441" s="161" t="n"/>
      <c r="E441" s="161" t="n"/>
      <c r="P441" s="31" t="n"/>
      <c r="Q441" s="31" t="n"/>
      <c r="R441" s="31" t="n"/>
      <c r="S441" s="31" t="n"/>
      <c r="T441" s="31" t="n"/>
      <c r="U441" s="31" t="n"/>
      <c r="V441" s="31" t="n"/>
      <c r="W441" s="31" t="n"/>
      <c r="X441" s="31" t="n"/>
      <c r="Y441" s="31" t="n"/>
      <c r="Z441" s="31" t="n"/>
      <c r="AA441" s="31" t="n"/>
    </row>
    <row r="442" ht="14.25" customHeight="1">
      <c r="A442" s="31" t="n"/>
      <c r="D442" s="161" t="n"/>
      <c r="E442" s="161" t="n"/>
      <c r="P442" s="31" t="n"/>
      <c r="Q442" s="31" t="n"/>
      <c r="R442" s="31" t="n"/>
      <c r="S442" s="31" t="n"/>
      <c r="T442" s="31" t="n"/>
      <c r="U442" s="31" t="n"/>
      <c r="V442" s="31" t="n"/>
      <c r="W442" s="31" t="n"/>
      <c r="X442" s="31" t="n"/>
      <c r="Y442" s="31" t="n"/>
      <c r="Z442" s="31" t="n"/>
      <c r="AA442" s="31" t="n"/>
    </row>
    <row r="443" ht="14.25" customHeight="1">
      <c r="A443" s="31" t="n"/>
      <c r="D443" s="161" t="n"/>
      <c r="E443" s="161" t="n"/>
      <c r="P443" s="31" t="n"/>
      <c r="Q443" s="31" t="n"/>
      <c r="R443" s="31" t="n"/>
      <c r="S443" s="31" t="n"/>
      <c r="T443" s="31" t="n"/>
      <c r="U443" s="31" t="n"/>
      <c r="V443" s="31" t="n"/>
      <c r="W443" s="31" t="n"/>
      <c r="X443" s="31" t="n"/>
      <c r="Y443" s="31" t="n"/>
      <c r="Z443" s="31" t="n"/>
      <c r="AA443" s="31" t="n"/>
    </row>
    <row r="444" ht="14.25" customHeight="1">
      <c r="A444" s="31" t="n"/>
      <c r="D444" s="161" t="n"/>
      <c r="E444" s="161" t="n"/>
      <c r="P444" s="31" t="n"/>
      <c r="Q444" s="31" t="n"/>
      <c r="R444" s="31" t="n"/>
      <c r="S444" s="31" t="n"/>
      <c r="T444" s="31" t="n"/>
      <c r="U444" s="31" t="n"/>
      <c r="V444" s="31" t="n"/>
      <c r="W444" s="31" t="n"/>
      <c r="X444" s="31" t="n"/>
      <c r="Y444" s="31" t="n"/>
      <c r="Z444" s="31" t="n"/>
      <c r="AA444" s="31" t="n"/>
    </row>
    <row r="445" ht="14.25" customHeight="1">
      <c r="A445" s="31" t="n"/>
      <c r="D445" s="161" t="n"/>
      <c r="E445" s="161" t="n"/>
      <c r="P445" s="31" t="n"/>
      <c r="Q445" s="31" t="n"/>
      <c r="R445" s="31" t="n"/>
      <c r="S445" s="31" t="n"/>
      <c r="T445" s="31" t="n"/>
      <c r="U445" s="31" t="n"/>
      <c r="V445" s="31" t="n"/>
      <c r="W445" s="31" t="n"/>
      <c r="X445" s="31" t="n"/>
      <c r="Y445" s="31" t="n"/>
      <c r="Z445" s="31" t="n"/>
      <c r="AA445" s="31" t="n"/>
    </row>
    <row r="446" ht="14.25" customHeight="1">
      <c r="A446" s="31" t="n"/>
      <c r="D446" s="161" t="n"/>
      <c r="E446" s="161" t="n"/>
      <c r="P446" s="31" t="n"/>
      <c r="Q446" s="31" t="n"/>
      <c r="R446" s="31" t="n"/>
      <c r="S446" s="31" t="n"/>
      <c r="T446" s="31" t="n"/>
      <c r="U446" s="31" t="n"/>
      <c r="V446" s="31" t="n"/>
      <c r="W446" s="31" t="n"/>
      <c r="X446" s="31" t="n"/>
      <c r="Y446" s="31" t="n"/>
      <c r="Z446" s="31" t="n"/>
      <c r="AA446" s="31" t="n"/>
    </row>
    <row r="447" ht="14.25" customHeight="1">
      <c r="A447" s="31" t="n"/>
      <c r="D447" s="161" t="n"/>
      <c r="E447" s="161" t="n"/>
      <c r="P447" s="31" t="n"/>
      <c r="Q447" s="31" t="n"/>
      <c r="R447" s="31" t="n"/>
      <c r="S447" s="31" t="n"/>
      <c r="T447" s="31" t="n"/>
      <c r="U447" s="31" t="n"/>
      <c r="V447" s="31" t="n"/>
      <c r="W447" s="31" t="n"/>
      <c r="X447" s="31" t="n"/>
      <c r="Y447" s="31" t="n"/>
      <c r="Z447" s="31" t="n"/>
      <c r="AA447" s="31" t="n"/>
    </row>
    <row r="448" ht="14.25" customHeight="1">
      <c r="A448" s="31" t="n"/>
      <c r="D448" s="161" t="n"/>
      <c r="E448" s="161" t="n"/>
      <c r="P448" s="31" t="n"/>
      <c r="Q448" s="31" t="n"/>
      <c r="R448" s="31" t="n"/>
      <c r="S448" s="31" t="n"/>
      <c r="T448" s="31" t="n"/>
      <c r="U448" s="31" t="n"/>
      <c r="V448" s="31" t="n"/>
      <c r="W448" s="31" t="n"/>
      <c r="X448" s="31" t="n"/>
      <c r="Y448" s="31" t="n"/>
      <c r="Z448" s="31" t="n"/>
      <c r="AA448" s="31" t="n"/>
    </row>
    <row r="449" ht="14.25" customHeight="1">
      <c r="A449" s="31" t="n"/>
      <c r="D449" s="161" t="n"/>
      <c r="E449" s="161" t="n"/>
      <c r="P449" s="31" t="n"/>
      <c r="Q449" s="31" t="n"/>
      <c r="R449" s="31" t="n"/>
      <c r="S449" s="31" t="n"/>
      <c r="T449" s="31" t="n"/>
      <c r="U449" s="31" t="n"/>
      <c r="V449" s="31" t="n"/>
      <c r="W449" s="31" t="n"/>
      <c r="X449" s="31" t="n"/>
      <c r="Y449" s="31" t="n"/>
      <c r="Z449" s="31" t="n"/>
      <c r="AA449" s="31" t="n"/>
    </row>
    <row r="450" ht="14.25" customHeight="1">
      <c r="A450" s="31" t="n"/>
      <c r="D450" s="161" t="n"/>
      <c r="E450" s="161" t="n"/>
      <c r="P450" s="31" t="n"/>
      <c r="Q450" s="31" t="n"/>
      <c r="R450" s="31" t="n"/>
      <c r="S450" s="31" t="n"/>
      <c r="T450" s="31" t="n"/>
      <c r="U450" s="31" t="n"/>
      <c r="V450" s="31" t="n"/>
      <c r="W450" s="31" t="n"/>
      <c r="X450" s="31" t="n"/>
      <c r="Y450" s="31" t="n"/>
      <c r="Z450" s="31" t="n"/>
      <c r="AA450" s="31" t="n"/>
    </row>
    <row r="451" ht="14.25" customHeight="1">
      <c r="A451" s="31" t="n"/>
      <c r="D451" s="161" t="n"/>
      <c r="E451" s="161" t="n"/>
      <c r="P451" s="31" t="n"/>
      <c r="Q451" s="31" t="n"/>
      <c r="R451" s="31" t="n"/>
      <c r="S451" s="31" t="n"/>
      <c r="T451" s="31" t="n"/>
      <c r="U451" s="31" t="n"/>
      <c r="V451" s="31" t="n"/>
      <c r="W451" s="31" t="n"/>
      <c r="X451" s="31" t="n"/>
      <c r="Y451" s="31" t="n"/>
      <c r="Z451" s="31" t="n"/>
      <c r="AA451" s="31" t="n"/>
    </row>
    <row r="452" ht="14.25" customHeight="1">
      <c r="A452" s="31" t="n"/>
      <c r="D452" s="161" t="n"/>
      <c r="E452" s="161" t="n"/>
      <c r="P452" s="31" t="n"/>
      <c r="Q452" s="31" t="n"/>
      <c r="R452" s="31" t="n"/>
      <c r="S452" s="31" t="n"/>
      <c r="T452" s="31" t="n"/>
      <c r="U452" s="31" t="n"/>
      <c r="V452" s="31" t="n"/>
      <c r="W452" s="31" t="n"/>
      <c r="X452" s="31" t="n"/>
      <c r="Y452" s="31" t="n"/>
      <c r="Z452" s="31" t="n"/>
      <c r="AA452" s="31" t="n"/>
    </row>
    <row r="453" ht="14.25" customHeight="1">
      <c r="A453" s="31" t="n"/>
      <c r="D453" s="161" t="n"/>
      <c r="E453" s="161" t="n"/>
      <c r="P453" s="31" t="n"/>
      <c r="Q453" s="31" t="n"/>
      <c r="R453" s="31" t="n"/>
      <c r="S453" s="31" t="n"/>
      <c r="T453" s="31" t="n"/>
      <c r="U453" s="31" t="n"/>
      <c r="V453" s="31" t="n"/>
      <c r="W453" s="31" t="n"/>
      <c r="X453" s="31" t="n"/>
      <c r="Y453" s="31" t="n"/>
      <c r="Z453" s="31" t="n"/>
      <c r="AA453" s="31" t="n"/>
    </row>
    <row r="454" ht="14.25" customHeight="1">
      <c r="A454" s="31" t="n"/>
      <c r="D454" s="161" t="n"/>
      <c r="E454" s="161" t="n"/>
      <c r="P454" s="31" t="n"/>
      <c r="Q454" s="31" t="n"/>
      <c r="R454" s="31" t="n"/>
      <c r="S454" s="31" t="n"/>
      <c r="T454" s="31" t="n"/>
      <c r="U454" s="31" t="n"/>
      <c r="V454" s="31" t="n"/>
      <c r="W454" s="31" t="n"/>
      <c r="X454" s="31" t="n"/>
      <c r="Y454" s="31" t="n"/>
      <c r="Z454" s="31" t="n"/>
      <c r="AA454" s="31" t="n"/>
    </row>
    <row r="455" ht="14.25" customHeight="1">
      <c r="A455" s="31" t="n"/>
      <c r="D455" s="161" t="n"/>
      <c r="E455" s="161" t="n"/>
      <c r="P455" s="31" t="n"/>
      <c r="Q455" s="31" t="n"/>
      <c r="R455" s="31" t="n"/>
      <c r="S455" s="31" t="n"/>
      <c r="T455" s="31" t="n"/>
      <c r="U455" s="31" t="n"/>
      <c r="V455" s="31" t="n"/>
      <c r="W455" s="31" t="n"/>
      <c r="X455" s="31" t="n"/>
      <c r="Y455" s="31" t="n"/>
      <c r="Z455" s="31" t="n"/>
      <c r="AA455" s="31" t="n"/>
    </row>
    <row r="456" ht="14.25" customHeight="1">
      <c r="A456" s="31" t="n"/>
      <c r="D456" s="161" t="n"/>
      <c r="E456" s="161" t="n"/>
      <c r="P456" s="31" t="n"/>
      <c r="Q456" s="31" t="n"/>
      <c r="R456" s="31" t="n"/>
      <c r="S456" s="31" t="n"/>
      <c r="T456" s="31" t="n"/>
      <c r="U456" s="31" t="n"/>
      <c r="V456" s="31" t="n"/>
      <c r="W456" s="31" t="n"/>
      <c r="X456" s="31" t="n"/>
      <c r="Y456" s="31" t="n"/>
      <c r="Z456" s="31" t="n"/>
      <c r="AA456" s="31" t="n"/>
    </row>
    <row r="457" ht="14.25" customHeight="1">
      <c r="A457" s="31" t="n"/>
      <c r="D457" s="161" t="n"/>
      <c r="E457" s="161" t="n"/>
      <c r="P457" s="31" t="n"/>
      <c r="Q457" s="31" t="n"/>
      <c r="R457" s="31" t="n"/>
      <c r="S457" s="31" t="n"/>
      <c r="T457" s="31" t="n"/>
      <c r="U457" s="31" t="n"/>
      <c r="V457" s="31" t="n"/>
      <c r="W457" s="31" t="n"/>
      <c r="X457" s="31" t="n"/>
      <c r="Y457" s="31" t="n"/>
      <c r="Z457" s="31" t="n"/>
      <c r="AA457" s="31" t="n"/>
    </row>
    <row r="458" ht="14.25" customHeight="1">
      <c r="A458" s="31" t="n"/>
      <c r="D458" s="161" t="n"/>
      <c r="E458" s="161" t="n"/>
      <c r="P458" s="31" t="n"/>
      <c r="Q458" s="31" t="n"/>
      <c r="R458" s="31" t="n"/>
      <c r="S458" s="31" t="n"/>
      <c r="T458" s="31" t="n"/>
      <c r="U458" s="31" t="n"/>
      <c r="V458" s="31" t="n"/>
      <c r="W458" s="31" t="n"/>
      <c r="X458" s="31" t="n"/>
      <c r="Y458" s="31" t="n"/>
      <c r="Z458" s="31" t="n"/>
      <c r="AA458" s="31" t="n"/>
    </row>
    <row r="459" ht="14.25" customHeight="1">
      <c r="A459" s="31" t="n"/>
      <c r="D459" s="161" t="n"/>
      <c r="E459" s="161" t="n"/>
      <c r="P459" s="31" t="n"/>
      <c r="Q459" s="31" t="n"/>
      <c r="R459" s="31" t="n"/>
      <c r="S459" s="31" t="n"/>
      <c r="T459" s="31" t="n"/>
      <c r="U459" s="31" t="n"/>
      <c r="V459" s="31" t="n"/>
      <c r="W459" s="31" t="n"/>
      <c r="X459" s="31" t="n"/>
      <c r="Y459" s="31" t="n"/>
      <c r="Z459" s="31" t="n"/>
      <c r="AA459" s="31" t="n"/>
    </row>
    <row r="460" ht="14.25" customHeight="1">
      <c r="A460" s="31" t="n"/>
      <c r="D460" s="161" t="n"/>
      <c r="E460" s="161" t="n"/>
      <c r="P460" s="31" t="n"/>
      <c r="Q460" s="31" t="n"/>
      <c r="R460" s="31" t="n"/>
      <c r="S460" s="31" t="n"/>
      <c r="T460" s="31" t="n"/>
      <c r="U460" s="31" t="n"/>
      <c r="V460" s="31" t="n"/>
      <c r="W460" s="31" t="n"/>
      <c r="X460" s="31" t="n"/>
      <c r="Y460" s="31" t="n"/>
      <c r="Z460" s="31" t="n"/>
      <c r="AA460" s="31" t="n"/>
    </row>
    <row r="461" ht="14.25" customHeight="1">
      <c r="A461" s="31" t="n"/>
      <c r="D461" s="161" t="n"/>
      <c r="E461" s="161" t="n"/>
      <c r="P461" s="31" t="n"/>
      <c r="Q461" s="31" t="n"/>
      <c r="R461" s="31" t="n"/>
      <c r="S461" s="31" t="n"/>
      <c r="T461" s="31" t="n"/>
      <c r="U461" s="31" t="n"/>
      <c r="V461" s="31" t="n"/>
      <c r="W461" s="31" t="n"/>
      <c r="X461" s="31" t="n"/>
      <c r="Y461" s="31" t="n"/>
      <c r="Z461" s="31" t="n"/>
      <c r="AA461" s="31" t="n"/>
    </row>
    <row r="462" ht="14.25" customHeight="1">
      <c r="A462" s="31" t="n"/>
      <c r="D462" s="161" t="n"/>
      <c r="E462" s="161" t="n"/>
      <c r="P462" s="31" t="n"/>
      <c r="Q462" s="31" t="n"/>
      <c r="R462" s="31" t="n"/>
      <c r="S462" s="31" t="n"/>
      <c r="T462" s="31" t="n"/>
      <c r="U462" s="31" t="n"/>
      <c r="V462" s="31" t="n"/>
      <c r="W462" s="31" t="n"/>
      <c r="X462" s="31" t="n"/>
      <c r="Y462" s="31" t="n"/>
      <c r="Z462" s="31" t="n"/>
      <c r="AA462" s="31" t="n"/>
    </row>
    <row r="463" ht="14.25" customHeight="1">
      <c r="A463" s="31" t="n"/>
      <c r="D463" s="161" t="n"/>
      <c r="E463" s="161" t="n"/>
      <c r="P463" s="31" t="n"/>
      <c r="Q463" s="31" t="n"/>
      <c r="R463" s="31" t="n"/>
      <c r="S463" s="31" t="n"/>
      <c r="T463" s="31" t="n"/>
      <c r="U463" s="31" t="n"/>
      <c r="V463" s="31" t="n"/>
      <c r="W463" s="31" t="n"/>
      <c r="X463" s="31" t="n"/>
      <c r="Y463" s="31" t="n"/>
      <c r="Z463" s="31" t="n"/>
      <c r="AA463" s="31" t="n"/>
    </row>
    <row r="464" ht="14.25" customHeight="1">
      <c r="A464" s="31" t="n"/>
      <c r="D464" s="161" t="n"/>
      <c r="E464" s="161" t="n"/>
      <c r="P464" s="31" t="n"/>
      <c r="Q464" s="31" t="n"/>
      <c r="R464" s="31" t="n"/>
      <c r="S464" s="31" t="n"/>
      <c r="T464" s="31" t="n"/>
      <c r="U464" s="31" t="n"/>
      <c r="V464" s="31" t="n"/>
      <c r="W464" s="31" t="n"/>
      <c r="X464" s="31" t="n"/>
      <c r="Y464" s="31" t="n"/>
      <c r="Z464" s="31" t="n"/>
      <c r="AA464" s="31" t="n"/>
    </row>
    <row r="465" ht="14.25" customHeight="1">
      <c r="A465" s="31" t="n"/>
      <c r="D465" s="161" t="n"/>
      <c r="E465" s="161" t="n"/>
      <c r="P465" s="31" t="n"/>
      <c r="Q465" s="31" t="n"/>
      <c r="R465" s="31" t="n"/>
      <c r="S465" s="31" t="n"/>
      <c r="T465" s="31" t="n"/>
      <c r="U465" s="31" t="n"/>
      <c r="V465" s="31" t="n"/>
      <c r="W465" s="31" t="n"/>
      <c r="X465" s="31" t="n"/>
      <c r="Y465" s="31" t="n"/>
      <c r="Z465" s="31" t="n"/>
      <c r="AA465" s="31" t="n"/>
    </row>
    <row r="466" ht="14.25" customHeight="1">
      <c r="A466" s="31" t="n"/>
      <c r="D466" s="161" t="n"/>
      <c r="E466" s="161" t="n"/>
      <c r="P466" s="31" t="n"/>
      <c r="Q466" s="31" t="n"/>
      <c r="R466" s="31" t="n"/>
      <c r="S466" s="31" t="n"/>
      <c r="T466" s="31" t="n"/>
      <c r="U466" s="31" t="n"/>
      <c r="V466" s="31" t="n"/>
      <c r="W466" s="31" t="n"/>
      <c r="X466" s="31" t="n"/>
      <c r="Y466" s="31" t="n"/>
      <c r="Z466" s="31" t="n"/>
      <c r="AA466" s="31" t="n"/>
    </row>
    <row r="467" ht="14.25" customHeight="1">
      <c r="A467" s="31" t="n"/>
      <c r="D467" s="161" t="n"/>
      <c r="E467" s="161" t="n"/>
      <c r="P467" s="31" t="n"/>
      <c r="Q467" s="31" t="n"/>
      <c r="R467" s="31" t="n"/>
      <c r="S467" s="31" t="n"/>
      <c r="T467" s="31" t="n"/>
      <c r="U467" s="31" t="n"/>
      <c r="V467" s="31" t="n"/>
      <c r="W467" s="31" t="n"/>
      <c r="X467" s="31" t="n"/>
      <c r="Y467" s="31" t="n"/>
      <c r="Z467" s="31" t="n"/>
      <c r="AA467" s="31" t="n"/>
    </row>
    <row r="468" ht="14.25" customHeight="1">
      <c r="A468" s="31" t="n"/>
      <c r="D468" s="161" t="n"/>
      <c r="E468" s="161" t="n"/>
      <c r="P468" s="31" t="n"/>
      <c r="Q468" s="31" t="n"/>
      <c r="R468" s="31" t="n"/>
      <c r="S468" s="31" t="n"/>
      <c r="T468" s="31" t="n"/>
      <c r="U468" s="31" t="n"/>
      <c r="V468" s="31" t="n"/>
      <c r="W468" s="31" t="n"/>
      <c r="X468" s="31" t="n"/>
      <c r="Y468" s="31" t="n"/>
      <c r="Z468" s="31" t="n"/>
      <c r="AA468" s="31" t="n"/>
    </row>
    <row r="469" ht="14.25" customHeight="1">
      <c r="A469" s="31" t="n"/>
      <c r="D469" s="161" t="n"/>
      <c r="E469" s="161" t="n"/>
      <c r="P469" s="31" t="n"/>
      <c r="Q469" s="31" t="n"/>
      <c r="R469" s="31" t="n"/>
      <c r="S469" s="31" t="n"/>
      <c r="T469" s="31" t="n"/>
      <c r="U469" s="31" t="n"/>
      <c r="V469" s="31" t="n"/>
      <c r="W469" s="31" t="n"/>
      <c r="X469" s="31" t="n"/>
      <c r="Y469" s="31" t="n"/>
      <c r="Z469" s="31" t="n"/>
      <c r="AA469" s="31" t="n"/>
    </row>
    <row r="470" ht="14.25" customHeight="1">
      <c r="A470" s="31" t="n"/>
      <c r="D470" s="161" t="n"/>
      <c r="E470" s="161" t="n"/>
      <c r="P470" s="31" t="n"/>
      <c r="Q470" s="31" t="n"/>
      <c r="R470" s="31" t="n"/>
      <c r="S470" s="31" t="n"/>
      <c r="T470" s="31" t="n"/>
      <c r="U470" s="31" t="n"/>
      <c r="V470" s="31" t="n"/>
      <c r="W470" s="31" t="n"/>
      <c r="X470" s="31" t="n"/>
      <c r="Y470" s="31" t="n"/>
      <c r="Z470" s="31" t="n"/>
      <c r="AA470" s="31" t="n"/>
    </row>
    <row r="471" ht="14.25" customHeight="1">
      <c r="A471" s="31" t="n"/>
      <c r="D471" s="161" t="n"/>
      <c r="E471" s="161" t="n"/>
      <c r="P471" s="31" t="n"/>
      <c r="Q471" s="31" t="n"/>
      <c r="R471" s="31" t="n"/>
      <c r="S471" s="31" t="n"/>
      <c r="T471" s="31" t="n"/>
      <c r="U471" s="31" t="n"/>
      <c r="V471" s="31" t="n"/>
      <c r="W471" s="31" t="n"/>
      <c r="X471" s="31" t="n"/>
      <c r="Y471" s="31" t="n"/>
      <c r="Z471" s="31" t="n"/>
      <c r="AA471" s="31" t="n"/>
    </row>
    <row r="472" ht="14.25" customHeight="1">
      <c r="A472" s="31" t="n"/>
      <c r="D472" s="161" t="n"/>
      <c r="E472" s="161" t="n"/>
      <c r="P472" s="31" t="n"/>
      <c r="Q472" s="31" t="n"/>
      <c r="R472" s="31" t="n"/>
      <c r="S472" s="31" t="n"/>
      <c r="T472" s="31" t="n"/>
      <c r="U472" s="31" t="n"/>
      <c r="V472" s="31" t="n"/>
      <c r="W472" s="31" t="n"/>
      <c r="X472" s="31" t="n"/>
      <c r="Y472" s="31" t="n"/>
      <c r="Z472" s="31" t="n"/>
      <c r="AA472" s="31" t="n"/>
    </row>
    <row r="473" ht="14.25" customHeight="1">
      <c r="A473" s="31" t="n"/>
      <c r="D473" s="161" t="n"/>
      <c r="E473" s="161" t="n"/>
      <c r="P473" s="31" t="n"/>
      <c r="Q473" s="31" t="n"/>
      <c r="R473" s="31" t="n"/>
      <c r="S473" s="31" t="n"/>
      <c r="T473" s="31" t="n"/>
      <c r="U473" s="31" t="n"/>
      <c r="V473" s="31" t="n"/>
      <c r="W473" s="31" t="n"/>
      <c r="X473" s="31" t="n"/>
      <c r="Y473" s="31" t="n"/>
      <c r="Z473" s="31" t="n"/>
      <c r="AA473" s="31" t="n"/>
    </row>
    <row r="474" ht="14.25" customHeight="1">
      <c r="A474" s="31" t="n"/>
      <c r="D474" s="161" t="n"/>
      <c r="E474" s="161" t="n"/>
      <c r="P474" s="31" t="n"/>
      <c r="Q474" s="31" t="n"/>
      <c r="R474" s="31" t="n"/>
      <c r="S474" s="31" t="n"/>
      <c r="T474" s="31" t="n"/>
      <c r="U474" s="31" t="n"/>
      <c r="V474" s="31" t="n"/>
      <c r="W474" s="31" t="n"/>
      <c r="X474" s="31" t="n"/>
      <c r="Y474" s="31" t="n"/>
      <c r="Z474" s="31" t="n"/>
      <c r="AA474" s="31" t="n"/>
    </row>
    <row r="475" ht="14.25" customHeight="1">
      <c r="A475" s="31" t="n"/>
      <c r="D475" s="161" t="n"/>
      <c r="E475" s="161" t="n"/>
      <c r="P475" s="31" t="n"/>
      <c r="Q475" s="31" t="n"/>
      <c r="R475" s="31" t="n"/>
      <c r="S475" s="31" t="n"/>
      <c r="T475" s="31" t="n"/>
      <c r="U475" s="31" t="n"/>
      <c r="V475" s="31" t="n"/>
      <c r="W475" s="31" t="n"/>
      <c r="X475" s="31" t="n"/>
      <c r="Y475" s="31" t="n"/>
      <c r="Z475" s="31" t="n"/>
      <c r="AA475" s="31" t="n"/>
    </row>
    <row r="476" ht="14.25" customHeight="1">
      <c r="A476" s="31" t="n"/>
      <c r="D476" s="161" t="n"/>
      <c r="E476" s="161" t="n"/>
      <c r="P476" s="31" t="n"/>
      <c r="Q476" s="31" t="n"/>
      <c r="R476" s="31" t="n"/>
      <c r="S476" s="31" t="n"/>
      <c r="T476" s="31" t="n"/>
      <c r="U476" s="31" t="n"/>
      <c r="V476" s="31" t="n"/>
      <c r="W476" s="31" t="n"/>
      <c r="X476" s="31" t="n"/>
      <c r="Y476" s="31" t="n"/>
      <c r="Z476" s="31" t="n"/>
      <c r="AA476" s="31" t="n"/>
    </row>
    <row r="477" ht="14.25" customHeight="1">
      <c r="A477" s="31" t="n"/>
      <c r="D477" s="161" t="n"/>
      <c r="E477" s="161" t="n"/>
      <c r="P477" s="31" t="n"/>
      <c r="Q477" s="31" t="n"/>
      <c r="R477" s="31" t="n"/>
      <c r="S477" s="31" t="n"/>
      <c r="T477" s="31" t="n"/>
      <c r="U477" s="31" t="n"/>
      <c r="V477" s="31" t="n"/>
      <c r="W477" s="31" t="n"/>
      <c r="X477" s="31" t="n"/>
      <c r="Y477" s="31" t="n"/>
      <c r="Z477" s="31" t="n"/>
      <c r="AA477" s="31" t="n"/>
    </row>
    <row r="478" ht="14.25" customHeight="1">
      <c r="A478" s="31" t="n"/>
      <c r="D478" s="161" t="n"/>
      <c r="E478" s="161" t="n"/>
      <c r="P478" s="31" t="n"/>
      <c r="Q478" s="31" t="n"/>
      <c r="R478" s="31" t="n"/>
      <c r="S478" s="31" t="n"/>
      <c r="T478" s="31" t="n"/>
      <c r="U478" s="31" t="n"/>
      <c r="V478" s="31" t="n"/>
      <c r="W478" s="31" t="n"/>
      <c r="X478" s="31" t="n"/>
      <c r="Y478" s="31" t="n"/>
      <c r="Z478" s="31" t="n"/>
      <c r="AA478" s="31" t="n"/>
    </row>
    <row r="479" ht="14.25" customHeight="1">
      <c r="A479" s="31" t="n"/>
      <c r="D479" s="161" t="n"/>
      <c r="E479" s="161" t="n"/>
      <c r="P479" s="31" t="n"/>
      <c r="Q479" s="31" t="n"/>
      <c r="R479" s="31" t="n"/>
      <c r="S479" s="31" t="n"/>
      <c r="T479" s="31" t="n"/>
      <c r="U479" s="31" t="n"/>
      <c r="V479" s="31" t="n"/>
      <c r="W479" s="31" t="n"/>
      <c r="X479" s="31" t="n"/>
      <c r="Y479" s="31" t="n"/>
      <c r="Z479" s="31" t="n"/>
      <c r="AA479" s="31" t="n"/>
    </row>
    <row r="480" ht="14.25" customHeight="1">
      <c r="A480" s="31" t="n"/>
      <c r="D480" s="161" t="n"/>
      <c r="E480" s="161" t="n"/>
      <c r="P480" s="31" t="n"/>
      <c r="Q480" s="31" t="n"/>
      <c r="R480" s="31" t="n"/>
      <c r="S480" s="31" t="n"/>
      <c r="T480" s="31" t="n"/>
      <c r="U480" s="31" t="n"/>
      <c r="V480" s="31" t="n"/>
      <c r="W480" s="31" t="n"/>
      <c r="X480" s="31" t="n"/>
      <c r="Y480" s="31" t="n"/>
      <c r="Z480" s="31" t="n"/>
      <c r="AA480" s="31" t="n"/>
    </row>
    <row r="481" ht="14.25" customHeight="1">
      <c r="A481" s="31" t="n"/>
      <c r="D481" s="161" t="n"/>
      <c r="E481" s="161" t="n"/>
      <c r="P481" s="31" t="n"/>
      <c r="Q481" s="31" t="n"/>
      <c r="R481" s="31" t="n"/>
      <c r="S481" s="31" t="n"/>
      <c r="T481" s="31" t="n"/>
      <c r="U481" s="31" t="n"/>
      <c r="V481" s="31" t="n"/>
      <c r="W481" s="31" t="n"/>
      <c r="X481" s="31" t="n"/>
      <c r="Y481" s="31" t="n"/>
      <c r="Z481" s="31" t="n"/>
      <c r="AA481" s="31" t="n"/>
    </row>
    <row r="482" ht="14.25" customHeight="1">
      <c r="A482" s="31" t="n"/>
      <c r="D482" s="161" t="n"/>
      <c r="E482" s="161" t="n"/>
      <c r="P482" s="31" t="n"/>
      <c r="Q482" s="31" t="n"/>
      <c r="R482" s="31" t="n"/>
      <c r="S482" s="31" t="n"/>
      <c r="T482" s="31" t="n"/>
      <c r="U482" s="31" t="n"/>
      <c r="V482" s="31" t="n"/>
      <c r="W482" s="31" t="n"/>
      <c r="X482" s="31" t="n"/>
      <c r="Y482" s="31" t="n"/>
      <c r="Z482" s="31" t="n"/>
      <c r="AA482" s="31" t="n"/>
    </row>
    <row r="483" ht="14.25" customHeight="1">
      <c r="A483" s="31" t="n"/>
      <c r="D483" s="161" t="n"/>
      <c r="E483" s="161" t="n"/>
      <c r="P483" s="31" t="n"/>
      <c r="Q483" s="31" t="n"/>
      <c r="R483" s="31" t="n"/>
      <c r="S483" s="31" t="n"/>
      <c r="T483" s="31" t="n"/>
      <c r="U483" s="31" t="n"/>
      <c r="V483" s="31" t="n"/>
      <c r="W483" s="31" t="n"/>
      <c r="X483" s="31" t="n"/>
      <c r="Y483" s="31" t="n"/>
      <c r="Z483" s="31" t="n"/>
      <c r="AA483" s="31" t="n"/>
    </row>
    <row r="484" ht="14.25" customHeight="1">
      <c r="A484" s="31" t="n"/>
      <c r="D484" s="161" t="n"/>
      <c r="E484" s="161" t="n"/>
      <c r="P484" s="31" t="n"/>
      <c r="Q484" s="31" t="n"/>
      <c r="R484" s="31" t="n"/>
      <c r="S484" s="31" t="n"/>
      <c r="T484" s="31" t="n"/>
      <c r="U484" s="31" t="n"/>
      <c r="V484" s="31" t="n"/>
      <c r="W484" s="31" t="n"/>
      <c r="X484" s="31" t="n"/>
      <c r="Y484" s="31" t="n"/>
      <c r="Z484" s="31" t="n"/>
      <c r="AA484" s="31" t="n"/>
    </row>
    <row r="485" ht="14.25" customHeight="1">
      <c r="A485" s="31" t="n"/>
      <c r="D485" s="161" t="n"/>
      <c r="E485" s="161" t="n"/>
      <c r="P485" s="31" t="n"/>
      <c r="Q485" s="31" t="n"/>
      <c r="R485" s="31" t="n"/>
      <c r="S485" s="31" t="n"/>
      <c r="T485" s="31" t="n"/>
      <c r="U485" s="31" t="n"/>
      <c r="V485" s="31" t="n"/>
      <c r="W485" s="31" t="n"/>
      <c r="X485" s="31" t="n"/>
      <c r="Y485" s="31" t="n"/>
      <c r="Z485" s="31" t="n"/>
      <c r="AA485" s="31" t="n"/>
    </row>
    <row r="486" ht="14.25" customHeight="1">
      <c r="A486" s="31" t="n"/>
      <c r="D486" s="161" t="n"/>
      <c r="E486" s="161" t="n"/>
      <c r="P486" s="31" t="n"/>
      <c r="Q486" s="31" t="n"/>
      <c r="R486" s="31" t="n"/>
      <c r="S486" s="31" t="n"/>
      <c r="T486" s="31" t="n"/>
      <c r="U486" s="31" t="n"/>
      <c r="V486" s="31" t="n"/>
      <c r="W486" s="31" t="n"/>
      <c r="X486" s="31" t="n"/>
      <c r="Y486" s="31" t="n"/>
      <c r="Z486" s="31" t="n"/>
      <c r="AA486" s="31" t="n"/>
    </row>
    <row r="487" ht="14.25" customHeight="1">
      <c r="A487" s="31" t="n"/>
      <c r="D487" s="161" t="n"/>
      <c r="E487" s="161" t="n"/>
      <c r="P487" s="31" t="n"/>
      <c r="Q487" s="31" t="n"/>
      <c r="R487" s="31" t="n"/>
      <c r="S487" s="31" t="n"/>
      <c r="T487" s="31" t="n"/>
      <c r="U487" s="31" t="n"/>
      <c r="V487" s="31" t="n"/>
      <c r="W487" s="31" t="n"/>
      <c r="X487" s="31" t="n"/>
      <c r="Y487" s="31" t="n"/>
      <c r="Z487" s="31" t="n"/>
      <c r="AA487" s="31" t="n"/>
    </row>
    <row r="488" ht="14.25" customHeight="1">
      <c r="A488" s="31" t="n"/>
      <c r="D488" s="161" t="n"/>
      <c r="E488" s="161" t="n"/>
      <c r="P488" s="31" t="n"/>
      <c r="Q488" s="31" t="n"/>
      <c r="R488" s="31" t="n"/>
      <c r="S488" s="31" t="n"/>
      <c r="T488" s="31" t="n"/>
      <c r="U488" s="31" t="n"/>
      <c r="V488" s="31" t="n"/>
      <c r="W488" s="31" t="n"/>
      <c r="X488" s="31" t="n"/>
      <c r="Y488" s="31" t="n"/>
      <c r="Z488" s="31" t="n"/>
      <c r="AA488" s="31" t="n"/>
    </row>
    <row r="489" ht="14.25" customHeight="1">
      <c r="A489" s="31" t="n"/>
      <c r="D489" s="161" t="n"/>
      <c r="E489" s="161" t="n"/>
      <c r="P489" s="31" t="n"/>
      <c r="Q489" s="31" t="n"/>
      <c r="R489" s="31" t="n"/>
      <c r="S489" s="31" t="n"/>
      <c r="T489" s="31" t="n"/>
      <c r="U489" s="31" t="n"/>
      <c r="V489" s="31" t="n"/>
      <c r="W489" s="31" t="n"/>
      <c r="X489" s="31" t="n"/>
      <c r="Y489" s="31" t="n"/>
      <c r="Z489" s="31" t="n"/>
      <c r="AA489" s="31" t="n"/>
    </row>
    <row r="490" ht="14.25" customHeight="1">
      <c r="A490" s="31" t="n"/>
      <c r="D490" s="161" t="n"/>
      <c r="E490" s="161" t="n"/>
      <c r="P490" s="31" t="n"/>
      <c r="Q490" s="31" t="n"/>
      <c r="R490" s="31" t="n"/>
      <c r="S490" s="31" t="n"/>
      <c r="T490" s="31" t="n"/>
      <c r="U490" s="31" t="n"/>
      <c r="V490" s="31" t="n"/>
      <c r="W490" s="31" t="n"/>
      <c r="X490" s="31" t="n"/>
      <c r="Y490" s="31" t="n"/>
      <c r="Z490" s="31" t="n"/>
      <c r="AA490" s="31" t="n"/>
    </row>
    <row r="491" ht="14.25" customHeight="1">
      <c r="A491" s="31" t="n"/>
      <c r="D491" s="161" t="n"/>
      <c r="E491" s="161" t="n"/>
      <c r="P491" s="31" t="n"/>
      <c r="Q491" s="31" t="n"/>
      <c r="R491" s="31" t="n"/>
      <c r="S491" s="31" t="n"/>
      <c r="T491" s="31" t="n"/>
      <c r="U491" s="31" t="n"/>
      <c r="V491" s="31" t="n"/>
      <c r="W491" s="31" t="n"/>
      <c r="X491" s="31" t="n"/>
      <c r="Y491" s="31" t="n"/>
      <c r="Z491" s="31" t="n"/>
      <c r="AA491" s="31" t="n"/>
    </row>
    <row r="492" ht="14.25" customHeight="1">
      <c r="A492" s="31" t="n"/>
      <c r="D492" s="161" t="n"/>
      <c r="E492" s="161" t="n"/>
      <c r="P492" s="31" t="n"/>
      <c r="Q492" s="31" t="n"/>
      <c r="R492" s="31" t="n"/>
      <c r="S492" s="31" t="n"/>
      <c r="T492" s="31" t="n"/>
      <c r="U492" s="31" t="n"/>
      <c r="V492" s="31" t="n"/>
      <c r="W492" s="31" t="n"/>
      <c r="X492" s="31" t="n"/>
      <c r="Y492" s="31" t="n"/>
      <c r="Z492" s="31" t="n"/>
      <c r="AA492" s="31" t="n"/>
    </row>
    <row r="493" ht="14.25" customHeight="1">
      <c r="A493" s="31" t="n"/>
      <c r="D493" s="161" t="n"/>
      <c r="E493" s="161" t="n"/>
      <c r="P493" s="31" t="n"/>
      <c r="Q493" s="31" t="n"/>
      <c r="R493" s="31" t="n"/>
      <c r="S493" s="31" t="n"/>
      <c r="T493" s="31" t="n"/>
      <c r="U493" s="31" t="n"/>
      <c r="V493" s="31" t="n"/>
      <c r="W493" s="31" t="n"/>
      <c r="X493" s="31" t="n"/>
      <c r="Y493" s="31" t="n"/>
      <c r="Z493" s="31" t="n"/>
      <c r="AA493" s="31" t="n"/>
    </row>
    <row r="494" ht="14.25" customHeight="1">
      <c r="A494" s="31" t="n"/>
      <c r="D494" s="161" t="n"/>
      <c r="E494" s="161" t="n"/>
      <c r="P494" s="31" t="n"/>
      <c r="Q494" s="31" t="n"/>
      <c r="R494" s="31" t="n"/>
      <c r="S494" s="31" t="n"/>
      <c r="T494" s="31" t="n"/>
      <c r="U494" s="31" t="n"/>
      <c r="V494" s="31" t="n"/>
      <c r="W494" s="31" t="n"/>
      <c r="X494" s="31" t="n"/>
      <c r="Y494" s="31" t="n"/>
      <c r="Z494" s="31" t="n"/>
      <c r="AA494" s="31" t="n"/>
    </row>
    <row r="495" ht="14.25" customHeight="1">
      <c r="A495" s="31" t="n"/>
      <c r="D495" s="161" t="n"/>
      <c r="E495" s="161" t="n"/>
      <c r="P495" s="31" t="n"/>
      <c r="Q495" s="31" t="n"/>
      <c r="R495" s="31" t="n"/>
      <c r="S495" s="31" t="n"/>
      <c r="T495" s="31" t="n"/>
      <c r="U495" s="31" t="n"/>
      <c r="V495" s="31" t="n"/>
      <c r="W495" s="31" t="n"/>
      <c r="X495" s="31" t="n"/>
      <c r="Y495" s="31" t="n"/>
      <c r="Z495" s="31" t="n"/>
      <c r="AA495" s="31" t="n"/>
    </row>
    <row r="496" ht="14.25" customHeight="1">
      <c r="A496" s="31" t="n"/>
      <c r="D496" s="161" t="n"/>
      <c r="E496" s="161" t="n"/>
      <c r="P496" s="31" t="n"/>
      <c r="Q496" s="31" t="n"/>
      <c r="R496" s="31" t="n"/>
      <c r="S496" s="31" t="n"/>
      <c r="T496" s="31" t="n"/>
      <c r="U496" s="31" t="n"/>
      <c r="V496" s="31" t="n"/>
      <c r="W496" s="31" t="n"/>
      <c r="X496" s="31" t="n"/>
      <c r="Y496" s="31" t="n"/>
      <c r="Z496" s="31" t="n"/>
      <c r="AA496" s="31" t="n"/>
    </row>
    <row r="497" ht="14.25" customHeight="1">
      <c r="A497" s="31" t="n"/>
      <c r="D497" s="161" t="n"/>
      <c r="E497" s="161" t="n"/>
      <c r="P497" s="31" t="n"/>
      <c r="Q497" s="31" t="n"/>
      <c r="R497" s="31" t="n"/>
      <c r="S497" s="31" t="n"/>
      <c r="T497" s="31" t="n"/>
      <c r="U497" s="31" t="n"/>
      <c r="V497" s="31" t="n"/>
      <c r="W497" s="31" t="n"/>
      <c r="X497" s="31" t="n"/>
      <c r="Y497" s="31" t="n"/>
      <c r="Z497" s="31" t="n"/>
      <c r="AA497" s="31" t="n"/>
    </row>
    <row r="498" ht="14.25" customHeight="1">
      <c r="A498" s="31" t="n"/>
      <c r="D498" s="161" t="n"/>
      <c r="E498" s="161" t="n"/>
      <c r="P498" s="31" t="n"/>
      <c r="Q498" s="31" t="n"/>
      <c r="R498" s="31" t="n"/>
      <c r="S498" s="31" t="n"/>
      <c r="T498" s="31" t="n"/>
      <c r="U498" s="31" t="n"/>
      <c r="V498" s="31" t="n"/>
      <c r="W498" s="31" t="n"/>
      <c r="X498" s="31" t="n"/>
      <c r="Y498" s="31" t="n"/>
      <c r="Z498" s="31" t="n"/>
      <c r="AA498" s="31" t="n"/>
    </row>
    <row r="499" ht="14.25" customHeight="1">
      <c r="A499" s="31" t="n"/>
      <c r="D499" s="161" t="n"/>
      <c r="E499" s="161" t="n"/>
      <c r="P499" s="31" t="n"/>
      <c r="Q499" s="31" t="n"/>
      <c r="R499" s="31" t="n"/>
      <c r="S499" s="31" t="n"/>
      <c r="T499" s="31" t="n"/>
      <c r="U499" s="31" t="n"/>
      <c r="V499" s="31" t="n"/>
      <c r="W499" s="31" t="n"/>
      <c r="X499" s="31" t="n"/>
      <c r="Y499" s="31" t="n"/>
      <c r="Z499" s="31" t="n"/>
      <c r="AA499" s="31" t="n"/>
    </row>
    <row r="500" ht="14.25" customHeight="1">
      <c r="A500" s="31" t="n"/>
      <c r="D500" s="161" t="n"/>
      <c r="E500" s="161" t="n"/>
      <c r="P500" s="31" t="n"/>
      <c r="Q500" s="31" t="n"/>
      <c r="R500" s="31" t="n"/>
      <c r="S500" s="31" t="n"/>
      <c r="T500" s="31" t="n"/>
      <c r="U500" s="31" t="n"/>
      <c r="V500" s="31" t="n"/>
      <c r="W500" s="31" t="n"/>
      <c r="X500" s="31" t="n"/>
      <c r="Y500" s="31" t="n"/>
      <c r="Z500" s="31" t="n"/>
      <c r="AA500" s="31" t="n"/>
    </row>
    <row r="501" ht="14.25" customHeight="1">
      <c r="A501" s="31" t="n"/>
      <c r="D501" s="161" t="n"/>
      <c r="E501" s="161" t="n"/>
      <c r="P501" s="31" t="n"/>
      <c r="Q501" s="31" t="n"/>
      <c r="R501" s="31" t="n"/>
      <c r="S501" s="31" t="n"/>
      <c r="T501" s="31" t="n"/>
      <c r="U501" s="31" t="n"/>
      <c r="V501" s="31" t="n"/>
      <c r="W501" s="31" t="n"/>
      <c r="X501" s="31" t="n"/>
      <c r="Y501" s="31" t="n"/>
      <c r="Z501" s="31" t="n"/>
      <c r="AA501" s="31" t="n"/>
    </row>
    <row r="502" ht="14.25" customHeight="1">
      <c r="A502" s="31" t="n"/>
      <c r="D502" s="161" t="n"/>
      <c r="E502" s="161" t="n"/>
      <c r="P502" s="31" t="n"/>
      <c r="Q502" s="31" t="n"/>
      <c r="R502" s="31" t="n"/>
      <c r="S502" s="31" t="n"/>
      <c r="T502" s="31" t="n"/>
      <c r="U502" s="31" t="n"/>
      <c r="V502" s="31" t="n"/>
      <c r="W502" s="31" t="n"/>
      <c r="X502" s="31" t="n"/>
      <c r="Y502" s="31" t="n"/>
      <c r="Z502" s="31" t="n"/>
      <c r="AA502" s="31" t="n"/>
    </row>
    <row r="503" ht="14.25" customHeight="1">
      <c r="A503" s="31" t="n"/>
      <c r="D503" s="161" t="n"/>
      <c r="E503" s="161" t="n"/>
      <c r="P503" s="31" t="n"/>
      <c r="Q503" s="31" t="n"/>
      <c r="R503" s="31" t="n"/>
      <c r="S503" s="31" t="n"/>
      <c r="T503" s="31" t="n"/>
      <c r="U503" s="31" t="n"/>
      <c r="V503" s="31" t="n"/>
      <c r="W503" s="31" t="n"/>
      <c r="X503" s="31" t="n"/>
      <c r="Y503" s="31" t="n"/>
      <c r="Z503" s="31" t="n"/>
      <c r="AA503" s="31" t="n"/>
    </row>
    <row r="504" ht="14.25" customHeight="1">
      <c r="A504" s="31" t="n"/>
      <c r="D504" s="161" t="n"/>
      <c r="E504" s="161" t="n"/>
      <c r="P504" s="31" t="n"/>
      <c r="Q504" s="31" t="n"/>
      <c r="R504" s="31" t="n"/>
      <c r="S504" s="31" t="n"/>
      <c r="T504" s="31" t="n"/>
      <c r="U504" s="31" t="n"/>
      <c r="V504" s="31" t="n"/>
      <c r="W504" s="31" t="n"/>
      <c r="X504" s="31" t="n"/>
      <c r="Y504" s="31" t="n"/>
      <c r="Z504" s="31" t="n"/>
      <c r="AA504" s="31" t="n"/>
    </row>
    <row r="505" ht="14.25" customHeight="1">
      <c r="A505" s="31" t="n"/>
      <c r="D505" s="161" t="n"/>
      <c r="E505" s="161" t="n"/>
      <c r="P505" s="31" t="n"/>
      <c r="Q505" s="31" t="n"/>
      <c r="R505" s="31" t="n"/>
      <c r="S505" s="31" t="n"/>
      <c r="T505" s="31" t="n"/>
      <c r="U505" s="31" t="n"/>
      <c r="V505" s="31" t="n"/>
      <c r="W505" s="31" t="n"/>
      <c r="X505" s="31" t="n"/>
      <c r="Y505" s="31" t="n"/>
      <c r="Z505" s="31" t="n"/>
      <c r="AA505" s="31" t="n"/>
    </row>
    <row r="506" ht="14.25" customHeight="1">
      <c r="A506" s="31" t="n"/>
      <c r="D506" s="161" t="n"/>
      <c r="E506" s="161" t="n"/>
      <c r="P506" s="31" t="n"/>
      <c r="Q506" s="31" t="n"/>
      <c r="R506" s="31" t="n"/>
      <c r="S506" s="31" t="n"/>
      <c r="T506" s="31" t="n"/>
      <c r="U506" s="31" t="n"/>
      <c r="V506" s="31" t="n"/>
      <c r="W506" s="31" t="n"/>
      <c r="X506" s="31" t="n"/>
      <c r="Y506" s="31" t="n"/>
      <c r="Z506" s="31" t="n"/>
      <c r="AA506" s="31" t="n"/>
    </row>
    <row r="507" ht="14.25" customHeight="1">
      <c r="A507" s="31" t="n"/>
      <c r="D507" s="161" t="n"/>
      <c r="E507" s="161" t="n"/>
      <c r="P507" s="31" t="n"/>
      <c r="Q507" s="31" t="n"/>
      <c r="R507" s="31" t="n"/>
      <c r="S507" s="31" t="n"/>
      <c r="T507" s="31" t="n"/>
      <c r="U507" s="31" t="n"/>
      <c r="V507" s="31" t="n"/>
      <c r="W507" s="31" t="n"/>
      <c r="X507" s="31" t="n"/>
      <c r="Y507" s="31" t="n"/>
      <c r="Z507" s="31" t="n"/>
      <c r="AA507" s="31" t="n"/>
    </row>
    <row r="508" ht="14.25" customHeight="1">
      <c r="A508" s="31" t="n"/>
      <c r="D508" s="161" t="n"/>
      <c r="E508" s="161" t="n"/>
      <c r="P508" s="31" t="n"/>
      <c r="Q508" s="31" t="n"/>
      <c r="R508" s="31" t="n"/>
      <c r="S508" s="31" t="n"/>
      <c r="T508" s="31" t="n"/>
      <c r="U508" s="31" t="n"/>
      <c r="V508" s="31" t="n"/>
      <c r="W508" s="31" t="n"/>
      <c r="X508" s="31" t="n"/>
      <c r="Y508" s="31" t="n"/>
      <c r="Z508" s="31" t="n"/>
      <c r="AA508" s="31" t="n"/>
    </row>
    <row r="509" ht="14.25" customHeight="1">
      <c r="A509" s="31" t="n"/>
      <c r="D509" s="161" t="n"/>
      <c r="E509" s="161" t="n"/>
      <c r="P509" s="31" t="n"/>
      <c r="Q509" s="31" t="n"/>
      <c r="R509" s="31" t="n"/>
      <c r="S509" s="31" t="n"/>
      <c r="T509" s="31" t="n"/>
      <c r="U509" s="31" t="n"/>
      <c r="V509" s="31" t="n"/>
      <c r="W509" s="31" t="n"/>
      <c r="X509" s="31" t="n"/>
      <c r="Y509" s="31" t="n"/>
      <c r="Z509" s="31" t="n"/>
      <c r="AA509" s="31" t="n"/>
    </row>
    <row r="510" ht="14.25" customHeight="1">
      <c r="A510" s="31" t="n"/>
      <c r="D510" s="161" t="n"/>
      <c r="E510" s="161" t="n"/>
      <c r="P510" s="31" t="n"/>
      <c r="Q510" s="31" t="n"/>
      <c r="R510" s="31" t="n"/>
      <c r="S510" s="31" t="n"/>
      <c r="T510" s="31" t="n"/>
      <c r="U510" s="31" t="n"/>
      <c r="V510" s="31" t="n"/>
      <c r="W510" s="31" t="n"/>
      <c r="X510" s="31" t="n"/>
      <c r="Y510" s="31" t="n"/>
      <c r="Z510" s="31" t="n"/>
      <c r="AA510" s="31" t="n"/>
    </row>
    <row r="511" ht="14.25" customHeight="1">
      <c r="A511" s="31" t="n"/>
      <c r="D511" s="161" t="n"/>
      <c r="E511" s="161" t="n"/>
      <c r="P511" s="31" t="n"/>
      <c r="Q511" s="31" t="n"/>
      <c r="R511" s="31" t="n"/>
      <c r="S511" s="31" t="n"/>
      <c r="T511" s="31" t="n"/>
      <c r="U511" s="31" t="n"/>
      <c r="V511" s="31" t="n"/>
      <c r="W511" s="31" t="n"/>
      <c r="X511" s="31" t="n"/>
      <c r="Y511" s="31" t="n"/>
      <c r="Z511" s="31" t="n"/>
      <c r="AA511" s="31" t="n"/>
    </row>
    <row r="512" ht="14.25" customHeight="1">
      <c r="A512" s="31" t="n"/>
      <c r="D512" s="161" t="n"/>
      <c r="E512" s="161" t="n"/>
      <c r="P512" s="31" t="n"/>
      <c r="Q512" s="31" t="n"/>
      <c r="R512" s="31" t="n"/>
      <c r="S512" s="31" t="n"/>
      <c r="T512" s="31" t="n"/>
      <c r="U512" s="31" t="n"/>
      <c r="V512" s="31" t="n"/>
      <c r="W512" s="31" t="n"/>
      <c r="X512" s="31" t="n"/>
      <c r="Y512" s="31" t="n"/>
      <c r="Z512" s="31" t="n"/>
      <c r="AA512" s="31" t="n"/>
    </row>
    <row r="513" ht="14.25" customHeight="1">
      <c r="A513" s="31" t="n"/>
      <c r="D513" s="161" t="n"/>
      <c r="E513" s="161" t="n"/>
      <c r="P513" s="31" t="n"/>
      <c r="Q513" s="31" t="n"/>
      <c r="R513" s="31" t="n"/>
      <c r="S513" s="31" t="n"/>
      <c r="T513" s="31" t="n"/>
      <c r="U513" s="31" t="n"/>
      <c r="V513" s="31" t="n"/>
      <c r="W513" s="31" t="n"/>
      <c r="X513" s="31" t="n"/>
      <c r="Y513" s="31" t="n"/>
      <c r="Z513" s="31" t="n"/>
      <c r="AA513" s="31" t="n"/>
    </row>
    <row r="514" ht="14.25" customHeight="1">
      <c r="A514" s="31" t="n"/>
      <c r="D514" s="161" t="n"/>
      <c r="E514" s="161" t="n"/>
      <c r="P514" s="31" t="n"/>
      <c r="Q514" s="31" t="n"/>
      <c r="R514" s="31" t="n"/>
      <c r="S514" s="31" t="n"/>
      <c r="T514" s="31" t="n"/>
      <c r="U514" s="31" t="n"/>
      <c r="V514" s="31" t="n"/>
      <c r="W514" s="31" t="n"/>
      <c r="X514" s="31" t="n"/>
      <c r="Y514" s="31" t="n"/>
      <c r="Z514" s="31" t="n"/>
      <c r="AA514" s="31" t="n"/>
    </row>
    <row r="515" ht="14.25" customHeight="1">
      <c r="A515" s="31" t="n"/>
      <c r="D515" s="161" t="n"/>
      <c r="E515" s="161" t="n"/>
      <c r="P515" s="31" t="n"/>
      <c r="Q515" s="31" t="n"/>
      <c r="R515" s="31" t="n"/>
      <c r="S515" s="31" t="n"/>
      <c r="T515" s="31" t="n"/>
      <c r="U515" s="31" t="n"/>
      <c r="V515" s="31" t="n"/>
      <c r="W515" s="31" t="n"/>
      <c r="X515" s="31" t="n"/>
      <c r="Y515" s="31" t="n"/>
      <c r="Z515" s="31" t="n"/>
      <c r="AA515" s="31" t="n"/>
    </row>
    <row r="516" ht="14.25" customHeight="1">
      <c r="A516" s="31" t="n"/>
      <c r="D516" s="161" t="n"/>
      <c r="E516" s="161" t="n"/>
      <c r="P516" s="31" t="n"/>
      <c r="Q516" s="31" t="n"/>
      <c r="R516" s="31" t="n"/>
      <c r="S516" s="31" t="n"/>
      <c r="T516" s="31" t="n"/>
      <c r="U516" s="31" t="n"/>
      <c r="V516" s="31" t="n"/>
      <c r="W516" s="31" t="n"/>
      <c r="X516" s="31" t="n"/>
      <c r="Y516" s="31" t="n"/>
      <c r="Z516" s="31" t="n"/>
      <c r="AA516" s="31" t="n"/>
    </row>
    <row r="517" ht="14.25" customHeight="1">
      <c r="A517" s="31" t="n"/>
      <c r="D517" s="161" t="n"/>
      <c r="E517" s="161" t="n"/>
      <c r="P517" s="31" t="n"/>
      <c r="Q517" s="31" t="n"/>
      <c r="R517" s="31" t="n"/>
      <c r="S517" s="31" t="n"/>
      <c r="T517" s="31" t="n"/>
      <c r="U517" s="31" t="n"/>
      <c r="V517" s="31" t="n"/>
      <c r="W517" s="31" t="n"/>
      <c r="X517" s="31" t="n"/>
      <c r="Y517" s="31" t="n"/>
      <c r="Z517" s="31" t="n"/>
      <c r="AA517" s="31" t="n"/>
    </row>
    <row r="518" ht="14.25" customHeight="1">
      <c r="A518" s="31" t="n"/>
      <c r="D518" s="161" t="n"/>
      <c r="E518" s="161" t="n"/>
      <c r="P518" s="31" t="n"/>
      <c r="Q518" s="31" t="n"/>
      <c r="R518" s="31" t="n"/>
      <c r="S518" s="31" t="n"/>
      <c r="T518" s="31" t="n"/>
      <c r="U518" s="31" t="n"/>
      <c r="V518" s="31" t="n"/>
      <c r="W518" s="31" t="n"/>
      <c r="X518" s="31" t="n"/>
      <c r="Y518" s="31" t="n"/>
      <c r="Z518" s="31" t="n"/>
      <c r="AA518" s="31" t="n"/>
    </row>
    <row r="519" ht="14.25" customHeight="1">
      <c r="A519" s="31" t="n"/>
      <c r="D519" s="161" t="n"/>
      <c r="E519" s="161" t="n"/>
      <c r="P519" s="31" t="n"/>
      <c r="Q519" s="31" t="n"/>
      <c r="R519" s="31" t="n"/>
      <c r="S519" s="31" t="n"/>
      <c r="T519" s="31" t="n"/>
      <c r="U519" s="31" t="n"/>
      <c r="V519" s="31" t="n"/>
      <c r="W519" s="31" t="n"/>
      <c r="X519" s="31" t="n"/>
      <c r="Y519" s="31" t="n"/>
      <c r="Z519" s="31" t="n"/>
      <c r="AA519" s="31" t="n"/>
    </row>
    <row r="520" ht="14.25" customHeight="1">
      <c r="A520" s="31" t="n"/>
      <c r="D520" s="161" t="n"/>
      <c r="E520" s="161" t="n"/>
      <c r="P520" s="31" t="n"/>
      <c r="Q520" s="31" t="n"/>
      <c r="R520" s="31" t="n"/>
      <c r="S520" s="31" t="n"/>
      <c r="T520" s="31" t="n"/>
      <c r="U520" s="31" t="n"/>
      <c r="V520" s="31" t="n"/>
      <c r="W520" s="31" t="n"/>
      <c r="X520" s="31" t="n"/>
      <c r="Y520" s="31" t="n"/>
      <c r="Z520" s="31" t="n"/>
      <c r="AA520" s="31" t="n"/>
    </row>
    <row r="521" ht="14.25" customHeight="1">
      <c r="A521" s="31" t="n"/>
      <c r="D521" s="161" t="n"/>
      <c r="E521" s="161" t="n"/>
      <c r="P521" s="31" t="n"/>
      <c r="Q521" s="31" t="n"/>
      <c r="R521" s="31" t="n"/>
      <c r="S521" s="31" t="n"/>
      <c r="T521" s="31" t="n"/>
      <c r="U521" s="31" t="n"/>
      <c r="V521" s="31" t="n"/>
      <c r="W521" s="31" t="n"/>
      <c r="X521" s="31" t="n"/>
      <c r="Y521" s="31" t="n"/>
      <c r="Z521" s="31" t="n"/>
      <c r="AA521" s="31" t="n"/>
    </row>
    <row r="522" ht="14.25" customHeight="1">
      <c r="A522" s="31" t="n"/>
      <c r="D522" s="161" t="n"/>
      <c r="E522" s="161" t="n"/>
      <c r="P522" s="31" t="n"/>
      <c r="Q522" s="31" t="n"/>
      <c r="R522" s="31" t="n"/>
      <c r="S522" s="31" t="n"/>
      <c r="T522" s="31" t="n"/>
      <c r="U522" s="31" t="n"/>
      <c r="V522" s="31" t="n"/>
      <c r="W522" s="31" t="n"/>
      <c r="X522" s="31" t="n"/>
      <c r="Y522" s="31" t="n"/>
      <c r="Z522" s="31" t="n"/>
      <c r="AA522" s="31" t="n"/>
    </row>
    <row r="523" ht="14.25" customHeight="1">
      <c r="A523" s="31" t="n"/>
      <c r="D523" s="161" t="n"/>
      <c r="E523" s="161" t="n"/>
      <c r="P523" s="31" t="n"/>
      <c r="Q523" s="31" t="n"/>
      <c r="R523" s="31" t="n"/>
      <c r="S523" s="31" t="n"/>
      <c r="T523" s="31" t="n"/>
      <c r="U523" s="31" t="n"/>
      <c r="V523" s="31" t="n"/>
      <c r="W523" s="31" t="n"/>
      <c r="X523" s="31" t="n"/>
      <c r="Y523" s="31" t="n"/>
      <c r="Z523" s="31" t="n"/>
      <c r="AA523" s="31" t="n"/>
    </row>
    <row r="524" ht="14.25" customHeight="1">
      <c r="A524" s="31" t="n"/>
      <c r="D524" s="161" t="n"/>
      <c r="E524" s="161" t="n"/>
      <c r="P524" s="31" t="n"/>
      <c r="Q524" s="31" t="n"/>
      <c r="R524" s="31" t="n"/>
      <c r="S524" s="31" t="n"/>
      <c r="T524" s="31" t="n"/>
      <c r="U524" s="31" t="n"/>
      <c r="V524" s="31" t="n"/>
      <c r="W524" s="31" t="n"/>
      <c r="X524" s="31" t="n"/>
      <c r="Y524" s="31" t="n"/>
      <c r="Z524" s="31" t="n"/>
      <c r="AA524" s="31" t="n"/>
    </row>
    <row r="525" ht="14.25" customHeight="1">
      <c r="A525" s="31" t="n"/>
      <c r="D525" s="161" t="n"/>
      <c r="E525" s="161" t="n"/>
      <c r="P525" s="31" t="n"/>
      <c r="Q525" s="31" t="n"/>
      <c r="R525" s="31" t="n"/>
      <c r="S525" s="31" t="n"/>
      <c r="T525" s="31" t="n"/>
      <c r="U525" s="31" t="n"/>
      <c r="V525" s="31" t="n"/>
      <c r="W525" s="31" t="n"/>
      <c r="X525" s="31" t="n"/>
      <c r="Y525" s="31" t="n"/>
      <c r="Z525" s="31" t="n"/>
      <c r="AA525" s="31" t="n"/>
    </row>
    <row r="526" ht="14.25" customHeight="1">
      <c r="A526" s="31" t="n"/>
      <c r="D526" s="161" t="n"/>
      <c r="E526" s="161" t="n"/>
      <c r="P526" s="31" t="n"/>
      <c r="Q526" s="31" t="n"/>
      <c r="R526" s="31" t="n"/>
      <c r="S526" s="31" t="n"/>
      <c r="T526" s="31" t="n"/>
      <c r="U526" s="31" t="n"/>
      <c r="V526" s="31" t="n"/>
      <c r="W526" s="31" t="n"/>
      <c r="X526" s="31" t="n"/>
      <c r="Y526" s="31" t="n"/>
      <c r="Z526" s="31" t="n"/>
      <c r="AA526" s="31" t="n"/>
    </row>
    <row r="527" ht="14.25" customHeight="1">
      <c r="A527" s="31" t="n"/>
      <c r="D527" s="161" t="n"/>
      <c r="E527" s="161" t="n"/>
      <c r="P527" s="31" t="n"/>
      <c r="Q527" s="31" t="n"/>
      <c r="R527" s="31" t="n"/>
      <c r="S527" s="31" t="n"/>
      <c r="T527" s="31" t="n"/>
      <c r="U527" s="31" t="n"/>
      <c r="V527" s="31" t="n"/>
      <c r="W527" s="31" t="n"/>
      <c r="X527" s="31" t="n"/>
      <c r="Y527" s="31" t="n"/>
      <c r="Z527" s="31" t="n"/>
      <c r="AA527" s="31" t="n"/>
    </row>
    <row r="528" ht="14.25" customHeight="1">
      <c r="A528" s="31" t="n"/>
      <c r="D528" s="161" t="n"/>
      <c r="E528" s="161" t="n"/>
      <c r="P528" s="31" t="n"/>
      <c r="Q528" s="31" t="n"/>
      <c r="R528" s="31" t="n"/>
      <c r="S528" s="31" t="n"/>
      <c r="T528" s="31" t="n"/>
      <c r="U528" s="31" t="n"/>
      <c r="V528" s="31" t="n"/>
      <c r="W528" s="31" t="n"/>
      <c r="X528" s="31" t="n"/>
      <c r="Y528" s="31" t="n"/>
      <c r="Z528" s="31" t="n"/>
      <c r="AA528" s="31" t="n"/>
    </row>
    <row r="529" ht="14.25" customHeight="1">
      <c r="A529" s="31" t="n"/>
      <c r="D529" s="161" t="n"/>
      <c r="E529" s="161" t="n"/>
      <c r="P529" s="31" t="n"/>
      <c r="Q529" s="31" t="n"/>
      <c r="R529" s="31" t="n"/>
      <c r="S529" s="31" t="n"/>
      <c r="T529" s="31" t="n"/>
      <c r="U529" s="31" t="n"/>
      <c r="V529" s="31" t="n"/>
      <c r="W529" s="31" t="n"/>
      <c r="X529" s="31" t="n"/>
      <c r="Y529" s="31" t="n"/>
      <c r="Z529" s="31" t="n"/>
      <c r="AA529" s="31" t="n"/>
    </row>
    <row r="530" ht="14.25" customHeight="1">
      <c r="A530" s="31" t="n"/>
      <c r="D530" s="161" t="n"/>
      <c r="E530" s="161" t="n"/>
      <c r="P530" s="31" t="n"/>
      <c r="Q530" s="31" t="n"/>
      <c r="R530" s="31" t="n"/>
      <c r="S530" s="31" t="n"/>
      <c r="T530" s="31" t="n"/>
      <c r="U530" s="31" t="n"/>
      <c r="V530" s="31" t="n"/>
      <c r="W530" s="31" t="n"/>
      <c r="X530" s="31" t="n"/>
      <c r="Y530" s="31" t="n"/>
      <c r="Z530" s="31" t="n"/>
      <c r="AA530" s="31" t="n"/>
    </row>
    <row r="531" ht="14.25" customHeight="1">
      <c r="A531" s="31" t="n"/>
      <c r="D531" s="161" t="n"/>
      <c r="E531" s="161" t="n"/>
      <c r="P531" s="31" t="n"/>
      <c r="Q531" s="31" t="n"/>
      <c r="R531" s="31" t="n"/>
      <c r="S531" s="31" t="n"/>
      <c r="T531" s="31" t="n"/>
      <c r="U531" s="31" t="n"/>
      <c r="V531" s="31" t="n"/>
      <c r="W531" s="31" t="n"/>
      <c r="X531" s="31" t="n"/>
      <c r="Y531" s="31" t="n"/>
      <c r="Z531" s="31" t="n"/>
      <c r="AA531" s="31" t="n"/>
    </row>
    <row r="532" ht="14.25" customHeight="1">
      <c r="A532" s="31" t="n"/>
      <c r="D532" s="161" t="n"/>
      <c r="E532" s="161" t="n"/>
      <c r="P532" s="31" t="n"/>
      <c r="Q532" s="31" t="n"/>
      <c r="R532" s="31" t="n"/>
      <c r="S532" s="31" t="n"/>
      <c r="T532" s="31" t="n"/>
      <c r="U532" s="31" t="n"/>
      <c r="V532" s="31" t="n"/>
      <c r="W532" s="31" t="n"/>
      <c r="X532" s="31" t="n"/>
      <c r="Y532" s="31" t="n"/>
      <c r="Z532" s="31" t="n"/>
      <c r="AA532" s="31" t="n"/>
    </row>
    <row r="533" ht="14.25" customHeight="1">
      <c r="A533" s="31" t="n"/>
      <c r="D533" s="161" t="n"/>
      <c r="E533" s="161" t="n"/>
      <c r="P533" s="31" t="n"/>
      <c r="Q533" s="31" t="n"/>
      <c r="R533" s="31" t="n"/>
      <c r="S533" s="31" t="n"/>
      <c r="T533" s="31" t="n"/>
      <c r="U533" s="31" t="n"/>
      <c r="V533" s="31" t="n"/>
      <c r="W533" s="31" t="n"/>
      <c r="X533" s="31" t="n"/>
      <c r="Y533" s="31" t="n"/>
      <c r="Z533" s="31" t="n"/>
      <c r="AA533" s="31" t="n"/>
    </row>
    <row r="534" ht="14.25" customHeight="1">
      <c r="A534" s="31" t="n"/>
      <c r="D534" s="161" t="n"/>
      <c r="E534" s="161" t="n"/>
      <c r="P534" s="31" t="n"/>
      <c r="Q534" s="31" t="n"/>
      <c r="R534" s="31" t="n"/>
      <c r="S534" s="31" t="n"/>
      <c r="T534" s="31" t="n"/>
      <c r="U534" s="31" t="n"/>
      <c r="V534" s="31" t="n"/>
      <c r="W534" s="31" t="n"/>
      <c r="X534" s="31" t="n"/>
      <c r="Y534" s="31" t="n"/>
      <c r="Z534" s="31" t="n"/>
      <c r="AA534" s="31" t="n"/>
    </row>
    <row r="535" ht="14.25" customHeight="1">
      <c r="A535" s="31" t="n"/>
      <c r="D535" s="161" t="n"/>
      <c r="E535" s="161" t="n"/>
      <c r="P535" s="31" t="n"/>
      <c r="Q535" s="31" t="n"/>
      <c r="R535" s="31" t="n"/>
      <c r="S535" s="31" t="n"/>
      <c r="T535" s="31" t="n"/>
      <c r="U535" s="31" t="n"/>
      <c r="V535" s="31" t="n"/>
      <c r="W535" s="31" t="n"/>
      <c r="X535" s="31" t="n"/>
      <c r="Y535" s="31" t="n"/>
      <c r="Z535" s="31" t="n"/>
      <c r="AA535" s="31" t="n"/>
    </row>
    <row r="536" ht="14.25" customHeight="1">
      <c r="A536" s="31" t="n"/>
      <c r="D536" s="161" t="n"/>
      <c r="E536" s="161" t="n"/>
      <c r="P536" s="31" t="n"/>
      <c r="Q536" s="31" t="n"/>
      <c r="R536" s="31" t="n"/>
      <c r="S536" s="31" t="n"/>
      <c r="T536" s="31" t="n"/>
      <c r="U536" s="31" t="n"/>
      <c r="V536" s="31" t="n"/>
      <c r="W536" s="31" t="n"/>
      <c r="X536" s="31" t="n"/>
      <c r="Y536" s="31" t="n"/>
      <c r="Z536" s="31" t="n"/>
      <c r="AA536" s="31" t="n"/>
    </row>
    <row r="537" ht="14.25" customHeight="1">
      <c r="A537" s="31" t="n"/>
      <c r="D537" s="161" t="n"/>
      <c r="E537" s="161" t="n"/>
      <c r="P537" s="31" t="n"/>
      <c r="Q537" s="31" t="n"/>
      <c r="R537" s="31" t="n"/>
      <c r="S537" s="31" t="n"/>
      <c r="T537" s="31" t="n"/>
      <c r="U537" s="31" t="n"/>
      <c r="V537" s="31" t="n"/>
      <c r="W537" s="31" t="n"/>
      <c r="X537" s="31" t="n"/>
      <c r="Y537" s="31" t="n"/>
      <c r="Z537" s="31" t="n"/>
      <c r="AA537" s="31" t="n"/>
    </row>
    <row r="538" ht="14.25" customHeight="1">
      <c r="A538" s="31" t="n"/>
      <c r="D538" s="161" t="n"/>
      <c r="E538" s="161" t="n"/>
      <c r="P538" s="31" t="n"/>
      <c r="Q538" s="31" t="n"/>
      <c r="R538" s="31" t="n"/>
      <c r="S538" s="31" t="n"/>
      <c r="T538" s="31" t="n"/>
      <c r="U538" s="31" t="n"/>
      <c r="V538" s="31" t="n"/>
      <c r="W538" s="31" t="n"/>
      <c r="X538" s="31" t="n"/>
      <c r="Y538" s="31" t="n"/>
      <c r="Z538" s="31" t="n"/>
      <c r="AA538" s="31" t="n"/>
    </row>
    <row r="539" ht="14.25" customHeight="1">
      <c r="A539" s="31" t="n"/>
      <c r="D539" s="161" t="n"/>
      <c r="E539" s="161" t="n"/>
      <c r="P539" s="31" t="n"/>
      <c r="Q539" s="31" t="n"/>
      <c r="R539" s="31" t="n"/>
      <c r="S539" s="31" t="n"/>
      <c r="T539" s="31" t="n"/>
      <c r="U539" s="31" t="n"/>
      <c r="V539" s="31" t="n"/>
      <c r="W539" s="31" t="n"/>
      <c r="X539" s="31" t="n"/>
      <c r="Y539" s="31" t="n"/>
      <c r="Z539" s="31" t="n"/>
      <c r="AA539" s="31" t="n"/>
    </row>
    <row r="540" ht="14.25" customHeight="1">
      <c r="A540" s="31" t="n"/>
      <c r="D540" s="161" t="n"/>
      <c r="E540" s="161" t="n"/>
      <c r="P540" s="31" t="n"/>
      <c r="Q540" s="31" t="n"/>
      <c r="R540" s="31" t="n"/>
      <c r="S540" s="31" t="n"/>
      <c r="T540" s="31" t="n"/>
      <c r="U540" s="31" t="n"/>
      <c r="V540" s="31" t="n"/>
      <c r="W540" s="31" t="n"/>
      <c r="X540" s="31" t="n"/>
      <c r="Y540" s="31" t="n"/>
      <c r="Z540" s="31" t="n"/>
      <c r="AA540" s="31" t="n"/>
    </row>
    <row r="541" ht="14.25" customHeight="1">
      <c r="A541" s="31" t="n"/>
      <c r="D541" s="161" t="n"/>
      <c r="E541" s="161" t="n"/>
      <c r="P541" s="31" t="n"/>
      <c r="Q541" s="31" t="n"/>
      <c r="R541" s="31" t="n"/>
      <c r="S541" s="31" t="n"/>
      <c r="T541" s="31" t="n"/>
      <c r="U541" s="31" t="n"/>
      <c r="V541" s="31" t="n"/>
      <c r="W541" s="31" t="n"/>
      <c r="X541" s="31" t="n"/>
      <c r="Y541" s="31" t="n"/>
      <c r="Z541" s="31" t="n"/>
      <c r="AA541" s="31" t="n"/>
    </row>
    <row r="542" ht="14.25" customHeight="1">
      <c r="A542" s="31" t="n"/>
      <c r="D542" s="161" t="n"/>
      <c r="E542" s="161" t="n"/>
      <c r="P542" s="31" t="n"/>
      <c r="Q542" s="31" t="n"/>
      <c r="R542" s="31" t="n"/>
      <c r="S542" s="31" t="n"/>
      <c r="T542" s="31" t="n"/>
      <c r="U542" s="31" t="n"/>
      <c r="V542" s="31" t="n"/>
      <c r="W542" s="31" t="n"/>
      <c r="X542" s="31" t="n"/>
      <c r="Y542" s="31" t="n"/>
      <c r="Z542" s="31" t="n"/>
      <c r="AA542" s="31" t="n"/>
    </row>
    <row r="543" ht="14.25" customHeight="1">
      <c r="A543" s="31" t="n"/>
      <c r="D543" s="161" t="n"/>
      <c r="E543" s="161" t="n"/>
      <c r="P543" s="31" t="n"/>
      <c r="Q543" s="31" t="n"/>
      <c r="R543" s="31" t="n"/>
      <c r="S543" s="31" t="n"/>
      <c r="T543" s="31" t="n"/>
      <c r="U543" s="31" t="n"/>
      <c r="V543" s="31" t="n"/>
      <c r="W543" s="31" t="n"/>
      <c r="X543" s="31" t="n"/>
      <c r="Y543" s="31" t="n"/>
      <c r="Z543" s="31" t="n"/>
      <c r="AA543" s="31" t="n"/>
    </row>
    <row r="544" ht="14.25" customHeight="1">
      <c r="A544" s="31" t="n"/>
      <c r="D544" s="161" t="n"/>
      <c r="E544" s="161" t="n"/>
      <c r="P544" s="31" t="n"/>
      <c r="Q544" s="31" t="n"/>
      <c r="R544" s="31" t="n"/>
      <c r="S544" s="31" t="n"/>
      <c r="T544" s="31" t="n"/>
      <c r="U544" s="31" t="n"/>
      <c r="V544" s="31" t="n"/>
      <c r="W544" s="31" t="n"/>
      <c r="X544" s="31" t="n"/>
      <c r="Y544" s="31" t="n"/>
      <c r="Z544" s="31" t="n"/>
      <c r="AA544" s="31" t="n"/>
    </row>
    <row r="545" ht="14.25" customHeight="1">
      <c r="A545" s="31" t="n"/>
      <c r="D545" s="161" t="n"/>
      <c r="E545" s="161" t="n"/>
      <c r="P545" s="31" t="n"/>
      <c r="Q545" s="31" t="n"/>
      <c r="R545" s="31" t="n"/>
      <c r="S545" s="31" t="n"/>
      <c r="T545" s="31" t="n"/>
      <c r="U545" s="31" t="n"/>
      <c r="V545" s="31" t="n"/>
      <c r="W545" s="31" t="n"/>
      <c r="X545" s="31" t="n"/>
      <c r="Y545" s="31" t="n"/>
      <c r="Z545" s="31" t="n"/>
      <c r="AA545" s="31" t="n"/>
    </row>
    <row r="546" ht="14.25" customHeight="1">
      <c r="A546" s="31" t="n"/>
      <c r="D546" s="161" t="n"/>
      <c r="E546" s="161" t="n"/>
      <c r="P546" s="31" t="n"/>
      <c r="Q546" s="31" t="n"/>
      <c r="R546" s="31" t="n"/>
      <c r="S546" s="31" t="n"/>
      <c r="T546" s="31" t="n"/>
      <c r="U546" s="31" t="n"/>
      <c r="V546" s="31" t="n"/>
      <c r="W546" s="31" t="n"/>
      <c r="X546" s="31" t="n"/>
      <c r="Y546" s="31" t="n"/>
      <c r="Z546" s="31" t="n"/>
      <c r="AA546" s="31" t="n"/>
    </row>
    <row r="547" ht="14.25" customHeight="1">
      <c r="A547" s="31" t="n"/>
      <c r="D547" s="161" t="n"/>
      <c r="E547" s="161" t="n"/>
      <c r="P547" s="31" t="n"/>
      <c r="Q547" s="31" t="n"/>
      <c r="R547" s="31" t="n"/>
      <c r="S547" s="31" t="n"/>
      <c r="T547" s="31" t="n"/>
      <c r="U547" s="31" t="n"/>
      <c r="V547" s="31" t="n"/>
      <c r="W547" s="31" t="n"/>
      <c r="X547" s="31" t="n"/>
      <c r="Y547" s="31" t="n"/>
      <c r="Z547" s="31" t="n"/>
      <c r="AA547" s="31" t="n"/>
    </row>
    <row r="548" ht="14.25" customHeight="1">
      <c r="A548" s="31" t="n"/>
      <c r="D548" s="161" t="n"/>
      <c r="E548" s="161" t="n"/>
      <c r="P548" s="31" t="n"/>
      <c r="Q548" s="31" t="n"/>
      <c r="R548" s="31" t="n"/>
      <c r="S548" s="31" t="n"/>
      <c r="T548" s="31" t="n"/>
      <c r="U548" s="31" t="n"/>
      <c r="V548" s="31" t="n"/>
      <c r="W548" s="31" t="n"/>
      <c r="X548" s="31" t="n"/>
      <c r="Y548" s="31" t="n"/>
      <c r="Z548" s="31" t="n"/>
      <c r="AA548" s="31" t="n"/>
    </row>
    <row r="549" ht="14.25" customHeight="1">
      <c r="A549" s="31" t="n"/>
      <c r="D549" s="161" t="n"/>
      <c r="E549" s="161" t="n"/>
      <c r="P549" s="31" t="n"/>
      <c r="Q549" s="31" t="n"/>
      <c r="R549" s="31" t="n"/>
      <c r="S549" s="31" t="n"/>
      <c r="T549" s="31" t="n"/>
      <c r="U549" s="31" t="n"/>
      <c r="V549" s="31" t="n"/>
      <c r="W549" s="31" t="n"/>
      <c r="X549" s="31" t="n"/>
      <c r="Y549" s="31" t="n"/>
      <c r="Z549" s="31" t="n"/>
      <c r="AA549" s="31" t="n"/>
    </row>
    <row r="550" ht="14.25" customHeight="1">
      <c r="A550" s="31" t="n"/>
      <c r="D550" s="161" t="n"/>
      <c r="E550" s="161" t="n"/>
      <c r="P550" s="31" t="n"/>
      <c r="Q550" s="31" t="n"/>
      <c r="R550" s="31" t="n"/>
      <c r="S550" s="31" t="n"/>
      <c r="T550" s="31" t="n"/>
      <c r="U550" s="31" t="n"/>
      <c r="V550" s="31" t="n"/>
      <c r="W550" s="31" t="n"/>
      <c r="X550" s="31" t="n"/>
      <c r="Y550" s="31" t="n"/>
      <c r="Z550" s="31" t="n"/>
      <c r="AA550" s="31" t="n"/>
    </row>
    <row r="551" ht="14.25" customHeight="1">
      <c r="A551" s="31" t="n"/>
      <c r="D551" s="161" t="n"/>
      <c r="E551" s="161" t="n"/>
      <c r="P551" s="31" t="n"/>
      <c r="Q551" s="31" t="n"/>
      <c r="R551" s="31" t="n"/>
      <c r="S551" s="31" t="n"/>
      <c r="T551" s="31" t="n"/>
      <c r="U551" s="31" t="n"/>
      <c r="V551" s="31" t="n"/>
      <c r="W551" s="31" t="n"/>
      <c r="X551" s="31" t="n"/>
      <c r="Y551" s="31" t="n"/>
      <c r="Z551" s="31" t="n"/>
      <c r="AA551" s="31" t="n"/>
    </row>
    <row r="552" ht="14.25" customHeight="1">
      <c r="A552" s="31" t="n"/>
      <c r="D552" s="161" t="n"/>
      <c r="E552" s="161" t="n"/>
      <c r="P552" s="31" t="n"/>
      <c r="Q552" s="31" t="n"/>
      <c r="R552" s="31" t="n"/>
      <c r="S552" s="31" t="n"/>
      <c r="T552" s="31" t="n"/>
      <c r="U552" s="31" t="n"/>
      <c r="V552" s="31" t="n"/>
      <c r="W552" s="31" t="n"/>
      <c r="X552" s="31" t="n"/>
      <c r="Y552" s="31" t="n"/>
      <c r="Z552" s="31" t="n"/>
      <c r="AA552" s="31" t="n"/>
    </row>
    <row r="553" ht="14.25" customHeight="1">
      <c r="A553" s="31" t="n"/>
      <c r="D553" s="161" t="n"/>
      <c r="E553" s="161" t="n"/>
      <c r="P553" s="31" t="n"/>
      <c r="Q553" s="31" t="n"/>
      <c r="R553" s="31" t="n"/>
      <c r="S553" s="31" t="n"/>
      <c r="T553" s="31" t="n"/>
      <c r="U553" s="31" t="n"/>
      <c r="V553" s="31" t="n"/>
      <c r="W553" s="31" t="n"/>
      <c r="X553" s="31" t="n"/>
      <c r="Y553" s="31" t="n"/>
      <c r="Z553" s="31" t="n"/>
      <c r="AA553" s="31" t="n"/>
    </row>
    <row r="554" ht="14.25" customHeight="1">
      <c r="A554" s="31" t="n"/>
      <c r="D554" s="161" t="n"/>
      <c r="E554" s="161" t="n"/>
      <c r="P554" s="31" t="n"/>
      <c r="Q554" s="31" t="n"/>
      <c r="R554" s="31" t="n"/>
      <c r="S554" s="31" t="n"/>
      <c r="T554" s="31" t="n"/>
      <c r="U554" s="31" t="n"/>
      <c r="V554" s="31" t="n"/>
      <c r="W554" s="31" t="n"/>
      <c r="X554" s="31" t="n"/>
      <c r="Y554" s="31" t="n"/>
      <c r="Z554" s="31" t="n"/>
      <c r="AA554" s="31" t="n"/>
    </row>
    <row r="555" ht="14.25" customHeight="1">
      <c r="A555" s="31" t="n"/>
      <c r="D555" s="161" t="n"/>
      <c r="E555" s="161" t="n"/>
      <c r="P555" s="31" t="n"/>
      <c r="Q555" s="31" t="n"/>
      <c r="R555" s="31" t="n"/>
      <c r="S555" s="31" t="n"/>
      <c r="T555" s="31" t="n"/>
      <c r="U555" s="31" t="n"/>
      <c r="V555" s="31" t="n"/>
      <c r="W555" s="31" t="n"/>
      <c r="X555" s="31" t="n"/>
      <c r="Y555" s="31" t="n"/>
      <c r="Z555" s="31" t="n"/>
      <c r="AA555" s="31" t="n"/>
    </row>
    <row r="556" ht="14.25" customHeight="1">
      <c r="A556" s="31" t="n"/>
      <c r="D556" s="161" t="n"/>
      <c r="E556" s="161" t="n"/>
      <c r="P556" s="31" t="n"/>
      <c r="Q556" s="31" t="n"/>
      <c r="R556" s="31" t="n"/>
      <c r="S556" s="31" t="n"/>
      <c r="T556" s="31" t="n"/>
      <c r="U556" s="31" t="n"/>
      <c r="V556" s="31" t="n"/>
      <c r="W556" s="31" t="n"/>
      <c r="X556" s="31" t="n"/>
      <c r="Y556" s="31" t="n"/>
      <c r="Z556" s="31" t="n"/>
      <c r="AA556" s="31" t="n"/>
    </row>
    <row r="557" ht="14.25" customHeight="1">
      <c r="A557" s="31" t="n"/>
      <c r="D557" s="161" t="n"/>
      <c r="E557" s="161" t="n"/>
      <c r="P557" s="31" t="n"/>
      <c r="Q557" s="31" t="n"/>
      <c r="R557" s="31" t="n"/>
      <c r="S557" s="31" t="n"/>
      <c r="T557" s="31" t="n"/>
      <c r="U557" s="31" t="n"/>
      <c r="V557" s="31" t="n"/>
      <c r="W557" s="31" t="n"/>
      <c r="X557" s="31" t="n"/>
      <c r="Y557" s="31" t="n"/>
      <c r="Z557" s="31" t="n"/>
      <c r="AA557" s="31" t="n"/>
    </row>
    <row r="558" ht="14.25" customHeight="1">
      <c r="A558" s="31" t="n"/>
      <c r="D558" s="161" t="n"/>
      <c r="E558" s="161" t="n"/>
      <c r="P558" s="31" t="n"/>
      <c r="Q558" s="31" t="n"/>
      <c r="R558" s="31" t="n"/>
      <c r="S558" s="31" t="n"/>
      <c r="T558" s="31" t="n"/>
      <c r="U558" s="31" t="n"/>
      <c r="V558" s="31" t="n"/>
      <c r="W558" s="31" t="n"/>
      <c r="X558" s="31" t="n"/>
      <c r="Y558" s="31" t="n"/>
      <c r="Z558" s="31" t="n"/>
      <c r="AA558" s="31" t="n"/>
    </row>
    <row r="559" ht="14.25" customHeight="1">
      <c r="A559" s="31" t="n"/>
      <c r="D559" s="161" t="n"/>
      <c r="E559" s="161" t="n"/>
      <c r="P559" s="31" t="n"/>
      <c r="Q559" s="31" t="n"/>
      <c r="R559" s="31" t="n"/>
      <c r="S559" s="31" t="n"/>
      <c r="T559" s="31" t="n"/>
      <c r="U559" s="31" t="n"/>
      <c r="V559" s="31" t="n"/>
      <c r="W559" s="31" t="n"/>
      <c r="X559" s="31" t="n"/>
      <c r="Y559" s="31" t="n"/>
      <c r="Z559" s="31" t="n"/>
      <c r="AA559" s="31" t="n"/>
    </row>
    <row r="560" ht="14.25" customHeight="1">
      <c r="A560" s="31" t="n"/>
      <c r="D560" s="161" t="n"/>
      <c r="E560" s="161" t="n"/>
      <c r="P560" s="31" t="n"/>
      <c r="Q560" s="31" t="n"/>
      <c r="R560" s="31" t="n"/>
      <c r="S560" s="31" t="n"/>
      <c r="T560" s="31" t="n"/>
      <c r="U560" s="31" t="n"/>
      <c r="V560" s="31" t="n"/>
      <c r="W560" s="31" t="n"/>
      <c r="X560" s="31" t="n"/>
      <c r="Y560" s="31" t="n"/>
      <c r="Z560" s="31" t="n"/>
      <c r="AA560" s="31" t="n"/>
    </row>
    <row r="561" ht="14.25" customHeight="1">
      <c r="A561" s="31" t="n"/>
      <c r="D561" s="161" t="n"/>
      <c r="E561" s="161" t="n"/>
      <c r="P561" s="31" t="n"/>
      <c r="Q561" s="31" t="n"/>
      <c r="R561" s="31" t="n"/>
      <c r="S561" s="31" t="n"/>
      <c r="T561" s="31" t="n"/>
      <c r="U561" s="31" t="n"/>
      <c r="V561" s="31" t="n"/>
      <c r="W561" s="31" t="n"/>
      <c r="X561" s="31" t="n"/>
      <c r="Y561" s="31" t="n"/>
      <c r="Z561" s="31" t="n"/>
      <c r="AA561" s="31" t="n"/>
    </row>
    <row r="562" ht="14.25" customHeight="1">
      <c r="A562" s="31" t="n"/>
      <c r="D562" s="161" t="n"/>
      <c r="E562" s="161" t="n"/>
      <c r="P562" s="31" t="n"/>
      <c r="Q562" s="31" t="n"/>
      <c r="R562" s="31" t="n"/>
      <c r="S562" s="31" t="n"/>
      <c r="T562" s="31" t="n"/>
      <c r="U562" s="31" t="n"/>
      <c r="V562" s="31" t="n"/>
      <c r="W562" s="31" t="n"/>
      <c r="X562" s="31" t="n"/>
      <c r="Y562" s="31" t="n"/>
      <c r="Z562" s="31" t="n"/>
      <c r="AA562" s="31" t="n"/>
    </row>
    <row r="563" ht="14.25" customHeight="1">
      <c r="A563" s="31" t="n"/>
      <c r="D563" s="161" t="n"/>
      <c r="E563" s="161" t="n"/>
      <c r="P563" s="31" t="n"/>
      <c r="Q563" s="31" t="n"/>
      <c r="R563" s="31" t="n"/>
      <c r="S563" s="31" t="n"/>
      <c r="T563" s="31" t="n"/>
      <c r="U563" s="31" t="n"/>
      <c r="V563" s="31" t="n"/>
      <c r="W563" s="31" t="n"/>
      <c r="X563" s="31" t="n"/>
      <c r="Y563" s="31" t="n"/>
      <c r="Z563" s="31" t="n"/>
      <c r="AA563" s="31" t="n"/>
    </row>
    <row r="564" ht="14.25" customHeight="1">
      <c r="A564" s="31" t="n"/>
      <c r="D564" s="161" t="n"/>
      <c r="E564" s="161" t="n"/>
      <c r="P564" s="31" t="n"/>
      <c r="Q564" s="31" t="n"/>
      <c r="R564" s="31" t="n"/>
      <c r="S564" s="31" t="n"/>
      <c r="T564" s="31" t="n"/>
      <c r="U564" s="31" t="n"/>
      <c r="V564" s="31" t="n"/>
      <c r="W564" s="31" t="n"/>
      <c r="X564" s="31" t="n"/>
      <c r="Y564" s="31" t="n"/>
      <c r="Z564" s="31" t="n"/>
      <c r="AA564" s="31" t="n"/>
    </row>
    <row r="565" ht="14.25" customHeight="1">
      <c r="A565" s="31" t="n"/>
      <c r="D565" s="161" t="n"/>
      <c r="E565" s="161" t="n"/>
      <c r="P565" s="31" t="n"/>
      <c r="Q565" s="31" t="n"/>
      <c r="R565" s="31" t="n"/>
      <c r="S565" s="31" t="n"/>
      <c r="T565" s="31" t="n"/>
      <c r="U565" s="31" t="n"/>
      <c r="V565" s="31" t="n"/>
      <c r="W565" s="31" t="n"/>
      <c r="X565" s="31" t="n"/>
      <c r="Y565" s="31" t="n"/>
      <c r="Z565" s="31" t="n"/>
      <c r="AA565" s="31" t="n"/>
    </row>
    <row r="566" ht="14.25" customHeight="1">
      <c r="A566" s="31" t="n"/>
      <c r="D566" s="161" t="n"/>
      <c r="E566" s="161" t="n"/>
      <c r="P566" s="31" t="n"/>
      <c r="Q566" s="31" t="n"/>
      <c r="R566" s="31" t="n"/>
      <c r="S566" s="31" t="n"/>
      <c r="T566" s="31" t="n"/>
      <c r="U566" s="31" t="n"/>
      <c r="V566" s="31" t="n"/>
      <c r="W566" s="31" t="n"/>
      <c r="X566" s="31" t="n"/>
      <c r="Y566" s="31" t="n"/>
      <c r="Z566" s="31" t="n"/>
      <c r="AA566" s="31" t="n"/>
    </row>
    <row r="567" ht="14.25" customHeight="1">
      <c r="A567" s="31" t="n"/>
      <c r="D567" s="161" t="n"/>
      <c r="E567" s="161" t="n"/>
      <c r="P567" s="31" t="n"/>
      <c r="Q567" s="31" t="n"/>
      <c r="R567" s="31" t="n"/>
      <c r="S567" s="31" t="n"/>
      <c r="T567" s="31" t="n"/>
      <c r="U567" s="31" t="n"/>
      <c r="V567" s="31" t="n"/>
      <c r="W567" s="31" t="n"/>
      <c r="X567" s="31" t="n"/>
      <c r="Y567" s="31" t="n"/>
      <c r="Z567" s="31" t="n"/>
      <c r="AA567" s="31" t="n"/>
    </row>
    <row r="568" ht="14.25" customHeight="1">
      <c r="A568" s="31" t="n"/>
      <c r="D568" s="161" t="n"/>
      <c r="E568" s="161" t="n"/>
      <c r="P568" s="31" t="n"/>
      <c r="Q568" s="31" t="n"/>
      <c r="R568" s="31" t="n"/>
      <c r="S568" s="31" t="n"/>
      <c r="T568" s="31" t="n"/>
      <c r="U568" s="31" t="n"/>
      <c r="V568" s="31" t="n"/>
      <c r="W568" s="31" t="n"/>
      <c r="X568" s="31" t="n"/>
      <c r="Y568" s="31" t="n"/>
      <c r="Z568" s="31" t="n"/>
      <c r="AA568" s="31" t="n"/>
    </row>
    <row r="569" ht="14.25" customHeight="1">
      <c r="A569" s="31" t="n"/>
      <c r="D569" s="161" t="n"/>
      <c r="E569" s="161" t="n"/>
      <c r="P569" s="31" t="n"/>
      <c r="Q569" s="31" t="n"/>
      <c r="R569" s="31" t="n"/>
      <c r="S569" s="31" t="n"/>
      <c r="T569" s="31" t="n"/>
      <c r="U569" s="31" t="n"/>
      <c r="V569" s="31" t="n"/>
      <c r="W569" s="31" t="n"/>
      <c r="X569" s="31" t="n"/>
      <c r="Y569" s="31" t="n"/>
      <c r="Z569" s="31" t="n"/>
      <c r="AA569" s="31" t="n"/>
    </row>
    <row r="570" ht="14.25" customHeight="1">
      <c r="A570" s="31" t="n"/>
      <c r="D570" s="161" t="n"/>
      <c r="E570" s="161" t="n"/>
      <c r="P570" s="31" t="n"/>
      <c r="Q570" s="31" t="n"/>
      <c r="R570" s="31" t="n"/>
      <c r="S570" s="31" t="n"/>
      <c r="T570" s="31" t="n"/>
      <c r="U570" s="31" t="n"/>
      <c r="V570" s="31" t="n"/>
      <c r="W570" s="31" t="n"/>
      <c r="X570" s="31" t="n"/>
      <c r="Y570" s="31" t="n"/>
      <c r="Z570" s="31" t="n"/>
      <c r="AA570" s="31" t="n"/>
    </row>
    <row r="571" ht="14.25" customHeight="1">
      <c r="A571" s="31" t="n"/>
      <c r="D571" s="161" t="n"/>
      <c r="E571" s="161" t="n"/>
      <c r="P571" s="31" t="n"/>
      <c r="Q571" s="31" t="n"/>
      <c r="R571" s="31" t="n"/>
      <c r="S571" s="31" t="n"/>
      <c r="T571" s="31" t="n"/>
      <c r="U571" s="31" t="n"/>
      <c r="V571" s="31" t="n"/>
      <c r="W571" s="31" t="n"/>
      <c r="X571" s="31" t="n"/>
      <c r="Y571" s="31" t="n"/>
      <c r="Z571" s="31" t="n"/>
      <c r="AA571" s="31" t="n"/>
    </row>
    <row r="572" ht="14.25" customHeight="1">
      <c r="A572" s="31" t="n"/>
      <c r="D572" s="161" t="n"/>
      <c r="E572" s="161" t="n"/>
      <c r="P572" s="31" t="n"/>
      <c r="Q572" s="31" t="n"/>
      <c r="R572" s="31" t="n"/>
      <c r="S572" s="31" t="n"/>
      <c r="T572" s="31" t="n"/>
      <c r="U572" s="31" t="n"/>
      <c r="V572" s="31" t="n"/>
      <c r="W572" s="31" t="n"/>
      <c r="X572" s="31" t="n"/>
      <c r="Y572" s="31" t="n"/>
      <c r="Z572" s="31" t="n"/>
      <c r="AA572" s="31" t="n"/>
    </row>
    <row r="573" ht="14.25" customHeight="1">
      <c r="A573" s="31" t="n"/>
      <c r="D573" s="161" t="n"/>
      <c r="E573" s="161" t="n"/>
      <c r="P573" s="31" t="n"/>
      <c r="Q573" s="31" t="n"/>
      <c r="R573" s="31" t="n"/>
      <c r="S573" s="31" t="n"/>
      <c r="T573" s="31" t="n"/>
      <c r="U573" s="31" t="n"/>
      <c r="V573" s="31" t="n"/>
      <c r="W573" s="31" t="n"/>
      <c r="X573" s="31" t="n"/>
      <c r="Y573" s="31" t="n"/>
      <c r="Z573" s="31" t="n"/>
      <c r="AA573" s="31" t="n"/>
    </row>
    <row r="574" ht="14.25" customHeight="1">
      <c r="A574" s="31" t="n"/>
      <c r="D574" s="161" t="n"/>
      <c r="E574" s="161" t="n"/>
      <c r="P574" s="31" t="n"/>
      <c r="Q574" s="31" t="n"/>
      <c r="R574" s="31" t="n"/>
      <c r="S574" s="31" t="n"/>
      <c r="T574" s="31" t="n"/>
      <c r="U574" s="31" t="n"/>
      <c r="V574" s="31" t="n"/>
      <c r="W574" s="31" t="n"/>
      <c r="X574" s="31" t="n"/>
      <c r="Y574" s="31" t="n"/>
      <c r="Z574" s="31" t="n"/>
      <c r="AA574" s="31" t="n"/>
    </row>
    <row r="575" ht="14.25" customHeight="1">
      <c r="A575" s="31" t="n"/>
      <c r="D575" s="161" t="n"/>
      <c r="E575" s="161" t="n"/>
      <c r="P575" s="31" t="n"/>
      <c r="Q575" s="31" t="n"/>
      <c r="R575" s="31" t="n"/>
      <c r="S575" s="31" t="n"/>
      <c r="T575" s="31" t="n"/>
      <c r="U575" s="31" t="n"/>
      <c r="V575" s="31" t="n"/>
      <c r="W575" s="31" t="n"/>
      <c r="X575" s="31" t="n"/>
      <c r="Y575" s="31" t="n"/>
      <c r="Z575" s="31" t="n"/>
      <c r="AA575" s="31" t="n"/>
    </row>
    <row r="576" ht="14.25" customHeight="1">
      <c r="A576" s="31" t="n"/>
      <c r="D576" s="161" t="n"/>
      <c r="E576" s="161" t="n"/>
      <c r="P576" s="31" t="n"/>
      <c r="Q576" s="31" t="n"/>
      <c r="R576" s="31" t="n"/>
      <c r="S576" s="31" t="n"/>
      <c r="T576" s="31" t="n"/>
      <c r="U576" s="31" t="n"/>
      <c r="V576" s="31" t="n"/>
      <c r="W576" s="31" t="n"/>
      <c r="X576" s="31" t="n"/>
      <c r="Y576" s="31" t="n"/>
      <c r="Z576" s="31" t="n"/>
      <c r="AA576" s="31" t="n"/>
    </row>
    <row r="577" ht="14.25" customHeight="1">
      <c r="A577" s="31" t="n"/>
      <c r="D577" s="161" t="n"/>
      <c r="E577" s="161" t="n"/>
      <c r="P577" s="31" t="n"/>
      <c r="Q577" s="31" t="n"/>
      <c r="R577" s="31" t="n"/>
      <c r="S577" s="31" t="n"/>
      <c r="T577" s="31" t="n"/>
      <c r="U577" s="31" t="n"/>
      <c r="V577" s="31" t="n"/>
      <c r="W577" s="31" t="n"/>
      <c r="X577" s="31" t="n"/>
      <c r="Y577" s="31" t="n"/>
      <c r="Z577" s="31" t="n"/>
      <c r="AA577" s="31" t="n"/>
    </row>
    <row r="578" ht="14.25" customHeight="1">
      <c r="A578" s="31" t="n"/>
      <c r="D578" s="161" t="n"/>
      <c r="E578" s="161" t="n"/>
      <c r="P578" s="31" t="n"/>
      <c r="Q578" s="31" t="n"/>
      <c r="R578" s="31" t="n"/>
      <c r="S578" s="31" t="n"/>
      <c r="T578" s="31" t="n"/>
      <c r="U578" s="31" t="n"/>
      <c r="V578" s="31" t="n"/>
      <c r="W578" s="31" t="n"/>
      <c r="X578" s="31" t="n"/>
      <c r="Y578" s="31" t="n"/>
      <c r="Z578" s="31" t="n"/>
      <c r="AA578" s="31" t="n"/>
    </row>
    <row r="579" ht="14.25" customHeight="1">
      <c r="A579" s="31" t="n"/>
      <c r="D579" s="161" t="n"/>
      <c r="E579" s="161" t="n"/>
      <c r="P579" s="31" t="n"/>
      <c r="Q579" s="31" t="n"/>
      <c r="R579" s="31" t="n"/>
      <c r="S579" s="31" t="n"/>
      <c r="T579" s="31" t="n"/>
      <c r="U579" s="31" t="n"/>
      <c r="V579" s="31" t="n"/>
      <c r="W579" s="31" t="n"/>
      <c r="X579" s="31" t="n"/>
      <c r="Y579" s="31" t="n"/>
      <c r="Z579" s="31" t="n"/>
      <c r="AA579" s="31" t="n"/>
    </row>
    <row r="580" ht="14.25" customHeight="1">
      <c r="A580" s="31" t="n"/>
      <c r="D580" s="161" t="n"/>
      <c r="E580" s="161" t="n"/>
      <c r="P580" s="31" t="n"/>
      <c r="Q580" s="31" t="n"/>
      <c r="R580" s="31" t="n"/>
      <c r="S580" s="31" t="n"/>
      <c r="T580" s="31" t="n"/>
      <c r="U580" s="31" t="n"/>
      <c r="V580" s="31" t="n"/>
      <c r="W580" s="31" t="n"/>
      <c r="X580" s="31" t="n"/>
      <c r="Y580" s="31" t="n"/>
      <c r="Z580" s="31" t="n"/>
      <c r="AA580" s="31" t="n"/>
    </row>
    <row r="581" ht="14.25" customHeight="1">
      <c r="A581" s="31" t="n"/>
      <c r="D581" s="161" t="n"/>
      <c r="E581" s="161" t="n"/>
      <c r="P581" s="31" t="n"/>
      <c r="Q581" s="31" t="n"/>
      <c r="R581" s="31" t="n"/>
      <c r="S581" s="31" t="n"/>
      <c r="T581" s="31" t="n"/>
      <c r="U581" s="31" t="n"/>
      <c r="V581" s="31" t="n"/>
      <c r="W581" s="31" t="n"/>
      <c r="X581" s="31" t="n"/>
      <c r="Y581" s="31" t="n"/>
      <c r="Z581" s="31" t="n"/>
      <c r="AA581" s="31" t="n"/>
    </row>
    <row r="582" ht="14.25" customHeight="1">
      <c r="A582" s="31" t="n"/>
      <c r="D582" s="161" t="n"/>
      <c r="E582" s="161" t="n"/>
      <c r="P582" s="31" t="n"/>
      <c r="Q582" s="31" t="n"/>
      <c r="R582" s="31" t="n"/>
      <c r="S582" s="31" t="n"/>
      <c r="T582" s="31" t="n"/>
      <c r="U582" s="31" t="n"/>
      <c r="V582" s="31" t="n"/>
      <c r="W582" s="31" t="n"/>
      <c r="X582" s="31" t="n"/>
      <c r="Y582" s="31" t="n"/>
      <c r="Z582" s="31" t="n"/>
      <c r="AA582" s="31" t="n"/>
    </row>
    <row r="583" ht="14.25" customHeight="1">
      <c r="A583" s="31" t="n"/>
      <c r="D583" s="161" t="n"/>
      <c r="E583" s="161" t="n"/>
      <c r="P583" s="31" t="n"/>
      <c r="Q583" s="31" t="n"/>
      <c r="R583" s="31" t="n"/>
      <c r="S583" s="31" t="n"/>
      <c r="T583" s="31" t="n"/>
      <c r="U583" s="31" t="n"/>
      <c r="V583" s="31" t="n"/>
      <c r="W583" s="31" t="n"/>
      <c r="X583" s="31" t="n"/>
      <c r="Y583" s="31" t="n"/>
      <c r="Z583" s="31" t="n"/>
      <c r="AA583" s="31" t="n"/>
    </row>
    <row r="584" ht="14.25" customHeight="1">
      <c r="A584" s="31" t="n"/>
      <c r="D584" s="161" t="n"/>
      <c r="E584" s="161" t="n"/>
      <c r="P584" s="31" t="n"/>
      <c r="Q584" s="31" t="n"/>
      <c r="R584" s="31" t="n"/>
      <c r="S584" s="31" t="n"/>
      <c r="T584" s="31" t="n"/>
      <c r="U584" s="31" t="n"/>
      <c r="V584" s="31" t="n"/>
      <c r="W584" s="31" t="n"/>
      <c r="X584" s="31" t="n"/>
      <c r="Y584" s="31" t="n"/>
      <c r="Z584" s="31" t="n"/>
      <c r="AA584" s="31" t="n"/>
    </row>
    <row r="585" ht="14.25" customHeight="1">
      <c r="A585" s="31" t="n"/>
      <c r="D585" s="161" t="n"/>
      <c r="E585" s="161" t="n"/>
      <c r="P585" s="31" t="n"/>
      <c r="Q585" s="31" t="n"/>
      <c r="R585" s="31" t="n"/>
      <c r="S585" s="31" t="n"/>
      <c r="T585" s="31" t="n"/>
      <c r="U585" s="31" t="n"/>
      <c r="V585" s="31" t="n"/>
      <c r="W585" s="31" t="n"/>
      <c r="X585" s="31" t="n"/>
      <c r="Y585" s="31" t="n"/>
      <c r="Z585" s="31" t="n"/>
      <c r="AA585" s="31" t="n"/>
    </row>
    <row r="586" ht="14.25" customHeight="1">
      <c r="A586" s="31" t="n"/>
      <c r="D586" s="161" t="n"/>
      <c r="E586" s="161" t="n"/>
      <c r="P586" s="31" t="n"/>
      <c r="Q586" s="31" t="n"/>
      <c r="R586" s="31" t="n"/>
      <c r="S586" s="31" t="n"/>
      <c r="T586" s="31" t="n"/>
      <c r="U586" s="31" t="n"/>
      <c r="V586" s="31" t="n"/>
      <c r="W586" s="31" t="n"/>
      <c r="X586" s="31" t="n"/>
      <c r="Y586" s="31" t="n"/>
      <c r="Z586" s="31" t="n"/>
      <c r="AA586" s="31" t="n"/>
    </row>
    <row r="587" ht="14.25" customHeight="1">
      <c r="A587" s="31" t="n"/>
      <c r="D587" s="161" t="n"/>
      <c r="E587" s="161" t="n"/>
      <c r="P587" s="31" t="n"/>
      <c r="Q587" s="31" t="n"/>
      <c r="R587" s="31" t="n"/>
      <c r="S587" s="31" t="n"/>
      <c r="T587" s="31" t="n"/>
      <c r="U587" s="31" t="n"/>
      <c r="V587" s="31" t="n"/>
      <c r="W587" s="31" t="n"/>
      <c r="X587" s="31" t="n"/>
      <c r="Y587" s="31" t="n"/>
      <c r="Z587" s="31" t="n"/>
      <c r="AA587" s="31" t="n"/>
    </row>
    <row r="588" ht="14.25" customHeight="1">
      <c r="A588" s="31" t="n"/>
      <c r="D588" s="161" t="n"/>
      <c r="E588" s="161" t="n"/>
      <c r="P588" s="31" t="n"/>
      <c r="Q588" s="31" t="n"/>
      <c r="R588" s="31" t="n"/>
      <c r="S588" s="31" t="n"/>
      <c r="T588" s="31" t="n"/>
      <c r="U588" s="31" t="n"/>
      <c r="V588" s="31" t="n"/>
      <c r="W588" s="31" t="n"/>
      <c r="X588" s="31" t="n"/>
      <c r="Y588" s="31" t="n"/>
      <c r="Z588" s="31" t="n"/>
      <c r="AA588" s="31" t="n"/>
    </row>
    <row r="589" ht="14.25" customHeight="1">
      <c r="A589" s="31" t="n"/>
      <c r="D589" s="161" t="n"/>
      <c r="E589" s="161" t="n"/>
      <c r="P589" s="31" t="n"/>
      <c r="Q589" s="31" t="n"/>
      <c r="R589" s="31" t="n"/>
      <c r="S589" s="31" t="n"/>
      <c r="T589" s="31" t="n"/>
      <c r="U589" s="31" t="n"/>
      <c r="V589" s="31" t="n"/>
      <c r="W589" s="31" t="n"/>
      <c r="X589" s="31" t="n"/>
      <c r="Y589" s="31" t="n"/>
      <c r="Z589" s="31" t="n"/>
      <c r="AA589" s="31" t="n"/>
    </row>
    <row r="590" ht="14.25" customHeight="1">
      <c r="A590" s="31" t="n"/>
      <c r="D590" s="161" t="n"/>
      <c r="E590" s="161" t="n"/>
      <c r="P590" s="31" t="n"/>
      <c r="Q590" s="31" t="n"/>
      <c r="R590" s="31" t="n"/>
      <c r="S590" s="31" t="n"/>
      <c r="T590" s="31" t="n"/>
      <c r="U590" s="31" t="n"/>
      <c r="V590" s="31" t="n"/>
      <c r="W590" s="31" t="n"/>
      <c r="X590" s="31" t="n"/>
      <c r="Y590" s="31" t="n"/>
      <c r="Z590" s="31" t="n"/>
      <c r="AA590" s="31" t="n"/>
    </row>
    <row r="591" ht="14.25" customHeight="1">
      <c r="A591" s="31" t="n"/>
      <c r="D591" s="161" t="n"/>
      <c r="E591" s="161" t="n"/>
      <c r="P591" s="31" t="n"/>
      <c r="Q591" s="31" t="n"/>
      <c r="R591" s="31" t="n"/>
      <c r="S591" s="31" t="n"/>
      <c r="T591" s="31" t="n"/>
      <c r="U591" s="31" t="n"/>
      <c r="V591" s="31" t="n"/>
      <c r="W591" s="31" t="n"/>
      <c r="X591" s="31" t="n"/>
      <c r="Y591" s="31" t="n"/>
      <c r="Z591" s="31" t="n"/>
      <c r="AA591" s="31" t="n"/>
    </row>
    <row r="592" ht="14.25" customHeight="1">
      <c r="A592" s="31" t="n"/>
      <c r="D592" s="161" t="n"/>
      <c r="E592" s="161" t="n"/>
      <c r="P592" s="31" t="n"/>
      <c r="Q592" s="31" t="n"/>
      <c r="R592" s="31" t="n"/>
      <c r="S592" s="31" t="n"/>
      <c r="T592" s="31" t="n"/>
      <c r="U592" s="31" t="n"/>
      <c r="V592" s="31" t="n"/>
      <c r="W592" s="31" t="n"/>
      <c r="X592" s="31" t="n"/>
      <c r="Y592" s="31" t="n"/>
      <c r="Z592" s="31" t="n"/>
      <c r="AA592" s="31" t="n"/>
    </row>
    <row r="593" ht="14.25" customHeight="1">
      <c r="A593" s="31" t="n"/>
      <c r="D593" s="161" t="n"/>
      <c r="E593" s="161" t="n"/>
      <c r="P593" s="31" t="n"/>
      <c r="Q593" s="31" t="n"/>
      <c r="R593" s="31" t="n"/>
      <c r="S593" s="31" t="n"/>
      <c r="T593" s="31" t="n"/>
      <c r="U593" s="31" t="n"/>
      <c r="V593" s="31" t="n"/>
      <c r="W593" s="31" t="n"/>
      <c r="X593" s="31" t="n"/>
      <c r="Y593" s="31" t="n"/>
      <c r="Z593" s="31" t="n"/>
      <c r="AA593" s="31" t="n"/>
    </row>
    <row r="594" ht="14.25" customHeight="1">
      <c r="A594" s="31" t="n"/>
      <c r="D594" s="161" t="n"/>
      <c r="E594" s="161" t="n"/>
      <c r="P594" s="31" t="n"/>
      <c r="Q594" s="31" t="n"/>
      <c r="R594" s="31" t="n"/>
      <c r="S594" s="31" t="n"/>
      <c r="T594" s="31" t="n"/>
      <c r="U594" s="31" t="n"/>
      <c r="V594" s="31" t="n"/>
      <c r="W594" s="31" t="n"/>
      <c r="X594" s="31" t="n"/>
      <c r="Y594" s="31" t="n"/>
      <c r="Z594" s="31" t="n"/>
      <c r="AA594" s="31" t="n"/>
    </row>
    <row r="595" ht="14.25" customHeight="1">
      <c r="A595" s="31" t="n"/>
      <c r="D595" s="161" t="n"/>
      <c r="E595" s="161" t="n"/>
      <c r="P595" s="31" t="n"/>
      <c r="Q595" s="31" t="n"/>
      <c r="R595" s="31" t="n"/>
      <c r="S595" s="31" t="n"/>
      <c r="T595" s="31" t="n"/>
      <c r="U595" s="31" t="n"/>
      <c r="V595" s="31" t="n"/>
      <c r="W595" s="31" t="n"/>
      <c r="X595" s="31" t="n"/>
      <c r="Y595" s="31" t="n"/>
      <c r="Z595" s="31" t="n"/>
      <c r="AA595" s="31" t="n"/>
    </row>
    <row r="596" ht="14.25" customHeight="1">
      <c r="A596" s="31" t="n"/>
      <c r="D596" s="161" t="n"/>
      <c r="E596" s="161" t="n"/>
      <c r="P596" s="31" t="n"/>
      <c r="Q596" s="31" t="n"/>
      <c r="R596" s="31" t="n"/>
      <c r="S596" s="31" t="n"/>
      <c r="T596" s="31" t="n"/>
      <c r="U596" s="31" t="n"/>
      <c r="V596" s="31" t="n"/>
      <c r="W596" s="31" t="n"/>
      <c r="X596" s="31" t="n"/>
      <c r="Y596" s="31" t="n"/>
      <c r="Z596" s="31" t="n"/>
      <c r="AA596" s="31" t="n"/>
    </row>
    <row r="597" ht="14.25" customHeight="1">
      <c r="A597" s="31" t="n"/>
      <c r="D597" s="161" t="n"/>
      <c r="E597" s="161" t="n"/>
      <c r="P597" s="31" t="n"/>
      <c r="Q597" s="31" t="n"/>
      <c r="R597" s="31" t="n"/>
      <c r="S597" s="31" t="n"/>
      <c r="T597" s="31" t="n"/>
      <c r="U597" s="31" t="n"/>
      <c r="V597" s="31" t="n"/>
      <c r="W597" s="31" t="n"/>
      <c r="X597" s="31" t="n"/>
      <c r="Y597" s="31" t="n"/>
      <c r="Z597" s="31" t="n"/>
      <c r="AA597" s="31" t="n"/>
    </row>
    <row r="598" ht="14.25" customHeight="1">
      <c r="A598" s="31" t="n"/>
      <c r="D598" s="161" t="n"/>
      <c r="E598" s="161" t="n"/>
      <c r="P598" s="31" t="n"/>
      <c r="Q598" s="31" t="n"/>
      <c r="R598" s="31" t="n"/>
      <c r="S598" s="31" t="n"/>
      <c r="T598" s="31" t="n"/>
      <c r="U598" s="31" t="n"/>
      <c r="V598" s="31" t="n"/>
      <c r="W598" s="31" t="n"/>
      <c r="X598" s="31" t="n"/>
      <c r="Y598" s="31" t="n"/>
      <c r="Z598" s="31" t="n"/>
      <c r="AA598" s="31" t="n"/>
    </row>
    <row r="599" ht="14.25" customHeight="1">
      <c r="A599" s="31" t="n"/>
      <c r="D599" s="161" t="n"/>
      <c r="E599" s="161" t="n"/>
      <c r="P599" s="31" t="n"/>
      <c r="Q599" s="31" t="n"/>
      <c r="R599" s="31" t="n"/>
      <c r="S599" s="31" t="n"/>
      <c r="T599" s="31" t="n"/>
      <c r="U599" s="31" t="n"/>
      <c r="V599" s="31" t="n"/>
      <c r="W599" s="31" t="n"/>
      <c r="X599" s="31" t="n"/>
      <c r="Y599" s="31" t="n"/>
      <c r="Z599" s="31" t="n"/>
      <c r="AA599" s="31" t="n"/>
    </row>
    <row r="600" ht="14.25" customHeight="1">
      <c r="A600" s="31" t="n"/>
      <c r="D600" s="161" t="n"/>
      <c r="E600" s="161" t="n"/>
      <c r="P600" s="31" t="n"/>
      <c r="Q600" s="31" t="n"/>
      <c r="R600" s="31" t="n"/>
      <c r="S600" s="31" t="n"/>
      <c r="T600" s="31" t="n"/>
      <c r="U600" s="31" t="n"/>
      <c r="V600" s="31" t="n"/>
      <c r="W600" s="31" t="n"/>
      <c r="X600" s="31" t="n"/>
      <c r="Y600" s="31" t="n"/>
      <c r="Z600" s="31" t="n"/>
      <c r="AA600" s="31" t="n"/>
    </row>
    <row r="601" ht="14.25" customHeight="1">
      <c r="A601" s="31" t="n"/>
      <c r="D601" s="161" t="n"/>
      <c r="E601" s="161" t="n"/>
      <c r="P601" s="31" t="n"/>
      <c r="Q601" s="31" t="n"/>
      <c r="R601" s="31" t="n"/>
      <c r="S601" s="31" t="n"/>
      <c r="T601" s="31" t="n"/>
      <c r="U601" s="31" t="n"/>
      <c r="V601" s="31" t="n"/>
      <c r="W601" s="31" t="n"/>
      <c r="X601" s="31" t="n"/>
      <c r="Y601" s="31" t="n"/>
      <c r="Z601" s="31" t="n"/>
      <c r="AA601" s="31" t="n"/>
    </row>
    <row r="602" ht="14.25" customHeight="1">
      <c r="A602" s="31" t="n"/>
      <c r="D602" s="161" t="n"/>
      <c r="E602" s="161" t="n"/>
      <c r="P602" s="31" t="n"/>
      <c r="Q602" s="31" t="n"/>
      <c r="R602" s="31" t="n"/>
      <c r="S602" s="31" t="n"/>
      <c r="T602" s="31" t="n"/>
      <c r="U602" s="31" t="n"/>
      <c r="V602" s="31" t="n"/>
      <c r="W602" s="31" t="n"/>
      <c r="X602" s="31" t="n"/>
      <c r="Y602" s="31" t="n"/>
      <c r="Z602" s="31" t="n"/>
      <c r="AA602" s="31" t="n"/>
    </row>
    <row r="603" ht="14.25" customHeight="1">
      <c r="A603" s="31" t="n"/>
      <c r="D603" s="161" t="n"/>
      <c r="E603" s="161" t="n"/>
      <c r="P603" s="31" t="n"/>
      <c r="Q603" s="31" t="n"/>
      <c r="R603" s="31" t="n"/>
      <c r="S603" s="31" t="n"/>
      <c r="T603" s="31" t="n"/>
      <c r="U603" s="31" t="n"/>
      <c r="V603" s="31" t="n"/>
      <c r="W603" s="31" t="n"/>
      <c r="X603" s="31" t="n"/>
      <c r="Y603" s="31" t="n"/>
      <c r="Z603" s="31" t="n"/>
      <c r="AA603" s="31" t="n"/>
    </row>
    <row r="604" ht="14.25" customHeight="1">
      <c r="A604" s="31" t="n"/>
      <c r="D604" s="161" t="n"/>
      <c r="E604" s="161" t="n"/>
      <c r="P604" s="31" t="n"/>
      <c r="Q604" s="31" t="n"/>
      <c r="R604" s="31" t="n"/>
      <c r="S604" s="31" t="n"/>
      <c r="T604" s="31" t="n"/>
      <c r="U604" s="31" t="n"/>
      <c r="V604" s="31" t="n"/>
      <c r="W604" s="31" t="n"/>
      <c r="X604" s="31" t="n"/>
      <c r="Y604" s="31" t="n"/>
      <c r="Z604" s="31" t="n"/>
      <c r="AA604" s="31" t="n"/>
    </row>
    <row r="605" ht="14.25" customHeight="1">
      <c r="A605" s="31" t="n"/>
      <c r="D605" s="161" t="n"/>
      <c r="E605" s="161" t="n"/>
      <c r="P605" s="31" t="n"/>
      <c r="Q605" s="31" t="n"/>
      <c r="R605" s="31" t="n"/>
      <c r="S605" s="31" t="n"/>
      <c r="T605" s="31" t="n"/>
      <c r="U605" s="31" t="n"/>
      <c r="V605" s="31" t="n"/>
      <c r="W605" s="31" t="n"/>
      <c r="X605" s="31" t="n"/>
      <c r="Y605" s="31" t="n"/>
      <c r="Z605" s="31" t="n"/>
      <c r="AA605" s="31" t="n"/>
    </row>
    <row r="606" ht="14.25" customHeight="1">
      <c r="A606" s="31" t="n"/>
      <c r="D606" s="161" t="n"/>
      <c r="E606" s="161" t="n"/>
      <c r="P606" s="31" t="n"/>
      <c r="Q606" s="31" t="n"/>
      <c r="R606" s="31" t="n"/>
      <c r="S606" s="31" t="n"/>
      <c r="T606" s="31" t="n"/>
      <c r="U606" s="31" t="n"/>
      <c r="V606" s="31" t="n"/>
      <c r="W606" s="31" t="n"/>
      <c r="X606" s="31" t="n"/>
      <c r="Y606" s="31" t="n"/>
      <c r="Z606" s="31" t="n"/>
      <c r="AA606" s="31" t="n"/>
    </row>
    <row r="607" ht="14.25" customHeight="1">
      <c r="A607" s="31" t="n"/>
      <c r="D607" s="161" t="n"/>
      <c r="E607" s="161" t="n"/>
      <c r="P607" s="31" t="n"/>
      <c r="Q607" s="31" t="n"/>
      <c r="R607" s="31" t="n"/>
      <c r="S607" s="31" t="n"/>
      <c r="T607" s="31" t="n"/>
      <c r="U607" s="31" t="n"/>
      <c r="V607" s="31" t="n"/>
      <c r="W607" s="31" t="n"/>
      <c r="X607" s="31" t="n"/>
      <c r="Y607" s="31" t="n"/>
      <c r="Z607" s="31" t="n"/>
      <c r="AA607" s="31" t="n"/>
    </row>
    <row r="608" ht="14.25" customHeight="1">
      <c r="A608" s="31" t="n"/>
      <c r="D608" s="161" t="n"/>
      <c r="E608" s="161" t="n"/>
      <c r="P608" s="31" t="n"/>
      <c r="Q608" s="31" t="n"/>
      <c r="R608" s="31" t="n"/>
      <c r="S608" s="31" t="n"/>
      <c r="T608" s="31" t="n"/>
      <c r="U608" s="31" t="n"/>
      <c r="V608" s="31" t="n"/>
      <c r="W608" s="31" t="n"/>
      <c r="X608" s="31" t="n"/>
      <c r="Y608" s="31" t="n"/>
      <c r="Z608" s="31" t="n"/>
      <c r="AA608" s="31" t="n"/>
    </row>
    <row r="609" ht="14.25" customHeight="1">
      <c r="A609" s="31" t="n"/>
      <c r="D609" s="161" t="n"/>
      <c r="E609" s="161" t="n"/>
      <c r="P609" s="31" t="n"/>
      <c r="Q609" s="31" t="n"/>
      <c r="R609" s="31" t="n"/>
      <c r="S609" s="31" t="n"/>
      <c r="T609" s="31" t="n"/>
      <c r="U609" s="31" t="n"/>
      <c r="V609" s="31" t="n"/>
      <c r="W609" s="31" t="n"/>
      <c r="X609" s="31" t="n"/>
      <c r="Y609" s="31" t="n"/>
      <c r="Z609" s="31" t="n"/>
      <c r="AA609" s="31" t="n"/>
    </row>
    <row r="610" ht="14.25" customHeight="1">
      <c r="A610" s="31" t="n"/>
      <c r="D610" s="161" t="n"/>
      <c r="E610" s="161" t="n"/>
      <c r="P610" s="31" t="n"/>
      <c r="Q610" s="31" t="n"/>
      <c r="R610" s="31" t="n"/>
      <c r="S610" s="31" t="n"/>
      <c r="T610" s="31" t="n"/>
      <c r="U610" s="31" t="n"/>
      <c r="V610" s="31" t="n"/>
      <c r="W610" s="31" t="n"/>
      <c r="X610" s="31" t="n"/>
      <c r="Y610" s="31" t="n"/>
      <c r="Z610" s="31" t="n"/>
      <c r="AA610" s="31" t="n"/>
    </row>
    <row r="611" ht="14.25" customHeight="1">
      <c r="A611" s="31" t="n"/>
      <c r="D611" s="161" t="n"/>
      <c r="E611" s="161" t="n"/>
      <c r="P611" s="31" t="n"/>
      <c r="Q611" s="31" t="n"/>
      <c r="R611" s="31" t="n"/>
      <c r="S611" s="31" t="n"/>
      <c r="T611" s="31" t="n"/>
      <c r="U611" s="31" t="n"/>
      <c r="V611" s="31" t="n"/>
      <c r="W611" s="31" t="n"/>
      <c r="X611" s="31" t="n"/>
      <c r="Y611" s="31" t="n"/>
      <c r="Z611" s="31" t="n"/>
      <c r="AA611" s="31" t="n"/>
    </row>
    <row r="612" ht="14.25" customHeight="1">
      <c r="A612" s="31" t="n"/>
      <c r="D612" s="161" t="n"/>
      <c r="E612" s="161" t="n"/>
      <c r="P612" s="31" t="n"/>
      <c r="Q612" s="31" t="n"/>
      <c r="R612" s="31" t="n"/>
      <c r="S612" s="31" t="n"/>
      <c r="T612" s="31" t="n"/>
      <c r="U612" s="31" t="n"/>
      <c r="V612" s="31" t="n"/>
      <c r="W612" s="31" t="n"/>
      <c r="X612" s="31" t="n"/>
      <c r="Y612" s="31" t="n"/>
      <c r="Z612" s="31" t="n"/>
      <c r="AA612" s="31" t="n"/>
    </row>
    <row r="613" ht="14.25" customHeight="1">
      <c r="A613" s="31" t="n"/>
      <c r="D613" s="161" t="n"/>
      <c r="E613" s="161" t="n"/>
      <c r="P613" s="31" t="n"/>
      <c r="Q613" s="31" t="n"/>
      <c r="R613" s="31" t="n"/>
      <c r="S613" s="31" t="n"/>
      <c r="T613" s="31" t="n"/>
      <c r="U613" s="31" t="n"/>
      <c r="V613" s="31" t="n"/>
      <c r="W613" s="31" t="n"/>
      <c r="X613" s="31" t="n"/>
      <c r="Y613" s="31" t="n"/>
      <c r="Z613" s="31" t="n"/>
      <c r="AA613" s="31" t="n"/>
    </row>
    <row r="614" ht="14.25" customHeight="1">
      <c r="A614" s="31" t="n"/>
      <c r="D614" s="161" t="n"/>
      <c r="E614" s="161" t="n"/>
      <c r="P614" s="31" t="n"/>
      <c r="Q614" s="31" t="n"/>
      <c r="R614" s="31" t="n"/>
      <c r="S614" s="31" t="n"/>
      <c r="T614" s="31" t="n"/>
      <c r="U614" s="31" t="n"/>
      <c r="V614" s="31" t="n"/>
      <c r="W614" s="31" t="n"/>
      <c r="X614" s="31" t="n"/>
      <c r="Y614" s="31" t="n"/>
      <c r="Z614" s="31" t="n"/>
      <c r="AA614" s="31" t="n"/>
    </row>
    <row r="615" ht="14.25" customHeight="1">
      <c r="A615" s="31" t="n"/>
      <c r="D615" s="161" t="n"/>
      <c r="E615" s="161" t="n"/>
      <c r="P615" s="31" t="n"/>
      <c r="Q615" s="31" t="n"/>
      <c r="R615" s="31" t="n"/>
      <c r="S615" s="31" t="n"/>
      <c r="T615" s="31" t="n"/>
      <c r="U615" s="31" t="n"/>
      <c r="V615" s="31" t="n"/>
      <c r="W615" s="31" t="n"/>
      <c r="X615" s="31" t="n"/>
      <c r="Y615" s="31" t="n"/>
      <c r="Z615" s="31" t="n"/>
      <c r="AA615" s="31" t="n"/>
    </row>
    <row r="616" ht="14.25" customHeight="1">
      <c r="A616" s="31" t="n"/>
      <c r="D616" s="161" t="n"/>
      <c r="E616" s="161" t="n"/>
      <c r="P616" s="31" t="n"/>
      <c r="Q616" s="31" t="n"/>
      <c r="R616" s="31" t="n"/>
      <c r="S616" s="31" t="n"/>
      <c r="T616" s="31" t="n"/>
      <c r="U616" s="31" t="n"/>
      <c r="V616" s="31" t="n"/>
      <c r="W616" s="31" t="n"/>
      <c r="X616" s="31" t="n"/>
      <c r="Y616" s="31" t="n"/>
      <c r="Z616" s="31" t="n"/>
      <c r="AA616" s="31" t="n"/>
    </row>
    <row r="617" ht="14.25" customHeight="1">
      <c r="A617" s="31" t="n"/>
      <c r="D617" s="161" t="n"/>
      <c r="E617" s="161" t="n"/>
      <c r="P617" s="31" t="n"/>
      <c r="Q617" s="31" t="n"/>
      <c r="R617" s="31" t="n"/>
      <c r="S617" s="31" t="n"/>
      <c r="T617" s="31" t="n"/>
      <c r="U617" s="31" t="n"/>
      <c r="V617" s="31" t="n"/>
      <c r="W617" s="31" t="n"/>
      <c r="X617" s="31" t="n"/>
      <c r="Y617" s="31" t="n"/>
      <c r="Z617" s="31" t="n"/>
      <c r="AA617" s="31" t="n"/>
    </row>
    <row r="618" ht="14.25" customHeight="1">
      <c r="A618" s="31" t="n"/>
      <c r="D618" s="161" t="n"/>
      <c r="E618" s="161" t="n"/>
      <c r="P618" s="31" t="n"/>
      <c r="Q618" s="31" t="n"/>
      <c r="R618" s="31" t="n"/>
      <c r="S618" s="31" t="n"/>
      <c r="T618" s="31" t="n"/>
      <c r="U618" s="31" t="n"/>
      <c r="V618" s="31" t="n"/>
      <c r="W618" s="31" t="n"/>
      <c r="X618" s="31" t="n"/>
      <c r="Y618" s="31" t="n"/>
      <c r="Z618" s="31" t="n"/>
      <c r="AA618" s="31" t="n"/>
    </row>
    <row r="619" ht="14.25" customHeight="1">
      <c r="A619" s="31" t="n"/>
      <c r="D619" s="161" t="n"/>
      <c r="E619" s="161" t="n"/>
      <c r="P619" s="31" t="n"/>
      <c r="Q619" s="31" t="n"/>
      <c r="R619" s="31" t="n"/>
      <c r="S619" s="31" t="n"/>
      <c r="T619" s="31" t="n"/>
      <c r="U619" s="31" t="n"/>
      <c r="V619" s="31" t="n"/>
      <c r="W619" s="31" t="n"/>
      <c r="X619" s="31" t="n"/>
      <c r="Y619" s="31" t="n"/>
      <c r="Z619" s="31" t="n"/>
      <c r="AA619" s="31" t="n"/>
    </row>
    <row r="620" ht="14.25" customHeight="1">
      <c r="A620" s="31" t="n"/>
      <c r="D620" s="161" t="n"/>
      <c r="E620" s="161" t="n"/>
      <c r="P620" s="31" t="n"/>
      <c r="Q620" s="31" t="n"/>
      <c r="R620" s="31" t="n"/>
      <c r="S620" s="31" t="n"/>
      <c r="T620" s="31" t="n"/>
      <c r="U620" s="31" t="n"/>
      <c r="V620" s="31" t="n"/>
      <c r="W620" s="31" t="n"/>
      <c r="X620" s="31" t="n"/>
      <c r="Y620" s="31" t="n"/>
      <c r="Z620" s="31" t="n"/>
      <c r="AA620" s="31" t="n"/>
    </row>
    <row r="621" ht="14.25" customHeight="1">
      <c r="A621" s="31" t="n"/>
      <c r="D621" s="161" t="n"/>
      <c r="E621" s="161" t="n"/>
      <c r="P621" s="31" t="n"/>
      <c r="Q621" s="31" t="n"/>
      <c r="R621" s="31" t="n"/>
      <c r="S621" s="31" t="n"/>
      <c r="T621" s="31" t="n"/>
      <c r="U621" s="31" t="n"/>
      <c r="V621" s="31" t="n"/>
      <c r="W621" s="31" t="n"/>
      <c r="X621" s="31" t="n"/>
      <c r="Y621" s="31" t="n"/>
      <c r="Z621" s="31" t="n"/>
      <c r="AA621" s="31" t="n"/>
    </row>
    <row r="622" ht="14.25" customHeight="1">
      <c r="A622" s="31" t="n"/>
      <c r="D622" s="161" t="n"/>
      <c r="E622" s="161" t="n"/>
      <c r="P622" s="31" t="n"/>
      <c r="Q622" s="31" t="n"/>
      <c r="R622" s="31" t="n"/>
      <c r="S622" s="31" t="n"/>
      <c r="T622" s="31" t="n"/>
      <c r="U622" s="31" t="n"/>
      <c r="V622" s="31" t="n"/>
      <c r="W622" s="31" t="n"/>
      <c r="X622" s="31" t="n"/>
      <c r="Y622" s="31" t="n"/>
      <c r="Z622" s="31" t="n"/>
      <c r="AA622" s="31" t="n"/>
    </row>
    <row r="623" ht="14.25" customHeight="1">
      <c r="A623" s="31" t="n"/>
      <c r="D623" s="161" t="n"/>
      <c r="E623" s="161" t="n"/>
      <c r="P623" s="31" t="n"/>
      <c r="Q623" s="31" t="n"/>
      <c r="R623" s="31" t="n"/>
      <c r="S623" s="31" t="n"/>
      <c r="T623" s="31" t="n"/>
      <c r="U623" s="31" t="n"/>
      <c r="V623" s="31" t="n"/>
      <c r="W623" s="31" t="n"/>
      <c r="X623" s="31" t="n"/>
      <c r="Y623" s="31" t="n"/>
      <c r="Z623" s="31" t="n"/>
      <c r="AA623" s="31" t="n"/>
    </row>
    <row r="624" ht="14.25" customHeight="1">
      <c r="A624" s="31" t="n"/>
      <c r="D624" s="161" t="n"/>
      <c r="E624" s="161" t="n"/>
      <c r="P624" s="31" t="n"/>
      <c r="Q624" s="31" t="n"/>
      <c r="R624" s="31" t="n"/>
      <c r="S624" s="31" t="n"/>
      <c r="T624" s="31" t="n"/>
      <c r="U624" s="31" t="n"/>
      <c r="V624" s="31" t="n"/>
      <c r="W624" s="31" t="n"/>
      <c r="X624" s="31" t="n"/>
      <c r="Y624" s="31" t="n"/>
      <c r="Z624" s="31" t="n"/>
      <c r="AA624" s="31" t="n"/>
    </row>
    <row r="625" ht="14.25" customHeight="1">
      <c r="A625" s="31" t="n"/>
      <c r="D625" s="161" t="n"/>
      <c r="E625" s="161" t="n"/>
      <c r="P625" s="31" t="n"/>
      <c r="Q625" s="31" t="n"/>
      <c r="R625" s="31" t="n"/>
      <c r="S625" s="31" t="n"/>
      <c r="T625" s="31" t="n"/>
      <c r="U625" s="31" t="n"/>
      <c r="V625" s="31" t="n"/>
      <c r="W625" s="31" t="n"/>
      <c r="X625" s="31" t="n"/>
      <c r="Y625" s="31" t="n"/>
      <c r="Z625" s="31" t="n"/>
      <c r="AA625" s="31" t="n"/>
    </row>
    <row r="626" ht="14.25" customHeight="1">
      <c r="A626" s="31" t="n"/>
      <c r="D626" s="161" t="n"/>
      <c r="E626" s="161" t="n"/>
      <c r="P626" s="31" t="n"/>
      <c r="Q626" s="31" t="n"/>
      <c r="R626" s="31" t="n"/>
      <c r="S626" s="31" t="n"/>
      <c r="T626" s="31" t="n"/>
      <c r="U626" s="31" t="n"/>
      <c r="V626" s="31" t="n"/>
      <c r="W626" s="31" t="n"/>
      <c r="X626" s="31" t="n"/>
      <c r="Y626" s="31" t="n"/>
      <c r="Z626" s="31" t="n"/>
      <c r="AA626" s="31" t="n"/>
    </row>
    <row r="627" ht="14.25" customHeight="1">
      <c r="A627" s="31" t="n"/>
      <c r="D627" s="161" t="n"/>
      <c r="E627" s="161" t="n"/>
      <c r="P627" s="31" t="n"/>
      <c r="Q627" s="31" t="n"/>
      <c r="R627" s="31" t="n"/>
      <c r="S627" s="31" t="n"/>
      <c r="T627" s="31" t="n"/>
      <c r="U627" s="31" t="n"/>
      <c r="V627" s="31" t="n"/>
      <c r="W627" s="31" t="n"/>
      <c r="X627" s="31" t="n"/>
      <c r="Y627" s="31" t="n"/>
      <c r="Z627" s="31" t="n"/>
      <c r="AA627" s="31" t="n"/>
    </row>
    <row r="628" ht="14.25" customHeight="1">
      <c r="A628" s="31" t="n"/>
      <c r="D628" s="161" t="n"/>
      <c r="E628" s="161" t="n"/>
      <c r="P628" s="31" t="n"/>
      <c r="Q628" s="31" t="n"/>
      <c r="R628" s="31" t="n"/>
      <c r="S628" s="31" t="n"/>
      <c r="T628" s="31" t="n"/>
      <c r="U628" s="31" t="n"/>
      <c r="V628" s="31" t="n"/>
      <c r="W628" s="31" t="n"/>
      <c r="X628" s="31" t="n"/>
      <c r="Y628" s="31" t="n"/>
      <c r="Z628" s="31" t="n"/>
      <c r="AA628" s="31" t="n"/>
    </row>
    <row r="629" ht="14.25" customHeight="1">
      <c r="A629" s="31" t="n"/>
      <c r="D629" s="161" t="n"/>
      <c r="E629" s="161" t="n"/>
      <c r="P629" s="31" t="n"/>
      <c r="Q629" s="31" t="n"/>
      <c r="R629" s="31" t="n"/>
      <c r="S629" s="31" t="n"/>
      <c r="T629" s="31" t="n"/>
      <c r="U629" s="31" t="n"/>
      <c r="V629" s="31" t="n"/>
      <c r="W629" s="31" t="n"/>
      <c r="X629" s="31" t="n"/>
      <c r="Y629" s="31" t="n"/>
      <c r="Z629" s="31" t="n"/>
      <c r="AA629" s="31" t="n"/>
    </row>
    <row r="630" ht="14.25" customHeight="1">
      <c r="A630" s="31" t="n"/>
      <c r="D630" s="161" t="n"/>
      <c r="E630" s="161" t="n"/>
      <c r="P630" s="31" t="n"/>
      <c r="Q630" s="31" t="n"/>
      <c r="R630" s="31" t="n"/>
      <c r="S630" s="31" t="n"/>
      <c r="T630" s="31" t="n"/>
      <c r="U630" s="31" t="n"/>
      <c r="V630" s="31" t="n"/>
      <c r="W630" s="31" t="n"/>
      <c r="X630" s="31" t="n"/>
      <c r="Y630" s="31" t="n"/>
      <c r="Z630" s="31" t="n"/>
      <c r="AA630" s="31" t="n"/>
    </row>
    <row r="631" ht="14.25" customHeight="1">
      <c r="A631" s="31" t="n"/>
      <c r="D631" s="161" t="n"/>
      <c r="E631" s="161" t="n"/>
      <c r="P631" s="31" t="n"/>
      <c r="Q631" s="31" t="n"/>
      <c r="R631" s="31" t="n"/>
      <c r="S631" s="31" t="n"/>
      <c r="T631" s="31" t="n"/>
      <c r="U631" s="31" t="n"/>
      <c r="V631" s="31" t="n"/>
      <c r="W631" s="31" t="n"/>
      <c r="X631" s="31" t="n"/>
      <c r="Y631" s="31" t="n"/>
      <c r="Z631" s="31" t="n"/>
      <c r="AA631" s="31" t="n"/>
    </row>
    <row r="632" ht="14.25" customHeight="1">
      <c r="A632" s="31" t="n"/>
      <c r="D632" s="161" t="n"/>
      <c r="E632" s="161" t="n"/>
      <c r="P632" s="31" t="n"/>
      <c r="Q632" s="31" t="n"/>
      <c r="R632" s="31" t="n"/>
      <c r="S632" s="31" t="n"/>
      <c r="T632" s="31" t="n"/>
      <c r="U632" s="31" t="n"/>
      <c r="V632" s="31" t="n"/>
      <c r="W632" s="31" t="n"/>
      <c r="X632" s="31" t="n"/>
      <c r="Y632" s="31" t="n"/>
      <c r="Z632" s="31" t="n"/>
      <c r="AA632" s="31" t="n"/>
    </row>
    <row r="633" ht="14.25" customHeight="1">
      <c r="A633" s="31" t="n"/>
      <c r="D633" s="161" t="n"/>
      <c r="E633" s="161" t="n"/>
      <c r="P633" s="31" t="n"/>
      <c r="Q633" s="31" t="n"/>
      <c r="R633" s="31" t="n"/>
      <c r="S633" s="31" t="n"/>
      <c r="T633" s="31" t="n"/>
      <c r="U633" s="31" t="n"/>
      <c r="V633" s="31" t="n"/>
      <c r="W633" s="31" t="n"/>
      <c r="X633" s="31" t="n"/>
      <c r="Y633" s="31" t="n"/>
      <c r="Z633" s="31" t="n"/>
      <c r="AA633" s="31" t="n"/>
    </row>
    <row r="634" ht="14.25" customHeight="1">
      <c r="A634" s="31" t="n"/>
      <c r="D634" s="161" t="n"/>
      <c r="E634" s="161" t="n"/>
      <c r="P634" s="31" t="n"/>
      <c r="Q634" s="31" t="n"/>
      <c r="R634" s="31" t="n"/>
      <c r="S634" s="31" t="n"/>
      <c r="T634" s="31" t="n"/>
      <c r="U634" s="31" t="n"/>
      <c r="V634" s="31" t="n"/>
      <c r="W634" s="31" t="n"/>
      <c r="X634" s="31" t="n"/>
      <c r="Y634" s="31" t="n"/>
      <c r="Z634" s="31" t="n"/>
      <c r="AA634" s="31" t="n"/>
    </row>
    <row r="635" ht="14.25" customHeight="1">
      <c r="A635" s="31" t="n"/>
      <c r="D635" s="161" t="n"/>
      <c r="E635" s="161" t="n"/>
      <c r="P635" s="31" t="n"/>
      <c r="Q635" s="31" t="n"/>
      <c r="R635" s="31" t="n"/>
      <c r="S635" s="31" t="n"/>
      <c r="T635" s="31" t="n"/>
      <c r="U635" s="31" t="n"/>
      <c r="V635" s="31" t="n"/>
      <c r="W635" s="31" t="n"/>
      <c r="X635" s="31" t="n"/>
      <c r="Y635" s="31" t="n"/>
      <c r="Z635" s="31" t="n"/>
      <c r="AA635" s="31" t="n"/>
    </row>
    <row r="636" ht="14.25" customHeight="1">
      <c r="A636" s="31" t="n"/>
      <c r="D636" s="161" t="n"/>
      <c r="E636" s="161" t="n"/>
      <c r="P636" s="31" t="n"/>
      <c r="Q636" s="31" t="n"/>
      <c r="R636" s="31" t="n"/>
      <c r="S636" s="31" t="n"/>
      <c r="T636" s="31" t="n"/>
      <c r="U636" s="31" t="n"/>
      <c r="V636" s="31" t="n"/>
      <c r="W636" s="31" t="n"/>
      <c r="X636" s="31" t="n"/>
      <c r="Y636" s="31" t="n"/>
      <c r="Z636" s="31" t="n"/>
      <c r="AA636" s="31" t="n"/>
    </row>
    <row r="637" ht="14.25" customHeight="1">
      <c r="A637" s="31" t="n"/>
      <c r="D637" s="161" t="n"/>
      <c r="E637" s="161" t="n"/>
      <c r="P637" s="31" t="n"/>
      <c r="Q637" s="31" t="n"/>
      <c r="R637" s="31" t="n"/>
      <c r="S637" s="31" t="n"/>
      <c r="T637" s="31" t="n"/>
      <c r="U637" s="31" t="n"/>
      <c r="V637" s="31" t="n"/>
      <c r="W637" s="31" t="n"/>
      <c r="X637" s="31" t="n"/>
      <c r="Y637" s="31" t="n"/>
      <c r="Z637" s="31" t="n"/>
      <c r="AA637" s="31" t="n"/>
    </row>
    <row r="638" ht="14.25" customHeight="1">
      <c r="A638" s="31" t="n"/>
      <c r="D638" s="161" t="n"/>
      <c r="E638" s="161" t="n"/>
      <c r="P638" s="31" t="n"/>
      <c r="Q638" s="31" t="n"/>
      <c r="R638" s="31" t="n"/>
      <c r="S638" s="31" t="n"/>
      <c r="T638" s="31" t="n"/>
      <c r="U638" s="31" t="n"/>
      <c r="V638" s="31" t="n"/>
      <c r="W638" s="31" t="n"/>
      <c r="X638" s="31" t="n"/>
      <c r="Y638" s="31" t="n"/>
      <c r="Z638" s="31" t="n"/>
      <c r="AA638" s="31" t="n"/>
    </row>
    <row r="639" ht="14.25" customHeight="1">
      <c r="A639" s="31" t="n"/>
      <c r="D639" s="161" t="n"/>
      <c r="E639" s="161" t="n"/>
      <c r="P639" s="31" t="n"/>
      <c r="Q639" s="31" t="n"/>
      <c r="R639" s="31" t="n"/>
      <c r="S639" s="31" t="n"/>
      <c r="T639" s="31" t="n"/>
      <c r="U639" s="31" t="n"/>
      <c r="V639" s="31" t="n"/>
      <c r="W639" s="31" t="n"/>
      <c r="X639" s="31" t="n"/>
      <c r="Y639" s="31" t="n"/>
      <c r="Z639" s="31" t="n"/>
      <c r="AA639" s="31" t="n"/>
    </row>
    <row r="640" ht="14.25" customHeight="1">
      <c r="A640" s="31" t="n"/>
      <c r="D640" s="161" t="n"/>
      <c r="E640" s="161" t="n"/>
      <c r="P640" s="31" t="n"/>
      <c r="Q640" s="31" t="n"/>
      <c r="R640" s="31" t="n"/>
      <c r="S640" s="31" t="n"/>
      <c r="T640" s="31" t="n"/>
      <c r="U640" s="31" t="n"/>
      <c r="V640" s="31" t="n"/>
      <c r="W640" s="31" t="n"/>
      <c r="X640" s="31" t="n"/>
      <c r="Y640" s="31" t="n"/>
      <c r="Z640" s="31" t="n"/>
      <c r="AA640" s="31" t="n"/>
    </row>
    <row r="641" ht="14.25" customHeight="1">
      <c r="A641" s="31" t="n"/>
      <c r="D641" s="161" t="n"/>
      <c r="E641" s="161" t="n"/>
      <c r="P641" s="31" t="n"/>
      <c r="Q641" s="31" t="n"/>
      <c r="R641" s="31" t="n"/>
      <c r="S641" s="31" t="n"/>
      <c r="T641" s="31" t="n"/>
      <c r="U641" s="31" t="n"/>
      <c r="V641" s="31" t="n"/>
      <c r="W641" s="31" t="n"/>
      <c r="X641" s="31" t="n"/>
      <c r="Y641" s="31" t="n"/>
      <c r="Z641" s="31" t="n"/>
      <c r="AA641" s="31" t="n"/>
    </row>
    <row r="642" ht="14.25" customHeight="1">
      <c r="A642" s="31" t="n"/>
      <c r="D642" s="161" t="n"/>
      <c r="E642" s="161" t="n"/>
      <c r="P642" s="31" t="n"/>
      <c r="Q642" s="31" t="n"/>
      <c r="R642" s="31" t="n"/>
      <c r="S642" s="31" t="n"/>
      <c r="T642" s="31" t="n"/>
      <c r="U642" s="31" t="n"/>
      <c r="V642" s="31" t="n"/>
      <c r="W642" s="31" t="n"/>
      <c r="X642" s="31" t="n"/>
      <c r="Y642" s="31" t="n"/>
      <c r="Z642" s="31" t="n"/>
      <c r="AA642" s="31" t="n"/>
    </row>
    <row r="643" ht="14.25" customHeight="1">
      <c r="A643" s="31" t="n"/>
      <c r="D643" s="161" t="n"/>
      <c r="E643" s="161" t="n"/>
      <c r="P643" s="31" t="n"/>
      <c r="Q643" s="31" t="n"/>
      <c r="R643" s="31" t="n"/>
      <c r="S643" s="31" t="n"/>
      <c r="T643" s="31" t="n"/>
      <c r="U643" s="31" t="n"/>
      <c r="V643" s="31" t="n"/>
      <c r="W643" s="31" t="n"/>
      <c r="X643" s="31" t="n"/>
      <c r="Y643" s="31" t="n"/>
      <c r="Z643" s="31" t="n"/>
      <c r="AA643" s="31" t="n"/>
    </row>
    <row r="644" ht="14.25" customHeight="1">
      <c r="A644" s="31" t="n"/>
      <c r="D644" s="161" t="n"/>
      <c r="E644" s="161" t="n"/>
      <c r="P644" s="31" t="n"/>
      <c r="Q644" s="31" t="n"/>
      <c r="R644" s="31" t="n"/>
      <c r="S644" s="31" t="n"/>
      <c r="T644" s="31" t="n"/>
      <c r="U644" s="31" t="n"/>
      <c r="V644" s="31" t="n"/>
      <c r="W644" s="31" t="n"/>
      <c r="X644" s="31" t="n"/>
      <c r="Y644" s="31" t="n"/>
      <c r="Z644" s="31" t="n"/>
      <c r="AA644" s="31" t="n"/>
    </row>
    <row r="645" ht="14.25" customHeight="1">
      <c r="A645" s="31" t="n"/>
      <c r="D645" s="161" t="n"/>
      <c r="E645" s="161" t="n"/>
      <c r="P645" s="31" t="n"/>
      <c r="Q645" s="31" t="n"/>
      <c r="R645" s="31" t="n"/>
      <c r="S645" s="31" t="n"/>
      <c r="T645" s="31" t="n"/>
      <c r="U645" s="31" t="n"/>
      <c r="V645" s="31" t="n"/>
      <c r="W645" s="31" t="n"/>
      <c r="X645" s="31" t="n"/>
      <c r="Y645" s="31" t="n"/>
      <c r="Z645" s="31" t="n"/>
      <c r="AA645" s="31" t="n"/>
    </row>
    <row r="646" ht="14.25" customHeight="1">
      <c r="A646" s="31" t="n"/>
      <c r="D646" s="161" t="n"/>
      <c r="E646" s="161" t="n"/>
      <c r="P646" s="31" t="n"/>
      <c r="Q646" s="31" t="n"/>
      <c r="R646" s="31" t="n"/>
      <c r="S646" s="31" t="n"/>
      <c r="T646" s="31" t="n"/>
      <c r="U646" s="31" t="n"/>
      <c r="V646" s="31" t="n"/>
      <c r="W646" s="31" t="n"/>
      <c r="X646" s="31" t="n"/>
      <c r="Y646" s="31" t="n"/>
      <c r="Z646" s="31" t="n"/>
      <c r="AA646" s="31" t="n"/>
    </row>
    <row r="647" ht="14.25" customHeight="1">
      <c r="A647" s="31" t="n"/>
      <c r="D647" s="161" t="n"/>
      <c r="E647" s="161" t="n"/>
      <c r="P647" s="31" t="n"/>
      <c r="Q647" s="31" t="n"/>
      <c r="R647" s="31" t="n"/>
      <c r="S647" s="31" t="n"/>
      <c r="T647" s="31" t="n"/>
      <c r="U647" s="31" t="n"/>
      <c r="V647" s="31" t="n"/>
      <c r="W647" s="31" t="n"/>
      <c r="X647" s="31" t="n"/>
      <c r="Y647" s="31" t="n"/>
      <c r="Z647" s="31" t="n"/>
      <c r="AA647" s="31" t="n"/>
    </row>
    <row r="648" ht="14.25" customHeight="1">
      <c r="A648" s="31" t="n"/>
      <c r="D648" s="161" t="n"/>
      <c r="E648" s="161" t="n"/>
      <c r="P648" s="31" t="n"/>
      <c r="Q648" s="31" t="n"/>
      <c r="R648" s="31" t="n"/>
      <c r="S648" s="31" t="n"/>
      <c r="T648" s="31" t="n"/>
      <c r="U648" s="31" t="n"/>
      <c r="V648" s="31" t="n"/>
      <c r="W648" s="31" t="n"/>
      <c r="X648" s="31" t="n"/>
      <c r="Y648" s="31" t="n"/>
      <c r="Z648" s="31" t="n"/>
      <c r="AA648" s="31" t="n"/>
    </row>
    <row r="649" ht="14.25" customHeight="1">
      <c r="A649" s="31" t="n"/>
      <c r="D649" s="161" t="n"/>
      <c r="E649" s="161" t="n"/>
      <c r="P649" s="31" t="n"/>
      <c r="Q649" s="31" t="n"/>
      <c r="R649" s="31" t="n"/>
      <c r="S649" s="31" t="n"/>
      <c r="T649" s="31" t="n"/>
      <c r="U649" s="31" t="n"/>
      <c r="V649" s="31" t="n"/>
      <c r="W649" s="31" t="n"/>
      <c r="X649" s="31" t="n"/>
      <c r="Y649" s="31" t="n"/>
      <c r="Z649" s="31" t="n"/>
      <c r="AA649" s="31" t="n"/>
    </row>
    <row r="650" ht="14.25" customHeight="1">
      <c r="A650" s="31" t="n"/>
      <c r="D650" s="161" t="n"/>
      <c r="E650" s="161" t="n"/>
      <c r="P650" s="31" t="n"/>
      <c r="Q650" s="31" t="n"/>
      <c r="R650" s="31" t="n"/>
      <c r="S650" s="31" t="n"/>
      <c r="T650" s="31" t="n"/>
      <c r="U650" s="31" t="n"/>
      <c r="V650" s="31" t="n"/>
      <c r="W650" s="31" t="n"/>
      <c r="X650" s="31" t="n"/>
      <c r="Y650" s="31" t="n"/>
      <c r="Z650" s="31" t="n"/>
      <c r="AA650" s="31" t="n"/>
    </row>
    <row r="651" ht="14.25" customHeight="1">
      <c r="A651" s="31" t="n"/>
      <c r="D651" s="161" t="n"/>
      <c r="E651" s="161" t="n"/>
      <c r="P651" s="31" t="n"/>
      <c r="Q651" s="31" t="n"/>
      <c r="R651" s="31" t="n"/>
      <c r="S651" s="31" t="n"/>
      <c r="T651" s="31" t="n"/>
      <c r="U651" s="31" t="n"/>
      <c r="V651" s="31" t="n"/>
      <c r="W651" s="31" t="n"/>
      <c r="X651" s="31" t="n"/>
      <c r="Y651" s="31" t="n"/>
      <c r="Z651" s="31" t="n"/>
      <c r="AA651" s="31" t="n"/>
    </row>
    <row r="652" ht="14.25" customHeight="1">
      <c r="A652" s="31" t="n"/>
      <c r="D652" s="161" t="n"/>
      <c r="E652" s="161" t="n"/>
      <c r="P652" s="31" t="n"/>
      <c r="Q652" s="31" t="n"/>
      <c r="R652" s="31" t="n"/>
      <c r="S652" s="31" t="n"/>
      <c r="T652" s="31" t="n"/>
      <c r="U652" s="31" t="n"/>
      <c r="V652" s="31" t="n"/>
      <c r="W652" s="31" t="n"/>
      <c r="X652" s="31" t="n"/>
      <c r="Y652" s="31" t="n"/>
      <c r="Z652" s="31" t="n"/>
      <c r="AA652" s="31" t="n"/>
    </row>
    <row r="653" ht="14.25" customHeight="1">
      <c r="A653" s="31" t="n"/>
      <c r="D653" s="161" t="n"/>
      <c r="E653" s="161" t="n"/>
      <c r="P653" s="31" t="n"/>
      <c r="Q653" s="31" t="n"/>
      <c r="R653" s="31" t="n"/>
      <c r="S653" s="31" t="n"/>
      <c r="T653" s="31" t="n"/>
      <c r="U653" s="31" t="n"/>
      <c r="V653" s="31" t="n"/>
      <c r="W653" s="31" t="n"/>
      <c r="X653" s="31" t="n"/>
      <c r="Y653" s="31" t="n"/>
      <c r="Z653" s="31" t="n"/>
      <c r="AA653" s="31" t="n"/>
    </row>
    <row r="654" ht="14.25" customHeight="1">
      <c r="A654" s="31" t="n"/>
      <c r="D654" s="161" t="n"/>
      <c r="E654" s="161" t="n"/>
      <c r="P654" s="31" t="n"/>
      <c r="Q654" s="31" t="n"/>
      <c r="R654" s="31" t="n"/>
      <c r="S654" s="31" t="n"/>
      <c r="T654" s="31" t="n"/>
      <c r="U654" s="31" t="n"/>
      <c r="V654" s="31" t="n"/>
      <c r="W654" s="31" t="n"/>
      <c r="X654" s="31" t="n"/>
      <c r="Y654" s="31" t="n"/>
      <c r="Z654" s="31" t="n"/>
      <c r="AA654" s="31" t="n"/>
    </row>
    <row r="655" ht="14.25" customHeight="1">
      <c r="A655" s="31" t="n"/>
      <c r="D655" s="161" t="n"/>
      <c r="E655" s="161" t="n"/>
      <c r="P655" s="31" t="n"/>
      <c r="Q655" s="31" t="n"/>
      <c r="R655" s="31" t="n"/>
      <c r="S655" s="31" t="n"/>
      <c r="T655" s="31" t="n"/>
      <c r="U655" s="31" t="n"/>
      <c r="V655" s="31" t="n"/>
      <c r="W655" s="31" t="n"/>
      <c r="X655" s="31" t="n"/>
      <c r="Y655" s="31" t="n"/>
      <c r="Z655" s="31" t="n"/>
      <c r="AA655" s="31" t="n"/>
    </row>
    <row r="656" ht="14.25" customHeight="1">
      <c r="A656" s="31" t="n"/>
      <c r="D656" s="161" t="n"/>
      <c r="E656" s="161" t="n"/>
      <c r="P656" s="31" t="n"/>
      <c r="Q656" s="31" t="n"/>
      <c r="R656" s="31" t="n"/>
      <c r="S656" s="31" t="n"/>
      <c r="T656" s="31" t="n"/>
      <c r="U656" s="31" t="n"/>
      <c r="V656" s="31" t="n"/>
      <c r="W656" s="31" t="n"/>
      <c r="X656" s="31" t="n"/>
      <c r="Y656" s="31" t="n"/>
      <c r="Z656" s="31" t="n"/>
      <c r="AA656" s="31" t="n"/>
    </row>
    <row r="657" ht="14.25" customHeight="1">
      <c r="A657" s="31" t="n"/>
      <c r="D657" s="161" t="n"/>
      <c r="E657" s="161" t="n"/>
      <c r="P657" s="31" t="n"/>
      <c r="Q657" s="31" t="n"/>
      <c r="R657" s="31" t="n"/>
      <c r="S657" s="31" t="n"/>
      <c r="T657" s="31" t="n"/>
      <c r="U657" s="31" t="n"/>
      <c r="V657" s="31" t="n"/>
      <c r="W657" s="31" t="n"/>
      <c r="X657" s="31" t="n"/>
      <c r="Y657" s="31" t="n"/>
      <c r="Z657" s="31" t="n"/>
      <c r="AA657" s="31" t="n"/>
    </row>
    <row r="658" ht="14.25" customHeight="1">
      <c r="A658" s="31" t="n"/>
      <c r="D658" s="161" t="n"/>
      <c r="E658" s="161" t="n"/>
      <c r="P658" s="31" t="n"/>
      <c r="Q658" s="31" t="n"/>
      <c r="R658" s="31" t="n"/>
      <c r="S658" s="31" t="n"/>
      <c r="T658" s="31" t="n"/>
      <c r="U658" s="31" t="n"/>
      <c r="V658" s="31" t="n"/>
      <c r="W658" s="31" t="n"/>
      <c r="X658" s="31" t="n"/>
      <c r="Y658" s="31" t="n"/>
      <c r="Z658" s="31" t="n"/>
      <c r="AA658" s="31" t="n"/>
    </row>
    <row r="659" ht="14.25" customHeight="1">
      <c r="A659" s="31" t="n"/>
      <c r="D659" s="161" t="n"/>
      <c r="E659" s="161" t="n"/>
      <c r="P659" s="31" t="n"/>
      <c r="Q659" s="31" t="n"/>
      <c r="R659" s="31" t="n"/>
      <c r="S659" s="31" t="n"/>
      <c r="T659" s="31" t="n"/>
      <c r="U659" s="31" t="n"/>
      <c r="V659" s="31" t="n"/>
      <c r="W659" s="31" t="n"/>
      <c r="X659" s="31" t="n"/>
      <c r="Y659" s="31" t="n"/>
      <c r="Z659" s="31" t="n"/>
      <c r="AA659" s="31" t="n"/>
    </row>
    <row r="660" ht="14.25" customHeight="1">
      <c r="A660" s="31" t="n"/>
      <c r="D660" s="161" t="n"/>
      <c r="E660" s="161" t="n"/>
      <c r="P660" s="31" t="n"/>
      <c r="Q660" s="31" t="n"/>
      <c r="R660" s="31" t="n"/>
      <c r="S660" s="31" t="n"/>
      <c r="T660" s="31" t="n"/>
      <c r="U660" s="31" t="n"/>
      <c r="V660" s="31" t="n"/>
      <c r="W660" s="31" t="n"/>
      <c r="X660" s="31" t="n"/>
      <c r="Y660" s="31" t="n"/>
      <c r="Z660" s="31" t="n"/>
      <c r="AA660" s="31" t="n"/>
    </row>
    <row r="661" ht="14.25" customHeight="1">
      <c r="A661" s="31" t="n"/>
      <c r="D661" s="161" t="n"/>
      <c r="E661" s="161" t="n"/>
      <c r="P661" s="31" t="n"/>
      <c r="Q661" s="31" t="n"/>
      <c r="R661" s="31" t="n"/>
      <c r="S661" s="31" t="n"/>
      <c r="T661" s="31" t="n"/>
      <c r="U661" s="31" t="n"/>
      <c r="V661" s="31" t="n"/>
      <c r="W661" s="31" t="n"/>
      <c r="X661" s="31" t="n"/>
      <c r="Y661" s="31" t="n"/>
      <c r="Z661" s="31" t="n"/>
      <c r="AA661" s="31" t="n"/>
    </row>
    <row r="662" ht="14.25" customHeight="1">
      <c r="A662" s="31" t="n"/>
      <c r="D662" s="161" t="n"/>
      <c r="E662" s="161" t="n"/>
      <c r="P662" s="31" t="n"/>
      <c r="Q662" s="31" t="n"/>
      <c r="R662" s="31" t="n"/>
      <c r="S662" s="31" t="n"/>
      <c r="T662" s="31" t="n"/>
      <c r="U662" s="31" t="n"/>
      <c r="V662" s="31" t="n"/>
      <c r="W662" s="31" t="n"/>
      <c r="X662" s="31" t="n"/>
      <c r="Y662" s="31" t="n"/>
      <c r="Z662" s="31" t="n"/>
      <c r="AA662" s="31" t="n"/>
    </row>
    <row r="663" ht="14.25" customHeight="1">
      <c r="A663" s="31" t="n"/>
      <c r="D663" s="161" t="n"/>
      <c r="E663" s="161" t="n"/>
      <c r="P663" s="31" t="n"/>
      <c r="Q663" s="31" t="n"/>
      <c r="R663" s="31" t="n"/>
      <c r="S663" s="31" t="n"/>
      <c r="T663" s="31" t="n"/>
      <c r="U663" s="31" t="n"/>
      <c r="V663" s="31" t="n"/>
      <c r="W663" s="31" t="n"/>
      <c r="X663" s="31" t="n"/>
      <c r="Y663" s="31" t="n"/>
      <c r="Z663" s="31" t="n"/>
      <c r="AA663" s="31" t="n"/>
    </row>
    <row r="664" ht="14.25" customHeight="1">
      <c r="A664" s="31" t="n"/>
      <c r="D664" s="161" t="n"/>
      <c r="E664" s="161" t="n"/>
      <c r="P664" s="31" t="n"/>
      <c r="Q664" s="31" t="n"/>
      <c r="R664" s="31" t="n"/>
      <c r="S664" s="31" t="n"/>
      <c r="T664" s="31" t="n"/>
      <c r="U664" s="31" t="n"/>
      <c r="V664" s="31" t="n"/>
      <c r="W664" s="31" t="n"/>
      <c r="X664" s="31" t="n"/>
      <c r="Y664" s="31" t="n"/>
      <c r="Z664" s="31" t="n"/>
      <c r="AA664" s="31" t="n"/>
    </row>
    <row r="665" ht="14.25" customHeight="1">
      <c r="A665" s="31" t="n"/>
      <c r="D665" s="161" t="n"/>
      <c r="E665" s="161" t="n"/>
      <c r="P665" s="31" t="n"/>
      <c r="Q665" s="31" t="n"/>
      <c r="R665" s="31" t="n"/>
      <c r="S665" s="31" t="n"/>
      <c r="T665" s="31" t="n"/>
      <c r="U665" s="31" t="n"/>
      <c r="V665" s="31" t="n"/>
      <c r="W665" s="31" t="n"/>
      <c r="X665" s="31" t="n"/>
      <c r="Y665" s="31" t="n"/>
      <c r="Z665" s="31" t="n"/>
      <c r="AA665" s="31" t="n"/>
    </row>
    <row r="666" ht="14.25" customHeight="1">
      <c r="A666" s="31" t="n"/>
      <c r="D666" s="161" t="n"/>
      <c r="E666" s="161" t="n"/>
      <c r="P666" s="31" t="n"/>
      <c r="Q666" s="31" t="n"/>
      <c r="R666" s="31" t="n"/>
      <c r="S666" s="31" t="n"/>
      <c r="T666" s="31" t="n"/>
      <c r="U666" s="31" t="n"/>
      <c r="V666" s="31" t="n"/>
      <c r="W666" s="31" t="n"/>
      <c r="X666" s="31" t="n"/>
      <c r="Y666" s="31" t="n"/>
      <c r="Z666" s="31" t="n"/>
      <c r="AA666" s="31" t="n"/>
    </row>
    <row r="667" ht="14.25" customHeight="1">
      <c r="A667" s="31" t="n"/>
      <c r="D667" s="161" t="n"/>
      <c r="E667" s="161" t="n"/>
      <c r="P667" s="31" t="n"/>
      <c r="Q667" s="31" t="n"/>
      <c r="R667" s="31" t="n"/>
      <c r="S667" s="31" t="n"/>
      <c r="T667" s="31" t="n"/>
      <c r="U667" s="31" t="n"/>
      <c r="V667" s="31" t="n"/>
      <c r="W667" s="31" t="n"/>
      <c r="X667" s="31" t="n"/>
      <c r="Y667" s="31" t="n"/>
      <c r="Z667" s="31" t="n"/>
      <c r="AA667" s="31" t="n"/>
    </row>
    <row r="668" ht="14.25" customHeight="1">
      <c r="A668" s="31" t="n"/>
      <c r="D668" s="161" t="n"/>
      <c r="E668" s="161" t="n"/>
      <c r="P668" s="31" t="n"/>
      <c r="Q668" s="31" t="n"/>
      <c r="R668" s="31" t="n"/>
      <c r="S668" s="31" t="n"/>
      <c r="T668" s="31" t="n"/>
      <c r="U668" s="31" t="n"/>
      <c r="V668" s="31" t="n"/>
      <c r="W668" s="31" t="n"/>
      <c r="X668" s="31" t="n"/>
      <c r="Y668" s="31" t="n"/>
      <c r="Z668" s="31" t="n"/>
      <c r="AA668" s="31" t="n"/>
    </row>
    <row r="669" ht="14.25" customHeight="1">
      <c r="A669" s="31" t="n"/>
      <c r="D669" s="161" t="n"/>
      <c r="E669" s="161" t="n"/>
      <c r="P669" s="31" t="n"/>
      <c r="Q669" s="31" t="n"/>
      <c r="R669" s="31" t="n"/>
      <c r="S669" s="31" t="n"/>
      <c r="T669" s="31" t="n"/>
      <c r="U669" s="31" t="n"/>
      <c r="V669" s="31" t="n"/>
      <c r="W669" s="31" t="n"/>
      <c r="X669" s="31" t="n"/>
      <c r="Y669" s="31" t="n"/>
      <c r="Z669" s="31" t="n"/>
      <c r="AA669" s="31" t="n"/>
    </row>
    <row r="670" ht="14.25" customHeight="1">
      <c r="A670" s="31" t="n"/>
      <c r="D670" s="161" t="n"/>
      <c r="E670" s="161" t="n"/>
      <c r="P670" s="31" t="n"/>
      <c r="Q670" s="31" t="n"/>
      <c r="R670" s="31" t="n"/>
      <c r="S670" s="31" t="n"/>
      <c r="T670" s="31" t="n"/>
      <c r="U670" s="31" t="n"/>
      <c r="V670" s="31" t="n"/>
      <c r="W670" s="31" t="n"/>
      <c r="X670" s="31" t="n"/>
      <c r="Y670" s="31" t="n"/>
      <c r="Z670" s="31" t="n"/>
      <c r="AA670" s="31" t="n"/>
    </row>
    <row r="671" ht="14.25" customHeight="1">
      <c r="A671" s="31" t="n"/>
      <c r="D671" s="161" t="n"/>
      <c r="E671" s="161" t="n"/>
      <c r="P671" s="31" t="n"/>
      <c r="Q671" s="31" t="n"/>
      <c r="R671" s="31" t="n"/>
      <c r="S671" s="31" t="n"/>
      <c r="T671" s="31" t="n"/>
      <c r="U671" s="31" t="n"/>
      <c r="V671" s="31" t="n"/>
      <c r="W671" s="31" t="n"/>
      <c r="X671" s="31" t="n"/>
      <c r="Y671" s="31" t="n"/>
      <c r="Z671" s="31" t="n"/>
      <c r="AA671" s="31" t="n"/>
    </row>
    <row r="672" ht="14.25" customHeight="1">
      <c r="A672" s="31" t="n"/>
      <c r="D672" s="161" t="n"/>
      <c r="E672" s="161" t="n"/>
      <c r="P672" s="31" t="n"/>
      <c r="Q672" s="31" t="n"/>
      <c r="R672" s="31" t="n"/>
      <c r="S672" s="31" t="n"/>
      <c r="T672" s="31" t="n"/>
      <c r="U672" s="31" t="n"/>
      <c r="V672" s="31" t="n"/>
      <c r="W672" s="31" t="n"/>
      <c r="X672" s="31" t="n"/>
      <c r="Y672" s="31" t="n"/>
      <c r="Z672" s="31" t="n"/>
      <c r="AA672" s="31" t="n"/>
    </row>
    <row r="673" ht="14.25" customHeight="1">
      <c r="A673" s="31" t="n"/>
      <c r="D673" s="161" t="n"/>
      <c r="E673" s="161" t="n"/>
      <c r="P673" s="31" t="n"/>
      <c r="Q673" s="31" t="n"/>
      <c r="R673" s="31" t="n"/>
      <c r="S673" s="31" t="n"/>
      <c r="T673" s="31" t="n"/>
      <c r="U673" s="31" t="n"/>
      <c r="V673" s="31" t="n"/>
      <c r="W673" s="31" t="n"/>
      <c r="X673" s="31" t="n"/>
      <c r="Y673" s="31" t="n"/>
      <c r="Z673" s="31" t="n"/>
      <c r="AA673" s="31" t="n"/>
    </row>
    <row r="674" ht="14.25" customHeight="1">
      <c r="A674" s="31" t="n"/>
      <c r="D674" s="161" t="n"/>
      <c r="E674" s="161" t="n"/>
      <c r="P674" s="31" t="n"/>
      <c r="Q674" s="31" t="n"/>
      <c r="R674" s="31" t="n"/>
      <c r="S674" s="31" t="n"/>
      <c r="T674" s="31" t="n"/>
      <c r="U674" s="31" t="n"/>
      <c r="V674" s="31" t="n"/>
      <c r="W674" s="31" t="n"/>
      <c r="X674" s="31" t="n"/>
      <c r="Y674" s="31" t="n"/>
      <c r="Z674" s="31" t="n"/>
      <c r="AA674" s="31" t="n"/>
    </row>
    <row r="675" ht="14.25" customHeight="1">
      <c r="A675" s="31" t="n"/>
      <c r="D675" s="161" t="n"/>
      <c r="E675" s="161" t="n"/>
      <c r="P675" s="31" t="n"/>
      <c r="Q675" s="31" t="n"/>
      <c r="R675" s="31" t="n"/>
      <c r="S675" s="31" t="n"/>
      <c r="T675" s="31" t="n"/>
      <c r="U675" s="31" t="n"/>
      <c r="V675" s="31" t="n"/>
      <c r="W675" s="31" t="n"/>
      <c r="X675" s="31" t="n"/>
      <c r="Y675" s="31" t="n"/>
      <c r="Z675" s="31" t="n"/>
      <c r="AA675" s="31" t="n"/>
    </row>
    <row r="676" ht="14.25" customHeight="1">
      <c r="A676" s="31" t="n"/>
      <c r="D676" s="161" t="n"/>
      <c r="E676" s="161" t="n"/>
      <c r="P676" s="31" t="n"/>
      <c r="Q676" s="31" t="n"/>
      <c r="R676" s="31" t="n"/>
      <c r="S676" s="31" t="n"/>
      <c r="T676" s="31" t="n"/>
      <c r="U676" s="31" t="n"/>
      <c r="V676" s="31" t="n"/>
      <c r="W676" s="31" t="n"/>
      <c r="X676" s="31" t="n"/>
      <c r="Y676" s="31" t="n"/>
      <c r="Z676" s="31" t="n"/>
      <c r="AA676" s="31" t="n"/>
    </row>
    <row r="677" ht="14.25" customHeight="1">
      <c r="A677" s="31" t="n"/>
      <c r="D677" s="161" t="n"/>
      <c r="E677" s="161" t="n"/>
      <c r="P677" s="31" t="n"/>
      <c r="Q677" s="31" t="n"/>
      <c r="R677" s="31" t="n"/>
      <c r="S677" s="31" t="n"/>
      <c r="T677" s="31" t="n"/>
      <c r="U677" s="31" t="n"/>
      <c r="V677" s="31" t="n"/>
      <c r="W677" s="31" t="n"/>
      <c r="X677" s="31" t="n"/>
      <c r="Y677" s="31" t="n"/>
      <c r="Z677" s="31" t="n"/>
      <c r="AA677" s="31" t="n"/>
    </row>
    <row r="678" ht="14.25" customHeight="1">
      <c r="A678" s="31" t="n"/>
      <c r="D678" s="161" t="n"/>
      <c r="E678" s="161" t="n"/>
      <c r="P678" s="31" t="n"/>
      <c r="Q678" s="31" t="n"/>
      <c r="R678" s="31" t="n"/>
      <c r="S678" s="31" t="n"/>
      <c r="T678" s="31" t="n"/>
      <c r="U678" s="31" t="n"/>
      <c r="V678" s="31" t="n"/>
      <c r="W678" s="31" t="n"/>
      <c r="X678" s="31" t="n"/>
      <c r="Y678" s="31" t="n"/>
      <c r="Z678" s="31" t="n"/>
      <c r="AA678" s="31" t="n"/>
    </row>
    <row r="679" ht="14.25" customHeight="1">
      <c r="A679" s="31" t="n"/>
      <c r="D679" s="161" t="n"/>
      <c r="E679" s="161" t="n"/>
      <c r="P679" s="31" t="n"/>
      <c r="Q679" s="31" t="n"/>
      <c r="R679" s="31" t="n"/>
      <c r="S679" s="31" t="n"/>
      <c r="T679" s="31" t="n"/>
      <c r="U679" s="31" t="n"/>
      <c r="V679" s="31" t="n"/>
      <c r="W679" s="31" t="n"/>
      <c r="X679" s="31" t="n"/>
      <c r="Y679" s="31" t="n"/>
      <c r="Z679" s="31" t="n"/>
      <c r="AA679" s="31" t="n"/>
    </row>
    <row r="680" ht="14.25" customHeight="1">
      <c r="A680" s="31" t="n"/>
      <c r="D680" s="161" t="n"/>
      <c r="E680" s="161" t="n"/>
      <c r="P680" s="31" t="n"/>
      <c r="Q680" s="31" t="n"/>
      <c r="R680" s="31" t="n"/>
      <c r="S680" s="31" t="n"/>
      <c r="T680" s="31" t="n"/>
      <c r="U680" s="31" t="n"/>
      <c r="V680" s="31" t="n"/>
      <c r="W680" s="31" t="n"/>
      <c r="X680" s="31" t="n"/>
      <c r="Y680" s="31" t="n"/>
      <c r="Z680" s="31" t="n"/>
      <c r="AA680" s="31" t="n"/>
    </row>
    <row r="681" ht="14.25" customHeight="1">
      <c r="A681" s="31" t="n"/>
      <c r="D681" s="161" t="n"/>
      <c r="E681" s="161" t="n"/>
      <c r="P681" s="31" t="n"/>
      <c r="Q681" s="31" t="n"/>
      <c r="R681" s="31" t="n"/>
      <c r="S681" s="31" t="n"/>
      <c r="T681" s="31" t="n"/>
      <c r="U681" s="31" t="n"/>
      <c r="V681" s="31" t="n"/>
      <c r="W681" s="31" t="n"/>
      <c r="X681" s="31" t="n"/>
      <c r="Y681" s="31" t="n"/>
      <c r="Z681" s="31" t="n"/>
      <c r="AA681" s="31" t="n"/>
    </row>
    <row r="682" ht="14.25" customHeight="1">
      <c r="A682" s="31" t="n"/>
      <c r="D682" s="161" t="n"/>
      <c r="E682" s="161" t="n"/>
      <c r="P682" s="31" t="n"/>
      <c r="Q682" s="31" t="n"/>
      <c r="R682" s="31" t="n"/>
      <c r="S682" s="31" t="n"/>
      <c r="T682" s="31" t="n"/>
      <c r="U682" s="31" t="n"/>
      <c r="V682" s="31" t="n"/>
      <c r="W682" s="31" t="n"/>
      <c r="X682" s="31" t="n"/>
      <c r="Y682" s="31" t="n"/>
      <c r="Z682" s="31" t="n"/>
      <c r="AA682" s="31" t="n"/>
    </row>
    <row r="683" ht="14.25" customHeight="1">
      <c r="A683" s="31" t="n"/>
      <c r="D683" s="161" t="n"/>
      <c r="E683" s="161" t="n"/>
      <c r="P683" s="31" t="n"/>
      <c r="Q683" s="31" t="n"/>
      <c r="R683" s="31" t="n"/>
      <c r="S683" s="31" t="n"/>
      <c r="T683" s="31" t="n"/>
      <c r="U683" s="31" t="n"/>
      <c r="V683" s="31" t="n"/>
      <c r="W683" s="31" t="n"/>
      <c r="X683" s="31" t="n"/>
      <c r="Y683" s="31" t="n"/>
      <c r="Z683" s="31" t="n"/>
      <c r="AA683" s="31" t="n"/>
    </row>
    <row r="684" ht="14.25" customHeight="1">
      <c r="A684" s="31" t="n"/>
      <c r="D684" s="161" t="n"/>
      <c r="E684" s="161" t="n"/>
      <c r="P684" s="31" t="n"/>
      <c r="Q684" s="31" t="n"/>
      <c r="R684" s="31" t="n"/>
      <c r="S684" s="31" t="n"/>
      <c r="T684" s="31" t="n"/>
      <c r="U684" s="31" t="n"/>
      <c r="V684" s="31" t="n"/>
      <c r="W684" s="31" t="n"/>
      <c r="X684" s="31" t="n"/>
      <c r="Y684" s="31" t="n"/>
      <c r="Z684" s="31" t="n"/>
      <c r="AA684" s="31" t="n"/>
    </row>
    <row r="685" ht="14.25" customHeight="1">
      <c r="A685" s="31" t="n"/>
      <c r="D685" s="161" t="n"/>
      <c r="E685" s="161" t="n"/>
      <c r="P685" s="31" t="n"/>
      <c r="Q685" s="31" t="n"/>
      <c r="R685" s="31" t="n"/>
      <c r="S685" s="31" t="n"/>
      <c r="T685" s="31" t="n"/>
      <c r="U685" s="31" t="n"/>
      <c r="V685" s="31" t="n"/>
      <c r="W685" s="31" t="n"/>
      <c r="X685" s="31" t="n"/>
      <c r="Y685" s="31" t="n"/>
      <c r="Z685" s="31" t="n"/>
      <c r="AA685" s="31" t="n"/>
    </row>
    <row r="686" ht="14.25" customHeight="1">
      <c r="A686" s="31" t="n"/>
      <c r="D686" s="161" t="n"/>
      <c r="E686" s="161" t="n"/>
      <c r="P686" s="31" t="n"/>
      <c r="Q686" s="31" t="n"/>
      <c r="R686" s="31" t="n"/>
      <c r="S686" s="31" t="n"/>
      <c r="T686" s="31" t="n"/>
      <c r="U686" s="31" t="n"/>
      <c r="V686" s="31" t="n"/>
      <c r="W686" s="31" t="n"/>
      <c r="X686" s="31" t="n"/>
      <c r="Y686" s="31" t="n"/>
      <c r="Z686" s="31" t="n"/>
      <c r="AA686" s="31" t="n"/>
    </row>
    <row r="687" ht="14.25" customHeight="1">
      <c r="A687" s="31" t="n"/>
      <c r="D687" s="161" t="n"/>
      <c r="E687" s="161" t="n"/>
      <c r="P687" s="31" t="n"/>
      <c r="Q687" s="31" t="n"/>
      <c r="R687" s="31" t="n"/>
      <c r="S687" s="31" t="n"/>
      <c r="T687" s="31" t="n"/>
      <c r="U687" s="31" t="n"/>
      <c r="V687" s="31" t="n"/>
      <c r="W687" s="31" t="n"/>
      <c r="X687" s="31" t="n"/>
      <c r="Y687" s="31" t="n"/>
      <c r="Z687" s="31" t="n"/>
      <c r="AA687" s="31" t="n"/>
    </row>
    <row r="688" ht="14.25" customHeight="1">
      <c r="A688" s="31" t="n"/>
      <c r="D688" s="161" t="n"/>
      <c r="E688" s="161" t="n"/>
      <c r="P688" s="31" t="n"/>
      <c r="Q688" s="31" t="n"/>
      <c r="R688" s="31" t="n"/>
      <c r="S688" s="31" t="n"/>
      <c r="T688" s="31" t="n"/>
      <c r="U688" s="31" t="n"/>
      <c r="V688" s="31" t="n"/>
      <c r="W688" s="31" t="n"/>
      <c r="X688" s="31" t="n"/>
      <c r="Y688" s="31" t="n"/>
      <c r="Z688" s="31" t="n"/>
      <c r="AA688" s="31" t="n"/>
    </row>
    <row r="689" ht="14.25" customHeight="1">
      <c r="A689" s="31" t="n"/>
      <c r="D689" s="161" t="n"/>
      <c r="E689" s="161" t="n"/>
      <c r="P689" s="31" t="n"/>
      <c r="Q689" s="31" t="n"/>
      <c r="R689" s="31" t="n"/>
      <c r="S689" s="31" t="n"/>
      <c r="T689" s="31" t="n"/>
      <c r="U689" s="31" t="n"/>
      <c r="V689" s="31" t="n"/>
      <c r="W689" s="31" t="n"/>
      <c r="X689" s="31" t="n"/>
      <c r="Y689" s="31" t="n"/>
      <c r="Z689" s="31" t="n"/>
      <c r="AA689" s="31" t="n"/>
    </row>
    <row r="690" ht="14.25" customHeight="1">
      <c r="A690" s="31" t="n"/>
      <c r="D690" s="161" t="n"/>
      <c r="E690" s="161" t="n"/>
      <c r="P690" s="31" t="n"/>
      <c r="Q690" s="31" t="n"/>
      <c r="R690" s="31" t="n"/>
      <c r="S690" s="31" t="n"/>
      <c r="T690" s="31" t="n"/>
      <c r="U690" s="31" t="n"/>
      <c r="V690" s="31" t="n"/>
      <c r="W690" s="31" t="n"/>
      <c r="X690" s="31" t="n"/>
      <c r="Y690" s="31" t="n"/>
      <c r="Z690" s="31" t="n"/>
      <c r="AA690" s="31" t="n"/>
    </row>
    <row r="691" ht="14.25" customHeight="1">
      <c r="A691" s="31" t="n"/>
      <c r="D691" s="161" t="n"/>
      <c r="E691" s="161" t="n"/>
      <c r="P691" s="31" t="n"/>
      <c r="Q691" s="31" t="n"/>
      <c r="R691" s="31" t="n"/>
      <c r="S691" s="31" t="n"/>
      <c r="T691" s="31" t="n"/>
      <c r="U691" s="31" t="n"/>
      <c r="V691" s="31" t="n"/>
      <c r="W691" s="31" t="n"/>
      <c r="X691" s="31" t="n"/>
      <c r="Y691" s="31" t="n"/>
      <c r="Z691" s="31" t="n"/>
      <c r="AA691" s="31" t="n"/>
    </row>
    <row r="692" ht="14.25" customHeight="1">
      <c r="A692" s="31" t="n"/>
      <c r="D692" s="161" t="n"/>
      <c r="E692" s="161" t="n"/>
      <c r="P692" s="31" t="n"/>
      <c r="Q692" s="31" t="n"/>
      <c r="R692" s="31" t="n"/>
      <c r="S692" s="31" t="n"/>
      <c r="T692" s="31" t="n"/>
      <c r="U692" s="31" t="n"/>
      <c r="V692" s="31" t="n"/>
      <c r="W692" s="31" t="n"/>
      <c r="X692" s="31" t="n"/>
      <c r="Y692" s="31" t="n"/>
      <c r="Z692" s="31" t="n"/>
      <c r="AA692" s="31" t="n"/>
    </row>
    <row r="693" ht="14.25" customHeight="1">
      <c r="A693" s="31" t="n"/>
      <c r="D693" s="161" t="n"/>
      <c r="E693" s="161" t="n"/>
      <c r="P693" s="31" t="n"/>
      <c r="Q693" s="31" t="n"/>
      <c r="R693" s="31" t="n"/>
      <c r="S693" s="31" t="n"/>
      <c r="T693" s="31" t="n"/>
      <c r="U693" s="31" t="n"/>
      <c r="V693" s="31" t="n"/>
      <c r="W693" s="31" t="n"/>
      <c r="X693" s="31" t="n"/>
      <c r="Y693" s="31" t="n"/>
      <c r="Z693" s="31" t="n"/>
      <c r="AA693" s="31" t="n"/>
    </row>
    <row r="694" ht="14.25" customHeight="1">
      <c r="A694" s="31" t="n"/>
      <c r="D694" s="161" t="n"/>
      <c r="E694" s="161" t="n"/>
      <c r="P694" s="31" t="n"/>
      <c r="Q694" s="31" t="n"/>
      <c r="R694" s="31" t="n"/>
      <c r="S694" s="31" t="n"/>
      <c r="T694" s="31" t="n"/>
      <c r="U694" s="31" t="n"/>
      <c r="V694" s="31" t="n"/>
      <c r="W694" s="31" t="n"/>
      <c r="X694" s="31" t="n"/>
      <c r="Y694" s="31" t="n"/>
      <c r="Z694" s="31" t="n"/>
      <c r="AA694" s="31" t="n"/>
    </row>
    <row r="695" ht="14.25" customHeight="1">
      <c r="A695" s="31" t="n"/>
      <c r="D695" s="161" t="n"/>
      <c r="E695" s="161" t="n"/>
      <c r="P695" s="31" t="n"/>
      <c r="Q695" s="31" t="n"/>
      <c r="R695" s="31" t="n"/>
      <c r="S695" s="31" t="n"/>
      <c r="T695" s="31" t="n"/>
      <c r="U695" s="31" t="n"/>
      <c r="V695" s="31" t="n"/>
      <c r="W695" s="31" t="n"/>
      <c r="X695" s="31" t="n"/>
      <c r="Y695" s="31" t="n"/>
      <c r="Z695" s="31" t="n"/>
      <c r="AA695" s="31" t="n"/>
    </row>
    <row r="696" ht="14.25" customHeight="1">
      <c r="A696" s="31" t="n"/>
      <c r="D696" s="161" t="n"/>
      <c r="E696" s="161" t="n"/>
      <c r="P696" s="31" t="n"/>
      <c r="Q696" s="31" t="n"/>
      <c r="R696" s="31" t="n"/>
      <c r="S696" s="31" t="n"/>
      <c r="T696" s="31" t="n"/>
      <c r="U696" s="31" t="n"/>
      <c r="V696" s="31" t="n"/>
      <c r="W696" s="31" t="n"/>
      <c r="X696" s="31" t="n"/>
      <c r="Y696" s="31" t="n"/>
      <c r="Z696" s="31" t="n"/>
      <c r="AA696" s="31" t="n"/>
    </row>
    <row r="697" ht="14.25" customHeight="1">
      <c r="A697" s="31" t="n"/>
      <c r="D697" s="161" t="n"/>
      <c r="E697" s="161" t="n"/>
      <c r="P697" s="31" t="n"/>
      <c r="Q697" s="31" t="n"/>
      <c r="R697" s="31" t="n"/>
      <c r="S697" s="31" t="n"/>
      <c r="T697" s="31" t="n"/>
      <c r="U697" s="31" t="n"/>
      <c r="V697" s="31" t="n"/>
      <c r="W697" s="31" t="n"/>
      <c r="X697" s="31" t="n"/>
      <c r="Y697" s="31" t="n"/>
      <c r="Z697" s="31" t="n"/>
      <c r="AA697" s="31" t="n"/>
    </row>
    <row r="698" ht="14.25" customHeight="1">
      <c r="A698" s="31" t="n"/>
      <c r="D698" s="161" t="n"/>
      <c r="E698" s="161" t="n"/>
      <c r="P698" s="31" t="n"/>
      <c r="Q698" s="31" t="n"/>
      <c r="R698" s="31" t="n"/>
      <c r="S698" s="31" t="n"/>
      <c r="T698" s="31" t="n"/>
      <c r="U698" s="31" t="n"/>
      <c r="V698" s="31" t="n"/>
      <c r="W698" s="31" t="n"/>
      <c r="X698" s="31" t="n"/>
      <c r="Y698" s="31" t="n"/>
      <c r="Z698" s="31" t="n"/>
      <c r="AA698" s="31" t="n"/>
    </row>
    <row r="699" ht="14.25" customHeight="1">
      <c r="A699" s="31" t="n"/>
      <c r="D699" s="161" t="n"/>
      <c r="E699" s="161" t="n"/>
      <c r="P699" s="31" t="n"/>
      <c r="Q699" s="31" t="n"/>
      <c r="R699" s="31" t="n"/>
      <c r="S699" s="31" t="n"/>
      <c r="T699" s="31" t="n"/>
      <c r="U699" s="31" t="n"/>
      <c r="V699" s="31" t="n"/>
      <c r="W699" s="31" t="n"/>
      <c r="X699" s="31" t="n"/>
      <c r="Y699" s="31" t="n"/>
      <c r="Z699" s="31" t="n"/>
      <c r="AA699" s="31" t="n"/>
    </row>
    <row r="700" ht="14.25" customHeight="1">
      <c r="A700" s="31" t="n"/>
      <c r="D700" s="161" t="n"/>
      <c r="E700" s="161" t="n"/>
      <c r="P700" s="31" t="n"/>
      <c r="Q700" s="31" t="n"/>
      <c r="R700" s="31" t="n"/>
      <c r="S700" s="31" t="n"/>
      <c r="T700" s="31" t="n"/>
      <c r="U700" s="31" t="n"/>
      <c r="V700" s="31" t="n"/>
      <c r="W700" s="31" t="n"/>
      <c r="X700" s="31" t="n"/>
      <c r="Y700" s="31" t="n"/>
      <c r="Z700" s="31" t="n"/>
      <c r="AA700" s="31" t="n"/>
    </row>
    <row r="701" ht="14.25" customHeight="1">
      <c r="A701" s="31" t="n"/>
      <c r="D701" s="161" t="n"/>
      <c r="E701" s="161" t="n"/>
      <c r="P701" s="31" t="n"/>
      <c r="Q701" s="31" t="n"/>
      <c r="R701" s="31" t="n"/>
      <c r="S701" s="31" t="n"/>
      <c r="T701" s="31" t="n"/>
      <c r="U701" s="31" t="n"/>
      <c r="V701" s="31" t="n"/>
      <c r="W701" s="31" t="n"/>
      <c r="X701" s="31" t="n"/>
      <c r="Y701" s="31" t="n"/>
      <c r="Z701" s="31" t="n"/>
      <c r="AA701" s="31" t="n"/>
    </row>
    <row r="702" ht="14.25" customHeight="1">
      <c r="A702" s="31" t="n"/>
      <c r="D702" s="161" t="n"/>
      <c r="E702" s="161" t="n"/>
      <c r="P702" s="31" t="n"/>
      <c r="Q702" s="31" t="n"/>
      <c r="R702" s="31" t="n"/>
      <c r="S702" s="31" t="n"/>
      <c r="T702" s="31" t="n"/>
      <c r="U702" s="31" t="n"/>
      <c r="V702" s="31" t="n"/>
      <c r="W702" s="31" t="n"/>
      <c r="X702" s="31" t="n"/>
      <c r="Y702" s="31" t="n"/>
      <c r="Z702" s="31" t="n"/>
      <c r="AA702" s="31" t="n"/>
    </row>
    <row r="703" ht="14.25" customHeight="1">
      <c r="A703" s="31" t="n"/>
      <c r="D703" s="161" t="n"/>
      <c r="E703" s="161" t="n"/>
      <c r="P703" s="31" t="n"/>
      <c r="Q703" s="31" t="n"/>
      <c r="R703" s="31" t="n"/>
      <c r="S703" s="31" t="n"/>
      <c r="T703" s="31" t="n"/>
      <c r="U703" s="31" t="n"/>
      <c r="V703" s="31" t="n"/>
      <c r="W703" s="31" t="n"/>
      <c r="X703" s="31" t="n"/>
      <c r="Y703" s="31" t="n"/>
      <c r="Z703" s="31" t="n"/>
      <c r="AA703" s="31" t="n"/>
    </row>
    <row r="704" ht="14.25" customHeight="1">
      <c r="A704" s="31" t="n"/>
      <c r="D704" s="161" t="n"/>
      <c r="E704" s="161" t="n"/>
      <c r="P704" s="31" t="n"/>
      <c r="Q704" s="31" t="n"/>
      <c r="R704" s="31" t="n"/>
      <c r="S704" s="31" t="n"/>
      <c r="T704" s="31" t="n"/>
      <c r="U704" s="31" t="n"/>
      <c r="V704" s="31" t="n"/>
      <c r="W704" s="31" t="n"/>
      <c r="X704" s="31" t="n"/>
      <c r="Y704" s="31" t="n"/>
      <c r="Z704" s="31" t="n"/>
      <c r="AA704" s="31" t="n"/>
    </row>
    <row r="705" ht="14.25" customHeight="1">
      <c r="A705" s="31" t="n"/>
      <c r="D705" s="161" t="n"/>
      <c r="E705" s="161" t="n"/>
      <c r="P705" s="31" t="n"/>
      <c r="Q705" s="31" t="n"/>
      <c r="R705" s="31" t="n"/>
      <c r="S705" s="31" t="n"/>
      <c r="T705" s="31" t="n"/>
      <c r="U705" s="31" t="n"/>
      <c r="V705" s="31" t="n"/>
      <c r="W705" s="31" t="n"/>
      <c r="X705" s="31" t="n"/>
      <c r="Y705" s="31" t="n"/>
      <c r="Z705" s="31" t="n"/>
      <c r="AA705" s="31" t="n"/>
    </row>
    <row r="706" ht="14.25" customHeight="1">
      <c r="A706" s="31" t="n"/>
      <c r="D706" s="161" t="n"/>
      <c r="E706" s="161" t="n"/>
      <c r="P706" s="31" t="n"/>
      <c r="Q706" s="31" t="n"/>
      <c r="R706" s="31" t="n"/>
      <c r="S706" s="31" t="n"/>
      <c r="T706" s="31" t="n"/>
      <c r="U706" s="31" t="n"/>
      <c r="V706" s="31" t="n"/>
      <c r="W706" s="31" t="n"/>
      <c r="X706" s="31" t="n"/>
      <c r="Y706" s="31" t="n"/>
      <c r="Z706" s="31" t="n"/>
      <c r="AA706" s="31" t="n"/>
    </row>
    <row r="707" ht="14.25" customHeight="1">
      <c r="A707" s="31" t="n"/>
      <c r="D707" s="161" t="n"/>
      <c r="E707" s="161" t="n"/>
      <c r="P707" s="31" t="n"/>
      <c r="Q707" s="31" t="n"/>
      <c r="R707" s="31" t="n"/>
      <c r="S707" s="31" t="n"/>
      <c r="T707" s="31" t="n"/>
      <c r="U707" s="31" t="n"/>
      <c r="V707" s="31" t="n"/>
      <c r="W707" s="31" t="n"/>
      <c r="X707" s="31" t="n"/>
      <c r="Y707" s="31" t="n"/>
      <c r="Z707" s="31" t="n"/>
      <c r="AA707" s="31" t="n"/>
    </row>
    <row r="708" ht="14.25" customHeight="1">
      <c r="A708" s="31" t="n"/>
      <c r="D708" s="161" t="n"/>
      <c r="E708" s="161" t="n"/>
      <c r="P708" s="31" t="n"/>
      <c r="Q708" s="31" t="n"/>
      <c r="R708" s="31" t="n"/>
      <c r="S708" s="31" t="n"/>
      <c r="T708" s="31" t="n"/>
      <c r="U708" s="31" t="n"/>
      <c r="V708" s="31" t="n"/>
      <c r="W708" s="31" t="n"/>
      <c r="X708" s="31" t="n"/>
      <c r="Y708" s="31" t="n"/>
      <c r="Z708" s="31" t="n"/>
      <c r="AA708" s="31" t="n"/>
    </row>
    <row r="709" ht="14.25" customHeight="1">
      <c r="A709" s="31" t="n"/>
      <c r="D709" s="161" t="n"/>
      <c r="E709" s="161" t="n"/>
      <c r="P709" s="31" t="n"/>
      <c r="Q709" s="31" t="n"/>
      <c r="R709" s="31" t="n"/>
      <c r="S709" s="31" t="n"/>
      <c r="T709" s="31" t="n"/>
      <c r="U709" s="31" t="n"/>
      <c r="V709" s="31" t="n"/>
      <c r="W709" s="31" t="n"/>
      <c r="X709" s="31" t="n"/>
      <c r="Y709" s="31" t="n"/>
      <c r="Z709" s="31" t="n"/>
      <c r="AA709" s="31" t="n"/>
    </row>
    <row r="710" ht="14.25" customHeight="1">
      <c r="A710" s="31" t="n"/>
      <c r="D710" s="161" t="n"/>
      <c r="E710" s="161" t="n"/>
      <c r="P710" s="31" t="n"/>
      <c r="Q710" s="31" t="n"/>
      <c r="R710" s="31" t="n"/>
      <c r="S710" s="31" t="n"/>
      <c r="T710" s="31" t="n"/>
      <c r="U710" s="31" t="n"/>
      <c r="V710" s="31" t="n"/>
      <c r="W710" s="31" t="n"/>
      <c r="X710" s="31" t="n"/>
      <c r="Y710" s="31" t="n"/>
      <c r="Z710" s="31" t="n"/>
      <c r="AA710" s="31" t="n"/>
    </row>
    <row r="711" ht="14.25" customHeight="1">
      <c r="A711" s="31" t="n"/>
      <c r="D711" s="161" t="n"/>
      <c r="E711" s="161" t="n"/>
      <c r="P711" s="31" t="n"/>
      <c r="Q711" s="31" t="n"/>
      <c r="R711" s="31" t="n"/>
      <c r="S711" s="31" t="n"/>
      <c r="T711" s="31" t="n"/>
      <c r="U711" s="31" t="n"/>
      <c r="V711" s="31" t="n"/>
      <c r="W711" s="31" t="n"/>
      <c r="X711" s="31" t="n"/>
      <c r="Y711" s="31" t="n"/>
      <c r="Z711" s="31" t="n"/>
      <c r="AA711" s="31" t="n"/>
    </row>
    <row r="712" ht="14.25" customHeight="1">
      <c r="A712" s="31" t="n"/>
      <c r="D712" s="161" t="n"/>
      <c r="E712" s="161" t="n"/>
      <c r="P712" s="31" t="n"/>
      <c r="Q712" s="31" t="n"/>
      <c r="R712" s="31" t="n"/>
      <c r="S712" s="31" t="n"/>
      <c r="T712" s="31" t="n"/>
      <c r="U712" s="31" t="n"/>
      <c r="V712" s="31" t="n"/>
      <c r="W712" s="31" t="n"/>
      <c r="X712" s="31" t="n"/>
      <c r="Y712" s="31" t="n"/>
      <c r="Z712" s="31" t="n"/>
      <c r="AA712" s="31" t="n"/>
    </row>
    <row r="713" ht="14.25" customHeight="1">
      <c r="A713" s="31" t="n"/>
      <c r="D713" s="161" t="n"/>
      <c r="E713" s="161" t="n"/>
      <c r="P713" s="31" t="n"/>
      <c r="Q713" s="31" t="n"/>
      <c r="R713" s="31" t="n"/>
      <c r="S713" s="31" t="n"/>
      <c r="T713" s="31" t="n"/>
      <c r="U713" s="31" t="n"/>
      <c r="V713" s="31" t="n"/>
      <c r="W713" s="31" t="n"/>
      <c r="X713" s="31" t="n"/>
      <c r="Y713" s="31" t="n"/>
      <c r="Z713" s="31" t="n"/>
      <c r="AA713" s="31" t="n"/>
    </row>
    <row r="714" ht="14.25" customHeight="1">
      <c r="A714" s="31" t="n"/>
      <c r="D714" s="161" t="n"/>
      <c r="E714" s="161" t="n"/>
      <c r="P714" s="31" t="n"/>
      <c r="Q714" s="31" t="n"/>
      <c r="R714" s="31" t="n"/>
      <c r="S714" s="31" t="n"/>
      <c r="T714" s="31" t="n"/>
      <c r="U714" s="31" t="n"/>
      <c r="V714" s="31" t="n"/>
      <c r="W714" s="31" t="n"/>
      <c r="X714" s="31" t="n"/>
      <c r="Y714" s="31" t="n"/>
      <c r="Z714" s="31" t="n"/>
      <c r="AA714" s="31" t="n"/>
    </row>
    <row r="715" ht="14.25" customHeight="1">
      <c r="A715" s="31" t="n"/>
      <c r="D715" s="161" t="n"/>
      <c r="E715" s="161" t="n"/>
      <c r="P715" s="31" t="n"/>
      <c r="Q715" s="31" t="n"/>
      <c r="R715" s="31" t="n"/>
      <c r="S715" s="31" t="n"/>
      <c r="T715" s="31" t="n"/>
      <c r="U715" s="31" t="n"/>
      <c r="V715" s="31" t="n"/>
      <c r="W715" s="31" t="n"/>
      <c r="X715" s="31" t="n"/>
      <c r="Y715" s="31" t="n"/>
      <c r="Z715" s="31" t="n"/>
      <c r="AA715" s="31" t="n"/>
    </row>
    <row r="716" ht="14.25" customHeight="1">
      <c r="A716" s="31" t="n"/>
      <c r="D716" s="161" t="n"/>
      <c r="E716" s="161" t="n"/>
      <c r="P716" s="31" t="n"/>
      <c r="Q716" s="31" t="n"/>
      <c r="R716" s="31" t="n"/>
      <c r="S716" s="31" t="n"/>
      <c r="T716" s="31" t="n"/>
      <c r="U716" s="31" t="n"/>
      <c r="V716" s="31" t="n"/>
      <c r="W716" s="31" t="n"/>
      <c r="X716" s="31" t="n"/>
      <c r="Y716" s="31" t="n"/>
      <c r="Z716" s="31" t="n"/>
      <c r="AA716" s="31" t="n"/>
    </row>
    <row r="717" ht="14.25" customHeight="1">
      <c r="A717" s="31" t="n"/>
      <c r="D717" s="161" t="n"/>
      <c r="E717" s="161" t="n"/>
      <c r="P717" s="31" t="n"/>
      <c r="Q717" s="31" t="n"/>
      <c r="R717" s="31" t="n"/>
      <c r="S717" s="31" t="n"/>
      <c r="T717" s="31" t="n"/>
      <c r="U717" s="31" t="n"/>
      <c r="V717" s="31" t="n"/>
      <c r="W717" s="31" t="n"/>
      <c r="X717" s="31" t="n"/>
      <c r="Y717" s="31" t="n"/>
      <c r="Z717" s="31" t="n"/>
      <c r="AA717" s="31" t="n"/>
    </row>
    <row r="718" ht="14.25" customHeight="1">
      <c r="A718" s="31" t="n"/>
      <c r="D718" s="161" t="n"/>
      <c r="E718" s="161" t="n"/>
      <c r="P718" s="31" t="n"/>
      <c r="Q718" s="31" t="n"/>
      <c r="R718" s="31" t="n"/>
      <c r="S718" s="31" t="n"/>
      <c r="T718" s="31" t="n"/>
      <c r="U718" s="31" t="n"/>
      <c r="V718" s="31" t="n"/>
      <c r="W718" s="31" t="n"/>
      <c r="X718" s="31" t="n"/>
      <c r="Y718" s="31" t="n"/>
      <c r="Z718" s="31" t="n"/>
      <c r="AA718" s="31" t="n"/>
    </row>
    <row r="719" ht="14.25" customHeight="1">
      <c r="A719" s="31" t="n"/>
      <c r="D719" s="161" t="n"/>
      <c r="E719" s="161" t="n"/>
      <c r="P719" s="31" t="n"/>
      <c r="Q719" s="31" t="n"/>
      <c r="R719" s="31" t="n"/>
      <c r="S719" s="31" t="n"/>
      <c r="T719" s="31" t="n"/>
      <c r="U719" s="31" t="n"/>
      <c r="V719" s="31" t="n"/>
      <c r="W719" s="31" t="n"/>
      <c r="X719" s="31" t="n"/>
      <c r="Y719" s="31" t="n"/>
      <c r="Z719" s="31" t="n"/>
      <c r="AA719" s="31" t="n"/>
    </row>
    <row r="720" ht="14.25" customHeight="1">
      <c r="A720" s="31" t="n"/>
      <c r="D720" s="161" t="n"/>
      <c r="E720" s="161" t="n"/>
      <c r="P720" s="31" t="n"/>
      <c r="Q720" s="31" t="n"/>
      <c r="R720" s="31" t="n"/>
      <c r="S720" s="31" t="n"/>
      <c r="T720" s="31" t="n"/>
      <c r="U720" s="31" t="n"/>
      <c r="V720" s="31" t="n"/>
      <c r="W720" s="31" t="n"/>
      <c r="X720" s="31" t="n"/>
      <c r="Y720" s="31" t="n"/>
      <c r="Z720" s="31" t="n"/>
      <c r="AA720" s="31" t="n"/>
    </row>
    <row r="721" ht="14.25" customHeight="1">
      <c r="A721" s="31" t="n"/>
      <c r="D721" s="161" t="n"/>
      <c r="E721" s="161" t="n"/>
      <c r="P721" s="31" t="n"/>
      <c r="Q721" s="31" t="n"/>
      <c r="R721" s="31" t="n"/>
      <c r="S721" s="31" t="n"/>
      <c r="T721" s="31" t="n"/>
      <c r="U721" s="31" t="n"/>
      <c r="V721" s="31" t="n"/>
      <c r="W721" s="31" t="n"/>
      <c r="X721" s="31" t="n"/>
      <c r="Y721" s="31" t="n"/>
      <c r="Z721" s="31" t="n"/>
      <c r="AA721" s="31" t="n"/>
    </row>
    <row r="722" ht="14.25" customHeight="1">
      <c r="A722" s="31" t="n"/>
      <c r="D722" s="161" t="n"/>
      <c r="E722" s="161" t="n"/>
      <c r="P722" s="31" t="n"/>
      <c r="Q722" s="31" t="n"/>
      <c r="R722" s="31" t="n"/>
      <c r="S722" s="31" t="n"/>
      <c r="T722" s="31" t="n"/>
      <c r="U722" s="31" t="n"/>
      <c r="V722" s="31" t="n"/>
      <c r="W722" s="31" t="n"/>
      <c r="X722" s="31" t="n"/>
      <c r="Y722" s="31" t="n"/>
      <c r="Z722" s="31" t="n"/>
      <c r="AA722" s="31" t="n"/>
    </row>
    <row r="723" ht="14.25" customHeight="1">
      <c r="A723" s="31" t="n"/>
      <c r="D723" s="161" t="n"/>
      <c r="E723" s="161" t="n"/>
      <c r="P723" s="31" t="n"/>
      <c r="Q723" s="31" t="n"/>
      <c r="R723" s="31" t="n"/>
      <c r="S723" s="31" t="n"/>
      <c r="T723" s="31" t="n"/>
      <c r="U723" s="31" t="n"/>
      <c r="V723" s="31" t="n"/>
      <c r="W723" s="31" t="n"/>
      <c r="X723" s="31" t="n"/>
      <c r="Y723" s="31" t="n"/>
      <c r="Z723" s="31" t="n"/>
      <c r="AA723" s="31" t="n"/>
    </row>
    <row r="724" ht="14.25" customHeight="1">
      <c r="A724" s="31" t="n"/>
      <c r="D724" s="161" t="n"/>
      <c r="E724" s="161" t="n"/>
      <c r="P724" s="31" t="n"/>
      <c r="Q724" s="31" t="n"/>
      <c r="R724" s="31" t="n"/>
      <c r="S724" s="31" t="n"/>
      <c r="T724" s="31" t="n"/>
      <c r="U724" s="31" t="n"/>
      <c r="V724" s="31" t="n"/>
      <c r="W724" s="31" t="n"/>
      <c r="X724" s="31" t="n"/>
      <c r="Y724" s="31" t="n"/>
      <c r="Z724" s="31" t="n"/>
      <c r="AA724" s="31" t="n"/>
    </row>
    <row r="725" ht="14.25" customHeight="1">
      <c r="A725" s="31" t="n"/>
      <c r="D725" s="161" t="n"/>
      <c r="E725" s="161" t="n"/>
      <c r="P725" s="31" t="n"/>
      <c r="Q725" s="31" t="n"/>
      <c r="R725" s="31" t="n"/>
      <c r="S725" s="31" t="n"/>
      <c r="T725" s="31" t="n"/>
      <c r="U725" s="31" t="n"/>
      <c r="V725" s="31" t="n"/>
      <c r="W725" s="31" t="n"/>
      <c r="X725" s="31" t="n"/>
      <c r="Y725" s="31" t="n"/>
      <c r="Z725" s="31" t="n"/>
      <c r="AA725" s="31" t="n"/>
    </row>
    <row r="726" ht="14.25" customHeight="1">
      <c r="A726" s="31" t="n"/>
      <c r="D726" s="161" t="n"/>
      <c r="E726" s="161" t="n"/>
      <c r="P726" s="31" t="n"/>
      <c r="Q726" s="31" t="n"/>
      <c r="R726" s="31" t="n"/>
      <c r="S726" s="31" t="n"/>
      <c r="T726" s="31" t="n"/>
      <c r="U726" s="31" t="n"/>
      <c r="V726" s="31" t="n"/>
      <c r="W726" s="31" t="n"/>
      <c r="X726" s="31" t="n"/>
      <c r="Y726" s="31" t="n"/>
      <c r="Z726" s="31" t="n"/>
      <c r="AA726" s="31" t="n"/>
    </row>
    <row r="727" ht="14.25" customHeight="1">
      <c r="A727" s="31" t="n"/>
      <c r="D727" s="161" t="n"/>
      <c r="E727" s="161" t="n"/>
      <c r="P727" s="31" t="n"/>
      <c r="Q727" s="31" t="n"/>
      <c r="R727" s="31" t="n"/>
      <c r="S727" s="31" t="n"/>
      <c r="T727" s="31" t="n"/>
      <c r="U727" s="31" t="n"/>
      <c r="V727" s="31" t="n"/>
      <c r="W727" s="31" t="n"/>
      <c r="X727" s="31" t="n"/>
      <c r="Y727" s="31" t="n"/>
      <c r="Z727" s="31" t="n"/>
      <c r="AA727" s="31" t="n"/>
    </row>
    <row r="728" ht="14.25" customHeight="1">
      <c r="A728" s="31" t="n"/>
      <c r="D728" s="161" t="n"/>
      <c r="E728" s="161" t="n"/>
      <c r="P728" s="31" t="n"/>
      <c r="Q728" s="31" t="n"/>
      <c r="R728" s="31" t="n"/>
      <c r="S728" s="31" t="n"/>
      <c r="T728" s="31" t="n"/>
      <c r="U728" s="31" t="n"/>
      <c r="V728" s="31" t="n"/>
      <c r="W728" s="31" t="n"/>
      <c r="X728" s="31" t="n"/>
      <c r="Y728" s="31" t="n"/>
      <c r="Z728" s="31" t="n"/>
      <c r="AA728" s="31" t="n"/>
    </row>
    <row r="729" ht="14.25" customHeight="1">
      <c r="A729" s="31" t="n"/>
      <c r="D729" s="161" t="n"/>
      <c r="E729" s="161" t="n"/>
      <c r="P729" s="31" t="n"/>
      <c r="Q729" s="31" t="n"/>
      <c r="R729" s="31" t="n"/>
      <c r="S729" s="31" t="n"/>
      <c r="T729" s="31" t="n"/>
      <c r="U729" s="31" t="n"/>
      <c r="V729" s="31" t="n"/>
      <c r="W729" s="31" t="n"/>
      <c r="X729" s="31" t="n"/>
      <c r="Y729" s="31" t="n"/>
      <c r="Z729" s="31" t="n"/>
      <c r="AA729" s="31" t="n"/>
    </row>
    <row r="730" ht="14.25" customHeight="1">
      <c r="A730" s="31" t="n"/>
      <c r="D730" s="161" t="n"/>
      <c r="E730" s="161" t="n"/>
      <c r="P730" s="31" t="n"/>
      <c r="Q730" s="31" t="n"/>
      <c r="R730" s="31" t="n"/>
      <c r="S730" s="31" t="n"/>
      <c r="T730" s="31" t="n"/>
      <c r="U730" s="31" t="n"/>
      <c r="V730" s="31" t="n"/>
      <c r="W730" s="31" t="n"/>
      <c r="X730" s="31" t="n"/>
      <c r="Y730" s="31" t="n"/>
      <c r="Z730" s="31" t="n"/>
      <c r="AA730" s="31" t="n"/>
    </row>
    <row r="731" ht="14.25" customHeight="1">
      <c r="A731" s="31" t="n"/>
      <c r="D731" s="161" t="n"/>
      <c r="E731" s="161" t="n"/>
      <c r="P731" s="31" t="n"/>
      <c r="Q731" s="31" t="n"/>
      <c r="R731" s="31" t="n"/>
      <c r="S731" s="31" t="n"/>
      <c r="T731" s="31" t="n"/>
      <c r="U731" s="31" t="n"/>
      <c r="V731" s="31" t="n"/>
      <c r="W731" s="31" t="n"/>
      <c r="X731" s="31" t="n"/>
      <c r="Y731" s="31" t="n"/>
      <c r="Z731" s="31" t="n"/>
      <c r="AA731" s="31" t="n"/>
    </row>
    <row r="732" ht="14.25" customHeight="1">
      <c r="A732" s="31" t="n"/>
      <c r="D732" s="161" t="n"/>
      <c r="E732" s="161" t="n"/>
      <c r="P732" s="31" t="n"/>
      <c r="Q732" s="31" t="n"/>
      <c r="R732" s="31" t="n"/>
      <c r="S732" s="31" t="n"/>
      <c r="T732" s="31" t="n"/>
      <c r="U732" s="31" t="n"/>
      <c r="V732" s="31" t="n"/>
      <c r="W732" s="31" t="n"/>
      <c r="X732" s="31" t="n"/>
      <c r="Y732" s="31" t="n"/>
      <c r="Z732" s="31" t="n"/>
      <c r="AA732" s="31" t="n"/>
    </row>
    <row r="733" ht="14.25" customHeight="1">
      <c r="A733" s="31" t="n"/>
      <c r="D733" s="161" t="n"/>
      <c r="E733" s="161" t="n"/>
      <c r="P733" s="31" t="n"/>
      <c r="Q733" s="31" t="n"/>
      <c r="R733" s="31" t="n"/>
      <c r="S733" s="31" t="n"/>
      <c r="T733" s="31" t="n"/>
      <c r="U733" s="31" t="n"/>
      <c r="V733" s="31" t="n"/>
      <c r="W733" s="31" t="n"/>
      <c r="X733" s="31" t="n"/>
      <c r="Y733" s="31" t="n"/>
      <c r="Z733" s="31" t="n"/>
      <c r="AA733" s="31" t="n"/>
    </row>
    <row r="734" ht="14.25" customHeight="1">
      <c r="A734" s="31" t="n"/>
      <c r="D734" s="161" t="n"/>
      <c r="E734" s="161" t="n"/>
      <c r="P734" s="31" t="n"/>
      <c r="Q734" s="31" t="n"/>
      <c r="R734" s="31" t="n"/>
      <c r="S734" s="31" t="n"/>
      <c r="T734" s="31" t="n"/>
      <c r="U734" s="31" t="n"/>
      <c r="V734" s="31" t="n"/>
      <c r="W734" s="31" t="n"/>
      <c r="X734" s="31" t="n"/>
      <c r="Y734" s="31" t="n"/>
      <c r="Z734" s="31" t="n"/>
      <c r="AA734" s="31" t="n"/>
    </row>
    <row r="735" ht="14.25" customHeight="1">
      <c r="A735" s="31" t="n"/>
      <c r="D735" s="161" t="n"/>
      <c r="E735" s="161" t="n"/>
      <c r="P735" s="31" t="n"/>
      <c r="Q735" s="31" t="n"/>
      <c r="R735" s="31" t="n"/>
      <c r="S735" s="31" t="n"/>
      <c r="T735" s="31" t="n"/>
      <c r="U735" s="31" t="n"/>
      <c r="V735" s="31" t="n"/>
      <c r="W735" s="31" t="n"/>
      <c r="X735" s="31" t="n"/>
      <c r="Y735" s="31" t="n"/>
      <c r="Z735" s="31" t="n"/>
      <c r="AA735" s="31" t="n"/>
    </row>
    <row r="736" ht="14.25" customHeight="1">
      <c r="A736" s="31" t="n"/>
      <c r="D736" s="161" t="n"/>
      <c r="E736" s="161" t="n"/>
      <c r="P736" s="31" t="n"/>
      <c r="Q736" s="31" t="n"/>
      <c r="R736" s="31" t="n"/>
      <c r="S736" s="31" t="n"/>
      <c r="T736" s="31" t="n"/>
      <c r="U736" s="31" t="n"/>
      <c r="V736" s="31" t="n"/>
      <c r="W736" s="31" t="n"/>
      <c r="X736" s="31" t="n"/>
      <c r="Y736" s="31" t="n"/>
      <c r="Z736" s="31" t="n"/>
      <c r="AA736" s="31" t="n"/>
    </row>
    <row r="737" ht="14.25" customHeight="1">
      <c r="A737" s="31" t="n"/>
      <c r="D737" s="161" t="n"/>
      <c r="E737" s="161" t="n"/>
      <c r="P737" s="31" t="n"/>
      <c r="Q737" s="31" t="n"/>
      <c r="R737" s="31" t="n"/>
      <c r="S737" s="31" t="n"/>
      <c r="T737" s="31" t="n"/>
      <c r="U737" s="31" t="n"/>
      <c r="V737" s="31" t="n"/>
      <c r="W737" s="31" t="n"/>
      <c r="X737" s="31" t="n"/>
      <c r="Y737" s="31" t="n"/>
      <c r="Z737" s="31" t="n"/>
      <c r="AA737" s="31" t="n"/>
    </row>
    <row r="738" ht="14.25" customHeight="1">
      <c r="A738" s="31" t="n"/>
      <c r="D738" s="161" t="n"/>
      <c r="E738" s="161" t="n"/>
      <c r="P738" s="31" t="n"/>
      <c r="Q738" s="31" t="n"/>
      <c r="R738" s="31" t="n"/>
      <c r="S738" s="31" t="n"/>
      <c r="T738" s="31" t="n"/>
      <c r="U738" s="31" t="n"/>
      <c r="V738" s="31" t="n"/>
      <c r="W738" s="31" t="n"/>
      <c r="X738" s="31" t="n"/>
      <c r="Y738" s="31" t="n"/>
      <c r="Z738" s="31" t="n"/>
      <c r="AA738" s="31" t="n"/>
    </row>
    <row r="739" ht="14.25" customHeight="1">
      <c r="A739" s="31" t="n"/>
      <c r="D739" s="161" t="n"/>
      <c r="E739" s="161" t="n"/>
      <c r="P739" s="31" t="n"/>
      <c r="Q739" s="31" t="n"/>
      <c r="R739" s="31" t="n"/>
      <c r="S739" s="31" t="n"/>
      <c r="T739" s="31" t="n"/>
      <c r="U739" s="31" t="n"/>
      <c r="V739" s="31" t="n"/>
      <c r="W739" s="31" t="n"/>
      <c r="X739" s="31" t="n"/>
      <c r="Y739" s="31" t="n"/>
      <c r="Z739" s="31" t="n"/>
      <c r="AA739" s="31" t="n"/>
    </row>
    <row r="740" ht="14.25" customHeight="1">
      <c r="A740" s="31" t="n"/>
      <c r="D740" s="161" t="n"/>
      <c r="E740" s="161" t="n"/>
      <c r="P740" s="31" t="n"/>
      <c r="Q740" s="31" t="n"/>
      <c r="R740" s="31" t="n"/>
      <c r="S740" s="31" t="n"/>
      <c r="T740" s="31" t="n"/>
      <c r="U740" s="31" t="n"/>
      <c r="V740" s="31" t="n"/>
      <c r="W740" s="31" t="n"/>
      <c r="X740" s="31" t="n"/>
      <c r="Y740" s="31" t="n"/>
      <c r="Z740" s="31" t="n"/>
      <c r="AA740" s="31" t="n"/>
    </row>
    <row r="741" ht="14.25" customHeight="1">
      <c r="A741" s="31" t="n"/>
      <c r="D741" s="161" t="n"/>
      <c r="E741" s="161" t="n"/>
      <c r="P741" s="31" t="n"/>
      <c r="Q741" s="31" t="n"/>
      <c r="R741" s="31" t="n"/>
      <c r="S741" s="31" t="n"/>
      <c r="T741" s="31" t="n"/>
      <c r="U741" s="31" t="n"/>
      <c r="V741" s="31" t="n"/>
      <c r="W741" s="31" t="n"/>
      <c r="X741" s="31" t="n"/>
      <c r="Y741" s="31" t="n"/>
      <c r="Z741" s="31" t="n"/>
      <c r="AA741" s="31" t="n"/>
    </row>
    <row r="742" ht="14.25" customHeight="1">
      <c r="A742" s="31" t="n"/>
      <c r="D742" s="161" t="n"/>
      <c r="E742" s="161" t="n"/>
      <c r="P742" s="31" t="n"/>
      <c r="Q742" s="31" t="n"/>
      <c r="R742" s="31" t="n"/>
      <c r="S742" s="31" t="n"/>
      <c r="T742" s="31" t="n"/>
      <c r="U742" s="31" t="n"/>
      <c r="V742" s="31" t="n"/>
      <c r="W742" s="31" t="n"/>
      <c r="X742" s="31" t="n"/>
      <c r="Y742" s="31" t="n"/>
      <c r="Z742" s="31" t="n"/>
      <c r="AA742" s="31" t="n"/>
    </row>
    <row r="743" ht="14.25" customHeight="1">
      <c r="A743" s="31" t="n"/>
      <c r="D743" s="161" t="n"/>
      <c r="E743" s="161" t="n"/>
      <c r="P743" s="31" t="n"/>
      <c r="Q743" s="31" t="n"/>
      <c r="R743" s="31" t="n"/>
      <c r="S743" s="31" t="n"/>
      <c r="T743" s="31" t="n"/>
      <c r="U743" s="31" t="n"/>
      <c r="V743" s="31" t="n"/>
      <c r="W743" s="31" t="n"/>
      <c r="X743" s="31" t="n"/>
      <c r="Y743" s="31" t="n"/>
      <c r="Z743" s="31" t="n"/>
      <c r="AA743" s="31" t="n"/>
    </row>
    <row r="744" ht="14.25" customHeight="1">
      <c r="A744" s="31" t="n"/>
      <c r="D744" s="161" t="n"/>
      <c r="E744" s="161" t="n"/>
      <c r="P744" s="31" t="n"/>
      <c r="Q744" s="31" t="n"/>
      <c r="R744" s="31" t="n"/>
      <c r="S744" s="31" t="n"/>
      <c r="T744" s="31" t="n"/>
      <c r="U744" s="31" t="n"/>
      <c r="V744" s="31" t="n"/>
      <c r="W744" s="31" t="n"/>
      <c r="X744" s="31" t="n"/>
      <c r="Y744" s="31" t="n"/>
      <c r="Z744" s="31" t="n"/>
      <c r="AA744" s="31" t="n"/>
    </row>
    <row r="745" ht="14.25" customHeight="1">
      <c r="A745" s="31" t="n"/>
      <c r="D745" s="161" t="n"/>
      <c r="E745" s="161" t="n"/>
      <c r="P745" s="31" t="n"/>
      <c r="Q745" s="31" t="n"/>
      <c r="R745" s="31" t="n"/>
      <c r="S745" s="31" t="n"/>
      <c r="T745" s="31" t="n"/>
      <c r="U745" s="31" t="n"/>
      <c r="V745" s="31" t="n"/>
      <c r="W745" s="31" t="n"/>
      <c r="X745" s="31" t="n"/>
      <c r="Y745" s="31" t="n"/>
      <c r="Z745" s="31" t="n"/>
      <c r="AA745" s="31" t="n"/>
    </row>
    <row r="746" ht="14.25" customHeight="1">
      <c r="A746" s="31" t="n"/>
      <c r="D746" s="161" t="n"/>
      <c r="E746" s="161" t="n"/>
      <c r="P746" s="31" t="n"/>
      <c r="Q746" s="31" t="n"/>
      <c r="R746" s="31" t="n"/>
      <c r="S746" s="31" t="n"/>
      <c r="T746" s="31" t="n"/>
      <c r="U746" s="31" t="n"/>
      <c r="V746" s="31" t="n"/>
      <c r="W746" s="31" t="n"/>
      <c r="X746" s="31" t="n"/>
      <c r="Y746" s="31" t="n"/>
      <c r="Z746" s="31" t="n"/>
      <c r="AA746" s="31" t="n"/>
    </row>
    <row r="747" ht="14.25" customHeight="1">
      <c r="A747" s="31" t="n"/>
      <c r="D747" s="161" t="n"/>
      <c r="E747" s="161" t="n"/>
      <c r="P747" s="31" t="n"/>
      <c r="Q747" s="31" t="n"/>
      <c r="R747" s="31" t="n"/>
      <c r="S747" s="31" t="n"/>
      <c r="T747" s="31" t="n"/>
      <c r="U747" s="31" t="n"/>
      <c r="V747" s="31" t="n"/>
      <c r="W747" s="31" t="n"/>
      <c r="X747" s="31" t="n"/>
      <c r="Y747" s="31" t="n"/>
      <c r="Z747" s="31" t="n"/>
      <c r="AA747" s="31" t="n"/>
    </row>
    <row r="748" ht="14.25" customHeight="1">
      <c r="A748" s="31" t="n"/>
      <c r="D748" s="161" t="n"/>
      <c r="E748" s="161" t="n"/>
      <c r="P748" s="31" t="n"/>
      <c r="Q748" s="31" t="n"/>
      <c r="R748" s="31" t="n"/>
      <c r="S748" s="31" t="n"/>
      <c r="T748" s="31" t="n"/>
      <c r="U748" s="31" t="n"/>
      <c r="V748" s="31" t="n"/>
      <c r="W748" s="31" t="n"/>
      <c r="X748" s="31" t="n"/>
      <c r="Y748" s="31" t="n"/>
      <c r="Z748" s="31" t="n"/>
      <c r="AA748" s="31" t="n"/>
    </row>
    <row r="749" ht="14.25" customHeight="1">
      <c r="A749" s="31" t="n"/>
      <c r="D749" s="161" t="n"/>
      <c r="E749" s="161" t="n"/>
      <c r="P749" s="31" t="n"/>
      <c r="Q749" s="31" t="n"/>
      <c r="R749" s="31" t="n"/>
      <c r="S749" s="31" t="n"/>
      <c r="T749" s="31" t="n"/>
      <c r="U749" s="31" t="n"/>
      <c r="V749" s="31" t="n"/>
      <c r="W749" s="31" t="n"/>
      <c r="X749" s="31" t="n"/>
      <c r="Y749" s="31" t="n"/>
      <c r="Z749" s="31" t="n"/>
      <c r="AA749" s="31" t="n"/>
    </row>
    <row r="750" ht="14.25" customHeight="1">
      <c r="A750" s="31" t="n"/>
      <c r="D750" s="161" t="n"/>
      <c r="E750" s="161" t="n"/>
      <c r="P750" s="31" t="n"/>
      <c r="Q750" s="31" t="n"/>
      <c r="R750" s="31" t="n"/>
      <c r="S750" s="31" t="n"/>
      <c r="T750" s="31" t="n"/>
      <c r="U750" s="31" t="n"/>
      <c r="V750" s="31" t="n"/>
      <c r="W750" s="31" t="n"/>
      <c r="X750" s="31" t="n"/>
      <c r="Y750" s="31" t="n"/>
      <c r="Z750" s="31" t="n"/>
      <c r="AA750" s="31" t="n"/>
    </row>
    <row r="751" ht="14.25" customHeight="1">
      <c r="A751" s="31" t="n"/>
      <c r="D751" s="161" t="n"/>
      <c r="E751" s="161" t="n"/>
      <c r="P751" s="31" t="n"/>
      <c r="Q751" s="31" t="n"/>
      <c r="R751" s="31" t="n"/>
      <c r="S751" s="31" t="n"/>
      <c r="T751" s="31" t="n"/>
      <c r="U751" s="31" t="n"/>
      <c r="V751" s="31" t="n"/>
      <c r="W751" s="31" t="n"/>
      <c r="X751" s="31" t="n"/>
      <c r="Y751" s="31" t="n"/>
      <c r="Z751" s="31" t="n"/>
      <c r="AA751" s="31" t="n"/>
    </row>
    <row r="752" ht="14.25" customHeight="1">
      <c r="A752" s="31" t="n"/>
      <c r="D752" s="161" t="n"/>
      <c r="E752" s="161" t="n"/>
      <c r="P752" s="31" t="n"/>
      <c r="Q752" s="31" t="n"/>
      <c r="R752" s="31" t="n"/>
      <c r="S752" s="31" t="n"/>
      <c r="T752" s="31" t="n"/>
      <c r="U752" s="31" t="n"/>
      <c r="V752" s="31" t="n"/>
      <c r="W752" s="31" t="n"/>
      <c r="X752" s="31" t="n"/>
      <c r="Y752" s="31" t="n"/>
      <c r="Z752" s="31" t="n"/>
      <c r="AA752" s="31" t="n"/>
    </row>
    <row r="753" ht="14.25" customHeight="1">
      <c r="A753" s="31" t="n"/>
      <c r="D753" s="161" t="n"/>
      <c r="E753" s="161" t="n"/>
      <c r="P753" s="31" t="n"/>
      <c r="Q753" s="31" t="n"/>
      <c r="R753" s="31" t="n"/>
      <c r="S753" s="31" t="n"/>
      <c r="T753" s="31" t="n"/>
      <c r="U753" s="31" t="n"/>
      <c r="V753" s="31" t="n"/>
      <c r="W753" s="31" t="n"/>
      <c r="X753" s="31" t="n"/>
      <c r="Y753" s="31" t="n"/>
      <c r="Z753" s="31" t="n"/>
      <c r="AA753" s="31" t="n"/>
    </row>
    <row r="754" ht="14.25" customHeight="1">
      <c r="A754" s="31" t="n"/>
      <c r="D754" s="161" t="n"/>
      <c r="E754" s="161" t="n"/>
      <c r="P754" s="31" t="n"/>
      <c r="Q754" s="31" t="n"/>
      <c r="R754" s="31" t="n"/>
      <c r="S754" s="31" t="n"/>
      <c r="T754" s="31" t="n"/>
      <c r="U754" s="31" t="n"/>
      <c r="V754" s="31" t="n"/>
      <c r="W754" s="31" t="n"/>
      <c r="X754" s="31" t="n"/>
      <c r="Y754" s="31" t="n"/>
      <c r="Z754" s="31" t="n"/>
      <c r="AA754" s="31" t="n"/>
    </row>
    <row r="755" ht="14.25" customHeight="1">
      <c r="A755" s="31" t="n"/>
      <c r="D755" s="161" t="n"/>
      <c r="E755" s="161" t="n"/>
      <c r="P755" s="31" t="n"/>
      <c r="Q755" s="31" t="n"/>
      <c r="R755" s="31" t="n"/>
      <c r="S755" s="31" t="n"/>
      <c r="T755" s="31" t="n"/>
      <c r="U755" s="31" t="n"/>
      <c r="V755" s="31" t="n"/>
      <c r="W755" s="31" t="n"/>
      <c r="X755" s="31" t="n"/>
      <c r="Y755" s="31" t="n"/>
      <c r="Z755" s="31" t="n"/>
      <c r="AA755" s="31" t="n"/>
    </row>
    <row r="756" ht="14.25" customHeight="1">
      <c r="A756" s="31" t="n"/>
      <c r="D756" s="161" t="n"/>
      <c r="E756" s="161" t="n"/>
      <c r="P756" s="31" t="n"/>
      <c r="Q756" s="31" t="n"/>
      <c r="R756" s="31" t="n"/>
      <c r="S756" s="31" t="n"/>
      <c r="T756" s="31" t="n"/>
      <c r="U756" s="31" t="n"/>
      <c r="V756" s="31" t="n"/>
      <c r="W756" s="31" t="n"/>
      <c r="X756" s="31" t="n"/>
      <c r="Y756" s="31" t="n"/>
      <c r="Z756" s="31" t="n"/>
      <c r="AA756" s="31" t="n"/>
    </row>
    <row r="757" ht="14.25" customHeight="1">
      <c r="A757" s="31" t="n"/>
      <c r="D757" s="161" t="n"/>
      <c r="E757" s="161" t="n"/>
      <c r="P757" s="31" t="n"/>
      <c r="Q757" s="31" t="n"/>
      <c r="R757" s="31" t="n"/>
      <c r="S757" s="31" t="n"/>
      <c r="T757" s="31" t="n"/>
      <c r="U757" s="31" t="n"/>
      <c r="V757" s="31" t="n"/>
      <c r="W757" s="31" t="n"/>
      <c r="X757" s="31" t="n"/>
      <c r="Y757" s="31" t="n"/>
      <c r="Z757" s="31" t="n"/>
      <c r="AA757" s="31" t="n"/>
    </row>
    <row r="758" ht="14.25" customHeight="1">
      <c r="A758" s="31" t="n"/>
      <c r="D758" s="161" t="n"/>
      <c r="E758" s="161" t="n"/>
      <c r="P758" s="31" t="n"/>
      <c r="Q758" s="31" t="n"/>
      <c r="R758" s="31" t="n"/>
      <c r="S758" s="31" t="n"/>
      <c r="T758" s="31" t="n"/>
      <c r="U758" s="31" t="n"/>
      <c r="V758" s="31" t="n"/>
      <c r="W758" s="31" t="n"/>
      <c r="X758" s="31" t="n"/>
      <c r="Y758" s="31" t="n"/>
      <c r="Z758" s="31" t="n"/>
      <c r="AA758" s="31" t="n"/>
    </row>
    <row r="759" ht="14.25" customHeight="1">
      <c r="A759" s="31" t="n"/>
      <c r="D759" s="161" t="n"/>
      <c r="E759" s="161" t="n"/>
      <c r="P759" s="31" t="n"/>
      <c r="Q759" s="31" t="n"/>
      <c r="R759" s="31" t="n"/>
      <c r="S759" s="31" t="n"/>
      <c r="T759" s="31" t="n"/>
      <c r="U759" s="31" t="n"/>
      <c r="V759" s="31" t="n"/>
      <c r="W759" s="31" t="n"/>
      <c r="X759" s="31" t="n"/>
      <c r="Y759" s="31" t="n"/>
      <c r="Z759" s="31" t="n"/>
      <c r="AA759" s="31" t="n"/>
    </row>
    <row r="760" ht="14.25" customHeight="1">
      <c r="A760" s="31" t="n"/>
      <c r="D760" s="161" t="n"/>
      <c r="E760" s="161" t="n"/>
      <c r="P760" s="31" t="n"/>
      <c r="Q760" s="31" t="n"/>
      <c r="R760" s="31" t="n"/>
      <c r="S760" s="31" t="n"/>
      <c r="T760" s="31" t="n"/>
      <c r="U760" s="31" t="n"/>
      <c r="V760" s="31" t="n"/>
      <c r="W760" s="31" t="n"/>
      <c r="X760" s="31" t="n"/>
      <c r="Y760" s="31" t="n"/>
      <c r="Z760" s="31" t="n"/>
      <c r="AA760" s="31" t="n"/>
    </row>
    <row r="761" ht="14.25" customHeight="1">
      <c r="A761" s="31" t="n"/>
      <c r="D761" s="161" t="n"/>
      <c r="E761" s="161" t="n"/>
      <c r="P761" s="31" t="n"/>
      <c r="Q761" s="31" t="n"/>
      <c r="R761" s="31" t="n"/>
      <c r="S761" s="31" t="n"/>
      <c r="T761" s="31" t="n"/>
      <c r="U761" s="31" t="n"/>
      <c r="V761" s="31" t="n"/>
      <c r="W761" s="31" t="n"/>
      <c r="X761" s="31" t="n"/>
      <c r="Y761" s="31" t="n"/>
      <c r="Z761" s="31" t="n"/>
      <c r="AA761" s="31" t="n"/>
    </row>
    <row r="762" ht="14.25" customHeight="1">
      <c r="A762" s="31" t="n"/>
      <c r="D762" s="161" t="n"/>
      <c r="E762" s="161" t="n"/>
      <c r="P762" s="31" t="n"/>
      <c r="Q762" s="31" t="n"/>
      <c r="R762" s="31" t="n"/>
      <c r="S762" s="31" t="n"/>
      <c r="T762" s="31" t="n"/>
      <c r="U762" s="31" t="n"/>
      <c r="V762" s="31" t="n"/>
      <c r="W762" s="31" t="n"/>
      <c r="X762" s="31" t="n"/>
      <c r="Y762" s="31" t="n"/>
      <c r="Z762" s="31" t="n"/>
      <c r="AA762" s="31" t="n"/>
    </row>
    <row r="763" ht="14.25" customHeight="1">
      <c r="A763" s="31" t="n"/>
      <c r="D763" s="161" t="n"/>
      <c r="E763" s="161" t="n"/>
      <c r="P763" s="31" t="n"/>
      <c r="Q763" s="31" t="n"/>
      <c r="R763" s="31" t="n"/>
      <c r="S763" s="31" t="n"/>
      <c r="T763" s="31" t="n"/>
      <c r="U763" s="31" t="n"/>
      <c r="V763" s="31" t="n"/>
      <c r="W763" s="31" t="n"/>
      <c r="X763" s="31" t="n"/>
      <c r="Y763" s="31" t="n"/>
      <c r="Z763" s="31" t="n"/>
      <c r="AA763" s="31" t="n"/>
    </row>
    <row r="764" ht="14.25" customHeight="1">
      <c r="A764" s="31" t="n"/>
      <c r="D764" s="161" t="n"/>
      <c r="E764" s="161" t="n"/>
      <c r="P764" s="31" t="n"/>
      <c r="Q764" s="31" t="n"/>
      <c r="R764" s="31" t="n"/>
      <c r="S764" s="31" t="n"/>
      <c r="T764" s="31" t="n"/>
      <c r="U764" s="31" t="n"/>
      <c r="V764" s="31" t="n"/>
      <c r="W764" s="31" t="n"/>
      <c r="X764" s="31" t="n"/>
      <c r="Y764" s="31" t="n"/>
      <c r="Z764" s="31" t="n"/>
      <c r="AA764" s="31" t="n"/>
    </row>
    <row r="765" ht="14.25" customHeight="1">
      <c r="A765" s="31" t="n"/>
      <c r="D765" s="161" t="n"/>
      <c r="E765" s="161" t="n"/>
      <c r="P765" s="31" t="n"/>
      <c r="Q765" s="31" t="n"/>
      <c r="R765" s="31" t="n"/>
      <c r="S765" s="31" t="n"/>
      <c r="T765" s="31" t="n"/>
      <c r="U765" s="31" t="n"/>
      <c r="V765" s="31" t="n"/>
      <c r="W765" s="31" t="n"/>
      <c r="X765" s="31" t="n"/>
      <c r="Y765" s="31" t="n"/>
      <c r="Z765" s="31" t="n"/>
      <c r="AA765" s="31" t="n"/>
    </row>
    <row r="766" ht="14.25" customHeight="1">
      <c r="A766" s="31" t="n"/>
      <c r="D766" s="161" t="n"/>
      <c r="E766" s="161" t="n"/>
      <c r="P766" s="31" t="n"/>
      <c r="Q766" s="31" t="n"/>
      <c r="R766" s="31" t="n"/>
      <c r="S766" s="31" t="n"/>
      <c r="T766" s="31" t="n"/>
      <c r="U766" s="31" t="n"/>
      <c r="V766" s="31" t="n"/>
      <c r="W766" s="31" t="n"/>
      <c r="X766" s="31" t="n"/>
      <c r="Y766" s="31" t="n"/>
      <c r="Z766" s="31" t="n"/>
      <c r="AA766" s="31" t="n"/>
    </row>
    <row r="767" ht="14.25" customHeight="1">
      <c r="A767" s="31" t="n"/>
      <c r="D767" s="161" t="n"/>
      <c r="E767" s="161" t="n"/>
      <c r="P767" s="31" t="n"/>
      <c r="Q767" s="31" t="n"/>
      <c r="R767" s="31" t="n"/>
      <c r="S767" s="31" t="n"/>
      <c r="T767" s="31" t="n"/>
      <c r="U767" s="31" t="n"/>
      <c r="V767" s="31" t="n"/>
      <c r="W767" s="31" t="n"/>
      <c r="X767" s="31" t="n"/>
      <c r="Y767" s="31" t="n"/>
      <c r="Z767" s="31" t="n"/>
      <c r="AA767" s="31" t="n"/>
    </row>
    <row r="768" ht="14.25" customHeight="1">
      <c r="A768" s="31" t="n"/>
      <c r="D768" s="161" t="n"/>
      <c r="E768" s="161" t="n"/>
      <c r="P768" s="31" t="n"/>
      <c r="Q768" s="31" t="n"/>
      <c r="R768" s="31" t="n"/>
      <c r="S768" s="31" t="n"/>
      <c r="T768" s="31" t="n"/>
      <c r="U768" s="31" t="n"/>
      <c r="V768" s="31" t="n"/>
      <c r="W768" s="31" t="n"/>
      <c r="X768" s="31" t="n"/>
      <c r="Y768" s="31" t="n"/>
      <c r="Z768" s="31" t="n"/>
      <c r="AA768" s="31" t="n"/>
    </row>
    <row r="769" ht="14.25" customHeight="1">
      <c r="A769" s="31" t="n"/>
      <c r="D769" s="161" t="n"/>
      <c r="E769" s="161" t="n"/>
      <c r="P769" s="31" t="n"/>
      <c r="Q769" s="31" t="n"/>
      <c r="R769" s="31" t="n"/>
      <c r="S769" s="31" t="n"/>
      <c r="T769" s="31" t="n"/>
      <c r="U769" s="31" t="n"/>
      <c r="V769" s="31" t="n"/>
      <c r="W769" s="31" t="n"/>
      <c r="X769" s="31" t="n"/>
      <c r="Y769" s="31" t="n"/>
      <c r="Z769" s="31" t="n"/>
      <c r="AA769" s="31" t="n"/>
    </row>
    <row r="770" ht="14.25" customHeight="1">
      <c r="A770" s="31" t="n"/>
      <c r="D770" s="161" t="n"/>
      <c r="E770" s="161" t="n"/>
      <c r="P770" s="31" t="n"/>
      <c r="Q770" s="31" t="n"/>
      <c r="R770" s="31" t="n"/>
      <c r="S770" s="31" t="n"/>
      <c r="T770" s="31" t="n"/>
      <c r="U770" s="31" t="n"/>
      <c r="V770" s="31" t="n"/>
      <c r="W770" s="31" t="n"/>
      <c r="X770" s="31" t="n"/>
      <c r="Y770" s="31" t="n"/>
      <c r="Z770" s="31" t="n"/>
      <c r="AA770" s="31" t="n"/>
    </row>
    <row r="771" ht="14.25" customHeight="1">
      <c r="A771" s="31" t="n"/>
      <c r="D771" s="161" t="n"/>
      <c r="E771" s="161" t="n"/>
      <c r="P771" s="31" t="n"/>
      <c r="Q771" s="31" t="n"/>
      <c r="R771" s="31" t="n"/>
      <c r="S771" s="31" t="n"/>
      <c r="T771" s="31" t="n"/>
      <c r="U771" s="31" t="n"/>
      <c r="V771" s="31" t="n"/>
      <c r="W771" s="31" t="n"/>
      <c r="X771" s="31" t="n"/>
      <c r="Y771" s="31" t="n"/>
      <c r="Z771" s="31" t="n"/>
      <c r="AA771" s="31" t="n"/>
    </row>
    <row r="772" ht="14.25" customHeight="1">
      <c r="A772" s="31" t="n"/>
      <c r="D772" s="161" t="n"/>
      <c r="E772" s="161" t="n"/>
      <c r="P772" s="31" t="n"/>
      <c r="Q772" s="31" t="n"/>
      <c r="R772" s="31" t="n"/>
      <c r="S772" s="31" t="n"/>
      <c r="T772" s="31" t="n"/>
      <c r="U772" s="31" t="n"/>
      <c r="V772" s="31" t="n"/>
      <c r="W772" s="31" t="n"/>
      <c r="X772" s="31" t="n"/>
      <c r="Y772" s="31" t="n"/>
      <c r="Z772" s="31" t="n"/>
      <c r="AA772" s="31" t="n"/>
    </row>
    <row r="773" ht="14.25" customHeight="1">
      <c r="A773" s="31" t="n"/>
      <c r="D773" s="161" t="n"/>
      <c r="E773" s="161" t="n"/>
      <c r="P773" s="31" t="n"/>
      <c r="Q773" s="31" t="n"/>
      <c r="R773" s="31" t="n"/>
      <c r="S773" s="31" t="n"/>
      <c r="T773" s="31" t="n"/>
      <c r="U773" s="31" t="n"/>
      <c r="V773" s="31" t="n"/>
      <c r="W773" s="31" t="n"/>
      <c r="X773" s="31" t="n"/>
      <c r="Y773" s="31" t="n"/>
      <c r="Z773" s="31" t="n"/>
      <c r="AA773" s="31" t="n"/>
    </row>
    <row r="774" ht="14.25" customHeight="1">
      <c r="A774" s="31" t="n"/>
      <c r="D774" s="161" t="n"/>
      <c r="E774" s="161" t="n"/>
      <c r="P774" s="31" t="n"/>
      <c r="Q774" s="31" t="n"/>
      <c r="R774" s="31" t="n"/>
      <c r="S774" s="31" t="n"/>
      <c r="T774" s="31" t="n"/>
      <c r="U774" s="31" t="n"/>
      <c r="V774" s="31" t="n"/>
      <c r="W774" s="31" t="n"/>
      <c r="X774" s="31" t="n"/>
      <c r="Y774" s="31" t="n"/>
      <c r="Z774" s="31" t="n"/>
      <c r="AA774" s="31" t="n"/>
    </row>
    <row r="775" ht="14.25" customHeight="1">
      <c r="A775" s="31" t="n"/>
      <c r="D775" s="161" t="n"/>
      <c r="E775" s="161" t="n"/>
      <c r="P775" s="31" t="n"/>
      <c r="Q775" s="31" t="n"/>
      <c r="R775" s="31" t="n"/>
      <c r="S775" s="31" t="n"/>
      <c r="T775" s="31" t="n"/>
      <c r="U775" s="31" t="n"/>
      <c r="V775" s="31" t="n"/>
      <c r="W775" s="31" t="n"/>
      <c r="X775" s="31" t="n"/>
      <c r="Y775" s="31" t="n"/>
      <c r="Z775" s="31" t="n"/>
      <c r="AA775" s="31" t="n"/>
    </row>
    <row r="776" ht="14.25" customHeight="1">
      <c r="A776" s="31" t="n"/>
      <c r="D776" s="161" t="n"/>
      <c r="E776" s="161" t="n"/>
      <c r="P776" s="31" t="n"/>
      <c r="Q776" s="31" t="n"/>
      <c r="R776" s="31" t="n"/>
      <c r="S776" s="31" t="n"/>
      <c r="T776" s="31" t="n"/>
      <c r="U776" s="31" t="n"/>
      <c r="V776" s="31" t="n"/>
      <c r="W776" s="31" t="n"/>
      <c r="X776" s="31" t="n"/>
      <c r="Y776" s="31" t="n"/>
      <c r="Z776" s="31" t="n"/>
      <c r="AA776" s="31" t="n"/>
    </row>
    <row r="777" ht="14.25" customHeight="1">
      <c r="A777" s="31" t="n"/>
      <c r="D777" s="161" t="n"/>
      <c r="E777" s="161" t="n"/>
      <c r="P777" s="31" t="n"/>
      <c r="Q777" s="31" t="n"/>
      <c r="R777" s="31" t="n"/>
      <c r="S777" s="31" t="n"/>
      <c r="T777" s="31" t="n"/>
      <c r="U777" s="31" t="n"/>
      <c r="V777" s="31" t="n"/>
      <c r="W777" s="31" t="n"/>
      <c r="X777" s="31" t="n"/>
      <c r="Y777" s="31" t="n"/>
      <c r="Z777" s="31" t="n"/>
      <c r="AA777" s="31" t="n"/>
    </row>
    <row r="778" ht="14.25" customHeight="1">
      <c r="A778" s="31" t="n"/>
      <c r="D778" s="161" t="n"/>
      <c r="E778" s="161" t="n"/>
      <c r="P778" s="31" t="n"/>
      <c r="Q778" s="31" t="n"/>
      <c r="R778" s="31" t="n"/>
      <c r="S778" s="31" t="n"/>
      <c r="T778" s="31" t="n"/>
      <c r="U778" s="31" t="n"/>
      <c r="V778" s="31" t="n"/>
      <c r="W778" s="31" t="n"/>
      <c r="X778" s="31" t="n"/>
      <c r="Y778" s="31" t="n"/>
      <c r="Z778" s="31" t="n"/>
      <c r="AA778" s="31" t="n"/>
    </row>
    <row r="779" ht="14.25" customHeight="1">
      <c r="A779" s="31" t="n"/>
      <c r="D779" s="161" t="n"/>
      <c r="E779" s="161" t="n"/>
      <c r="P779" s="31" t="n"/>
      <c r="Q779" s="31" t="n"/>
      <c r="R779" s="31" t="n"/>
      <c r="S779" s="31" t="n"/>
      <c r="T779" s="31" t="n"/>
      <c r="U779" s="31" t="n"/>
      <c r="V779" s="31" t="n"/>
      <c r="W779" s="31" t="n"/>
      <c r="X779" s="31" t="n"/>
      <c r="Y779" s="31" t="n"/>
      <c r="Z779" s="31" t="n"/>
      <c r="AA779" s="31" t="n"/>
    </row>
    <row r="780" ht="14.25" customHeight="1">
      <c r="A780" s="31" t="n"/>
      <c r="D780" s="161" t="n"/>
      <c r="E780" s="161" t="n"/>
      <c r="P780" s="31" t="n"/>
      <c r="Q780" s="31" t="n"/>
      <c r="R780" s="31" t="n"/>
      <c r="S780" s="31" t="n"/>
      <c r="T780" s="31" t="n"/>
      <c r="U780" s="31" t="n"/>
      <c r="V780" s="31" t="n"/>
      <c r="W780" s="31" t="n"/>
      <c r="X780" s="31" t="n"/>
      <c r="Y780" s="31" t="n"/>
      <c r="Z780" s="31" t="n"/>
      <c r="AA780" s="31" t="n"/>
    </row>
    <row r="781" ht="14.25" customHeight="1">
      <c r="A781" s="31" t="n"/>
      <c r="D781" s="161" t="n"/>
      <c r="E781" s="161" t="n"/>
      <c r="P781" s="31" t="n"/>
      <c r="Q781" s="31" t="n"/>
      <c r="R781" s="31" t="n"/>
      <c r="S781" s="31" t="n"/>
      <c r="T781" s="31" t="n"/>
      <c r="U781" s="31" t="n"/>
      <c r="V781" s="31" t="n"/>
      <c r="W781" s="31" t="n"/>
      <c r="X781" s="31" t="n"/>
      <c r="Y781" s="31" t="n"/>
      <c r="Z781" s="31" t="n"/>
      <c r="AA781" s="31" t="n"/>
    </row>
    <row r="782" ht="14.25" customHeight="1">
      <c r="A782" s="31" t="n"/>
      <c r="D782" s="161" t="n"/>
      <c r="E782" s="161" t="n"/>
      <c r="P782" s="31" t="n"/>
      <c r="Q782" s="31" t="n"/>
      <c r="R782" s="31" t="n"/>
      <c r="S782" s="31" t="n"/>
      <c r="T782" s="31" t="n"/>
      <c r="U782" s="31" t="n"/>
      <c r="V782" s="31" t="n"/>
      <c r="W782" s="31" t="n"/>
      <c r="X782" s="31" t="n"/>
      <c r="Y782" s="31" t="n"/>
      <c r="Z782" s="31" t="n"/>
      <c r="AA782" s="31" t="n"/>
    </row>
    <row r="783" ht="14.25" customHeight="1">
      <c r="A783" s="31" t="n"/>
      <c r="D783" s="161" t="n"/>
      <c r="E783" s="161" t="n"/>
      <c r="P783" s="31" t="n"/>
      <c r="Q783" s="31" t="n"/>
      <c r="R783" s="31" t="n"/>
      <c r="S783" s="31" t="n"/>
      <c r="T783" s="31" t="n"/>
      <c r="U783" s="31" t="n"/>
      <c r="V783" s="31" t="n"/>
      <c r="W783" s="31" t="n"/>
      <c r="X783" s="31" t="n"/>
      <c r="Y783" s="31" t="n"/>
      <c r="Z783" s="31" t="n"/>
      <c r="AA783" s="31" t="n"/>
    </row>
    <row r="784" ht="14.25" customHeight="1">
      <c r="A784" s="31" t="n"/>
      <c r="D784" s="161" t="n"/>
      <c r="E784" s="161" t="n"/>
      <c r="P784" s="31" t="n"/>
      <c r="Q784" s="31" t="n"/>
      <c r="R784" s="31" t="n"/>
      <c r="S784" s="31" t="n"/>
      <c r="T784" s="31" t="n"/>
      <c r="U784" s="31" t="n"/>
      <c r="V784" s="31" t="n"/>
      <c r="W784" s="31" t="n"/>
      <c r="X784" s="31" t="n"/>
      <c r="Y784" s="31" t="n"/>
      <c r="Z784" s="31" t="n"/>
      <c r="AA784" s="31" t="n"/>
    </row>
    <row r="785" ht="14.25" customHeight="1">
      <c r="A785" s="31" t="n"/>
      <c r="D785" s="161" t="n"/>
      <c r="E785" s="161" t="n"/>
      <c r="P785" s="31" t="n"/>
      <c r="Q785" s="31" t="n"/>
      <c r="R785" s="31" t="n"/>
      <c r="S785" s="31" t="n"/>
      <c r="T785" s="31" t="n"/>
      <c r="U785" s="31" t="n"/>
      <c r="V785" s="31" t="n"/>
      <c r="W785" s="31" t="n"/>
      <c r="X785" s="31" t="n"/>
      <c r="Y785" s="31" t="n"/>
      <c r="Z785" s="31" t="n"/>
      <c r="AA785" s="31" t="n"/>
    </row>
    <row r="786" ht="14.25" customHeight="1">
      <c r="A786" s="31" t="n"/>
      <c r="D786" s="161" t="n"/>
      <c r="E786" s="161" t="n"/>
      <c r="P786" s="31" t="n"/>
      <c r="Q786" s="31" t="n"/>
      <c r="R786" s="31" t="n"/>
      <c r="S786" s="31" t="n"/>
      <c r="T786" s="31" t="n"/>
      <c r="U786" s="31" t="n"/>
      <c r="V786" s="31" t="n"/>
      <c r="W786" s="31" t="n"/>
      <c r="X786" s="31" t="n"/>
      <c r="Y786" s="31" t="n"/>
      <c r="Z786" s="31" t="n"/>
      <c r="AA786" s="31" t="n"/>
    </row>
    <row r="787" ht="14.25" customHeight="1">
      <c r="A787" s="31" t="n"/>
      <c r="D787" s="161" t="n"/>
      <c r="E787" s="161" t="n"/>
      <c r="P787" s="31" t="n"/>
      <c r="Q787" s="31" t="n"/>
      <c r="R787" s="31" t="n"/>
      <c r="S787" s="31" t="n"/>
      <c r="T787" s="31" t="n"/>
      <c r="U787" s="31" t="n"/>
      <c r="V787" s="31" t="n"/>
      <c r="W787" s="31" t="n"/>
      <c r="X787" s="31" t="n"/>
      <c r="Y787" s="31" t="n"/>
      <c r="Z787" s="31" t="n"/>
      <c r="AA787" s="31" t="n"/>
    </row>
    <row r="788" ht="14.25" customHeight="1">
      <c r="A788" s="31" t="n"/>
      <c r="D788" s="161" t="n"/>
      <c r="E788" s="161" t="n"/>
      <c r="P788" s="31" t="n"/>
      <c r="Q788" s="31" t="n"/>
      <c r="R788" s="31" t="n"/>
      <c r="S788" s="31" t="n"/>
      <c r="T788" s="31" t="n"/>
      <c r="U788" s="31" t="n"/>
      <c r="V788" s="31" t="n"/>
      <c r="W788" s="31" t="n"/>
      <c r="X788" s="31" t="n"/>
      <c r="Y788" s="31" t="n"/>
      <c r="Z788" s="31" t="n"/>
      <c r="AA788" s="31" t="n"/>
    </row>
    <row r="789" ht="14.25" customHeight="1">
      <c r="A789" s="31" t="n"/>
      <c r="D789" s="161" t="n"/>
      <c r="E789" s="161" t="n"/>
      <c r="P789" s="31" t="n"/>
      <c r="Q789" s="31" t="n"/>
      <c r="R789" s="31" t="n"/>
      <c r="S789" s="31" t="n"/>
      <c r="T789" s="31" t="n"/>
      <c r="U789" s="31" t="n"/>
      <c r="V789" s="31" t="n"/>
      <c r="W789" s="31" t="n"/>
      <c r="X789" s="31" t="n"/>
      <c r="Y789" s="31" t="n"/>
      <c r="Z789" s="31" t="n"/>
      <c r="AA789" s="31" t="n"/>
    </row>
    <row r="790" ht="14.25" customHeight="1">
      <c r="A790" s="31" t="n"/>
      <c r="D790" s="161" t="n"/>
      <c r="E790" s="161" t="n"/>
      <c r="P790" s="31" t="n"/>
      <c r="Q790" s="31" t="n"/>
      <c r="R790" s="31" t="n"/>
      <c r="S790" s="31" t="n"/>
      <c r="T790" s="31" t="n"/>
      <c r="U790" s="31" t="n"/>
      <c r="V790" s="31" t="n"/>
      <c r="W790" s="31" t="n"/>
      <c r="X790" s="31" t="n"/>
      <c r="Y790" s="31" t="n"/>
      <c r="Z790" s="31" t="n"/>
      <c r="AA790" s="31" t="n"/>
    </row>
    <row r="791" ht="14.25" customHeight="1">
      <c r="A791" s="31" t="n"/>
      <c r="D791" s="161" t="n"/>
      <c r="E791" s="161" t="n"/>
      <c r="P791" s="31" t="n"/>
      <c r="Q791" s="31" t="n"/>
      <c r="R791" s="31" t="n"/>
      <c r="S791" s="31" t="n"/>
      <c r="T791" s="31" t="n"/>
      <c r="U791" s="31" t="n"/>
      <c r="V791" s="31" t="n"/>
      <c r="W791" s="31" t="n"/>
      <c r="X791" s="31" t="n"/>
      <c r="Y791" s="31" t="n"/>
      <c r="Z791" s="31" t="n"/>
      <c r="AA791" s="31" t="n"/>
    </row>
    <row r="792" ht="14.25" customHeight="1">
      <c r="A792" s="31" t="n"/>
      <c r="D792" s="161" t="n"/>
      <c r="E792" s="161" t="n"/>
      <c r="P792" s="31" t="n"/>
      <c r="Q792" s="31" t="n"/>
      <c r="R792" s="31" t="n"/>
      <c r="S792" s="31" t="n"/>
      <c r="T792" s="31" t="n"/>
      <c r="U792" s="31" t="n"/>
      <c r="V792" s="31" t="n"/>
      <c r="W792" s="31" t="n"/>
      <c r="X792" s="31" t="n"/>
      <c r="Y792" s="31" t="n"/>
      <c r="Z792" s="31" t="n"/>
      <c r="AA792" s="31" t="n"/>
    </row>
    <row r="793" ht="14.25" customHeight="1">
      <c r="A793" s="31" t="n"/>
      <c r="D793" s="161" t="n"/>
      <c r="E793" s="161" t="n"/>
      <c r="P793" s="31" t="n"/>
      <c r="Q793" s="31" t="n"/>
      <c r="R793" s="31" t="n"/>
      <c r="S793" s="31" t="n"/>
      <c r="T793" s="31" t="n"/>
      <c r="U793" s="31" t="n"/>
      <c r="V793" s="31" t="n"/>
      <c r="W793" s="31" t="n"/>
      <c r="X793" s="31" t="n"/>
      <c r="Y793" s="31" t="n"/>
      <c r="Z793" s="31" t="n"/>
      <c r="AA793" s="31" t="n"/>
    </row>
    <row r="794" ht="14.25" customHeight="1">
      <c r="A794" s="31" t="n"/>
      <c r="D794" s="161" t="n"/>
      <c r="E794" s="161" t="n"/>
      <c r="P794" s="31" t="n"/>
      <c r="Q794" s="31" t="n"/>
      <c r="R794" s="31" t="n"/>
      <c r="S794" s="31" t="n"/>
      <c r="T794" s="31" t="n"/>
      <c r="U794" s="31" t="n"/>
      <c r="V794" s="31" t="n"/>
      <c r="W794" s="31" t="n"/>
      <c r="X794" s="31" t="n"/>
      <c r="Y794" s="31" t="n"/>
      <c r="Z794" s="31" t="n"/>
      <c r="AA794" s="31" t="n"/>
    </row>
    <row r="795" ht="14.25" customHeight="1">
      <c r="A795" s="31" t="n"/>
      <c r="D795" s="161" t="n"/>
      <c r="E795" s="161" t="n"/>
      <c r="P795" s="31" t="n"/>
      <c r="Q795" s="31" t="n"/>
      <c r="R795" s="31" t="n"/>
      <c r="S795" s="31" t="n"/>
      <c r="T795" s="31" t="n"/>
      <c r="U795" s="31" t="n"/>
      <c r="V795" s="31" t="n"/>
      <c r="W795" s="31" t="n"/>
      <c r="X795" s="31" t="n"/>
      <c r="Y795" s="31" t="n"/>
      <c r="Z795" s="31" t="n"/>
      <c r="AA795" s="31" t="n"/>
    </row>
    <row r="796" ht="14.25" customHeight="1">
      <c r="A796" s="31" t="n"/>
      <c r="D796" s="161" t="n"/>
      <c r="E796" s="161" t="n"/>
      <c r="P796" s="31" t="n"/>
      <c r="Q796" s="31" t="n"/>
      <c r="R796" s="31" t="n"/>
      <c r="S796" s="31" t="n"/>
      <c r="T796" s="31" t="n"/>
      <c r="U796" s="31" t="n"/>
      <c r="V796" s="31" t="n"/>
      <c r="W796" s="31" t="n"/>
      <c r="X796" s="31" t="n"/>
      <c r="Y796" s="31" t="n"/>
      <c r="Z796" s="31" t="n"/>
      <c r="AA796" s="31" t="n"/>
    </row>
    <row r="797" ht="14.25" customHeight="1">
      <c r="A797" s="31" t="n"/>
      <c r="D797" s="161" t="n"/>
      <c r="E797" s="161" t="n"/>
      <c r="P797" s="31" t="n"/>
      <c r="Q797" s="31" t="n"/>
      <c r="R797" s="31" t="n"/>
      <c r="S797" s="31" t="n"/>
      <c r="T797" s="31" t="n"/>
      <c r="U797" s="31" t="n"/>
      <c r="V797" s="31" t="n"/>
      <c r="W797" s="31" t="n"/>
      <c r="X797" s="31" t="n"/>
      <c r="Y797" s="31" t="n"/>
      <c r="Z797" s="31" t="n"/>
      <c r="AA797" s="31" t="n"/>
    </row>
    <row r="798" ht="14.25" customHeight="1">
      <c r="A798" s="31" t="n"/>
      <c r="D798" s="161" t="n"/>
      <c r="E798" s="161" t="n"/>
      <c r="P798" s="31" t="n"/>
      <c r="Q798" s="31" t="n"/>
      <c r="R798" s="31" t="n"/>
      <c r="S798" s="31" t="n"/>
      <c r="T798" s="31" t="n"/>
      <c r="U798" s="31" t="n"/>
      <c r="V798" s="31" t="n"/>
      <c r="W798" s="31" t="n"/>
      <c r="X798" s="31" t="n"/>
      <c r="Y798" s="31" t="n"/>
      <c r="Z798" s="31" t="n"/>
      <c r="AA798" s="31" t="n"/>
    </row>
    <row r="799" ht="14.25" customHeight="1">
      <c r="A799" s="31" t="n"/>
      <c r="D799" s="161" t="n"/>
      <c r="E799" s="161" t="n"/>
      <c r="P799" s="31" t="n"/>
      <c r="Q799" s="31" t="n"/>
      <c r="R799" s="31" t="n"/>
      <c r="S799" s="31" t="n"/>
      <c r="T799" s="31" t="n"/>
      <c r="U799" s="31" t="n"/>
      <c r="V799" s="31" t="n"/>
      <c r="W799" s="31" t="n"/>
      <c r="X799" s="31" t="n"/>
      <c r="Y799" s="31" t="n"/>
      <c r="Z799" s="31" t="n"/>
      <c r="AA799" s="31" t="n"/>
    </row>
    <row r="800" ht="14.25" customHeight="1">
      <c r="A800" s="31" t="n"/>
      <c r="D800" s="161" t="n"/>
      <c r="E800" s="161" t="n"/>
      <c r="P800" s="31" t="n"/>
      <c r="Q800" s="31" t="n"/>
      <c r="R800" s="31" t="n"/>
      <c r="S800" s="31" t="n"/>
      <c r="T800" s="31" t="n"/>
      <c r="U800" s="31" t="n"/>
      <c r="V800" s="31" t="n"/>
      <c r="W800" s="31" t="n"/>
      <c r="X800" s="31" t="n"/>
      <c r="Y800" s="31" t="n"/>
      <c r="Z800" s="31" t="n"/>
      <c r="AA800" s="31" t="n"/>
    </row>
    <row r="801" ht="14.25" customHeight="1">
      <c r="A801" s="31" t="n"/>
      <c r="D801" s="161" t="n"/>
      <c r="E801" s="161" t="n"/>
      <c r="P801" s="31" t="n"/>
      <c r="Q801" s="31" t="n"/>
      <c r="R801" s="31" t="n"/>
      <c r="S801" s="31" t="n"/>
      <c r="T801" s="31" t="n"/>
      <c r="U801" s="31" t="n"/>
      <c r="V801" s="31" t="n"/>
      <c r="W801" s="31" t="n"/>
      <c r="X801" s="31" t="n"/>
      <c r="Y801" s="31" t="n"/>
      <c r="Z801" s="31" t="n"/>
      <c r="AA801" s="31" t="n"/>
    </row>
    <row r="802" ht="14.25" customHeight="1">
      <c r="A802" s="31" t="n"/>
      <c r="D802" s="161" t="n"/>
      <c r="E802" s="161" t="n"/>
      <c r="P802" s="31" t="n"/>
      <c r="Q802" s="31" t="n"/>
      <c r="R802" s="31" t="n"/>
      <c r="S802" s="31" t="n"/>
      <c r="T802" s="31" t="n"/>
      <c r="U802" s="31" t="n"/>
      <c r="V802" s="31" t="n"/>
      <c r="W802" s="31" t="n"/>
      <c r="X802" s="31" t="n"/>
      <c r="Y802" s="31" t="n"/>
      <c r="Z802" s="31" t="n"/>
      <c r="AA802" s="31" t="n"/>
    </row>
    <row r="803" ht="14.25" customHeight="1">
      <c r="A803" s="31" t="n"/>
      <c r="D803" s="161" t="n"/>
      <c r="E803" s="161" t="n"/>
      <c r="P803" s="31" t="n"/>
      <c r="Q803" s="31" t="n"/>
      <c r="R803" s="31" t="n"/>
      <c r="S803" s="31" t="n"/>
      <c r="T803" s="31" t="n"/>
      <c r="U803" s="31" t="n"/>
      <c r="V803" s="31" t="n"/>
      <c r="W803" s="31" t="n"/>
      <c r="X803" s="31" t="n"/>
      <c r="Y803" s="31" t="n"/>
      <c r="Z803" s="31" t="n"/>
      <c r="AA803" s="31" t="n"/>
    </row>
    <row r="804" ht="14.25" customHeight="1">
      <c r="A804" s="31" t="n"/>
      <c r="D804" s="161" t="n"/>
      <c r="E804" s="161" t="n"/>
      <c r="P804" s="31" t="n"/>
      <c r="Q804" s="31" t="n"/>
      <c r="R804" s="31" t="n"/>
      <c r="S804" s="31" t="n"/>
      <c r="T804" s="31" t="n"/>
      <c r="U804" s="31" t="n"/>
      <c r="V804" s="31" t="n"/>
      <c r="W804" s="31" t="n"/>
      <c r="X804" s="31" t="n"/>
      <c r="Y804" s="31" t="n"/>
      <c r="Z804" s="31" t="n"/>
      <c r="AA804" s="31" t="n"/>
    </row>
    <row r="805" ht="14.25" customHeight="1">
      <c r="A805" s="31" t="n"/>
      <c r="D805" s="161" t="n"/>
      <c r="E805" s="161" t="n"/>
      <c r="P805" s="31" t="n"/>
      <c r="Q805" s="31" t="n"/>
      <c r="R805" s="31" t="n"/>
      <c r="S805" s="31" t="n"/>
      <c r="T805" s="31" t="n"/>
      <c r="U805" s="31" t="n"/>
      <c r="V805" s="31" t="n"/>
      <c r="W805" s="31" t="n"/>
      <c r="X805" s="31" t="n"/>
      <c r="Y805" s="31" t="n"/>
      <c r="Z805" s="31" t="n"/>
      <c r="AA805" s="31" t="n"/>
    </row>
    <row r="806" ht="14.25" customHeight="1">
      <c r="A806" s="31" t="n"/>
      <c r="D806" s="161" t="n"/>
      <c r="E806" s="161" t="n"/>
      <c r="P806" s="31" t="n"/>
      <c r="Q806" s="31" t="n"/>
      <c r="R806" s="31" t="n"/>
      <c r="S806" s="31" t="n"/>
      <c r="T806" s="31" t="n"/>
      <c r="U806" s="31" t="n"/>
      <c r="V806" s="31" t="n"/>
      <c r="W806" s="31" t="n"/>
      <c r="X806" s="31" t="n"/>
      <c r="Y806" s="31" t="n"/>
      <c r="Z806" s="31" t="n"/>
      <c r="AA806" s="31" t="n"/>
    </row>
    <row r="807" ht="14.25" customHeight="1">
      <c r="A807" s="31" t="n"/>
      <c r="D807" s="161" t="n"/>
      <c r="E807" s="161" t="n"/>
      <c r="P807" s="31" t="n"/>
      <c r="Q807" s="31" t="n"/>
      <c r="R807" s="31" t="n"/>
      <c r="S807" s="31" t="n"/>
      <c r="T807" s="31" t="n"/>
      <c r="U807" s="31" t="n"/>
      <c r="V807" s="31" t="n"/>
      <c r="W807" s="31" t="n"/>
      <c r="X807" s="31" t="n"/>
      <c r="Y807" s="31" t="n"/>
      <c r="Z807" s="31" t="n"/>
      <c r="AA807" s="31" t="n"/>
    </row>
    <row r="808" ht="14.25" customHeight="1">
      <c r="A808" s="31" t="n"/>
      <c r="D808" s="161" t="n"/>
      <c r="E808" s="161" t="n"/>
      <c r="P808" s="31" t="n"/>
      <c r="Q808" s="31" t="n"/>
      <c r="R808" s="31" t="n"/>
      <c r="S808" s="31" t="n"/>
      <c r="T808" s="31" t="n"/>
      <c r="U808" s="31" t="n"/>
      <c r="V808" s="31" t="n"/>
      <c r="W808" s="31" t="n"/>
      <c r="X808" s="31" t="n"/>
      <c r="Y808" s="31" t="n"/>
      <c r="Z808" s="31" t="n"/>
      <c r="AA808" s="31" t="n"/>
    </row>
    <row r="809" ht="14.25" customHeight="1">
      <c r="A809" s="31" t="n"/>
      <c r="D809" s="161" t="n"/>
      <c r="E809" s="161" t="n"/>
      <c r="P809" s="31" t="n"/>
      <c r="Q809" s="31" t="n"/>
      <c r="R809" s="31" t="n"/>
      <c r="S809" s="31" t="n"/>
      <c r="T809" s="31" t="n"/>
      <c r="U809" s="31" t="n"/>
      <c r="V809" s="31" t="n"/>
      <c r="W809" s="31" t="n"/>
      <c r="X809" s="31" t="n"/>
      <c r="Y809" s="31" t="n"/>
      <c r="Z809" s="31" t="n"/>
      <c r="AA809" s="31" t="n"/>
    </row>
    <row r="810" ht="14.25" customHeight="1">
      <c r="A810" s="31" t="n"/>
      <c r="D810" s="161" t="n"/>
      <c r="E810" s="161" t="n"/>
      <c r="P810" s="31" t="n"/>
      <c r="Q810" s="31" t="n"/>
      <c r="R810" s="31" t="n"/>
      <c r="S810" s="31" t="n"/>
      <c r="T810" s="31" t="n"/>
      <c r="U810" s="31" t="n"/>
      <c r="V810" s="31" t="n"/>
      <c r="W810" s="31" t="n"/>
      <c r="X810" s="31" t="n"/>
      <c r="Y810" s="31" t="n"/>
      <c r="Z810" s="31" t="n"/>
      <c r="AA810" s="31" t="n"/>
    </row>
    <row r="811" ht="14.25" customHeight="1">
      <c r="A811" s="31" t="n"/>
      <c r="D811" s="161" t="n"/>
      <c r="E811" s="161" t="n"/>
      <c r="P811" s="31" t="n"/>
      <c r="Q811" s="31" t="n"/>
      <c r="R811" s="31" t="n"/>
      <c r="S811" s="31" t="n"/>
      <c r="T811" s="31" t="n"/>
      <c r="U811" s="31" t="n"/>
      <c r="V811" s="31" t="n"/>
      <c r="W811" s="31" t="n"/>
      <c r="X811" s="31" t="n"/>
      <c r="Y811" s="31" t="n"/>
      <c r="Z811" s="31" t="n"/>
      <c r="AA811" s="31" t="n"/>
    </row>
    <row r="812" ht="14.25" customHeight="1">
      <c r="A812" s="31" t="n"/>
      <c r="D812" s="161" t="n"/>
      <c r="E812" s="161" t="n"/>
      <c r="P812" s="31" t="n"/>
      <c r="Q812" s="31" t="n"/>
      <c r="R812" s="31" t="n"/>
      <c r="S812" s="31" t="n"/>
      <c r="T812" s="31" t="n"/>
      <c r="U812" s="31" t="n"/>
      <c r="V812" s="31" t="n"/>
      <c r="W812" s="31" t="n"/>
      <c r="X812" s="31" t="n"/>
      <c r="Y812" s="31" t="n"/>
      <c r="Z812" s="31" t="n"/>
      <c r="AA812" s="31" t="n"/>
    </row>
    <row r="813" ht="14.25" customHeight="1">
      <c r="A813" s="31" t="n"/>
      <c r="D813" s="161" t="n"/>
      <c r="E813" s="161" t="n"/>
      <c r="P813" s="31" t="n"/>
      <c r="Q813" s="31" t="n"/>
      <c r="R813" s="31" t="n"/>
      <c r="S813" s="31" t="n"/>
      <c r="T813" s="31" t="n"/>
      <c r="U813" s="31" t="n"/>
      <c r="V813" s="31" t="n"/>
      <c r="W813" s="31" t="n"/>
      <c r="X813" s="31" t="n"/>
      <c r="Y813" s="31" t="n"/>
      <c r="Z813" s="31" t="n"/>
      <c r="AA813" s="31" t="n"/>
    </row>
    <row r="814" ht="14.25" customHeight="1">
      <c r="A814" s="31" t="n"/>
      <c r="D814" s="161" t="n"/>
      <c r="E814" s="161" t="n"/>
      <c r="P814" s="31" t="n"/>
      <c r="Q814" s="31" t="n"/>
      <c r="R814" s="31" t="n"/>
      <c r="S814" s="31" t="n"/>
      <c r="T814" s="31" t="n"/>
      <c r="U814" s="31" t="n"/>
      <c r="V814" s="31" t="n"/>
      <c r="W814" s="31" t="n"/>
      <c r="X814" s="31" t="n"/>
      <c r="Y814" s="31" t="n"/>
      <c r="Z814" s="31" t="n"/>
      <c r="AA814" s="31" t="n"/>
    </row>
    <row r="815" ht="14.25" customHeight="1">
      <c r="A815" s="31" t="n"/>
      <c r="D815" s="161" t="n"/>
      <c r="E815" s="161" t="n"/>
      <c r="P815" s="31" t="n"/>
      <c r="Q815" s="31" t="n"/>
      <c r="R815" s="31" t="n"/>
      <c r="S815" s="31" t="n"/>
      <c r="T815" s="31" t="n"/>
      <c r="U815" s="31" t="n"/>
      <c r="V815" s="31" t="n"/>
      <c r="W815" s="31" t="n"/>
      <c r="X815" s="31" t="n"/>
      <c r="Y815" s="31" t="n"/>
      <c r="Z815" s="31" t="n"/>
      <c r="AA815" s="31" t="n"/>
    </row>
    <row r="816" ht="14.25" customHeight="1">
      <c r="A816" s="31" t="n"/>
      <c r="D816" s="161" t="n"/>
      <c r="E816" s="161" t="n"/>
      <c r="P816" s="31" t="n"/>
      <c r="Q816" s="31" t="n"/>
      <c r="R816" s="31" t="n"/>
      <c r="S816" s="31" t="n"/>
      <c r="T816" s="31" t="n"/>
      <c r="U816" s="31" t="n"/>
      <c r="V816" s="31" t="n"/>
      <c r="W816" s="31" t="n"/>
      <c r="X816" s="31" t="n"/>
      <c r="Y816" s="31" t="n"/>
      <c r="Z816" s="31" t="n"/>
      <c r="AA816" s="31" t="n"/>
    </row>
    <row r="817" ht="14.25" customHeight="1">
      <c r="A817" s="31" t="n"/>
      <c r="D817" s="161" t="n"/>
      <c r="E817" s="161" t="n"/>
      <c r="P817" s="31" t="n"/>
      <c r="Q817" s="31" t="n"/>
      <c r="R817" s="31" t="n"/>
      <c r="S817" s="31" t="n"/>
      <c r="T817" s="31" t="n"/>
      <c r="U817" s="31" t="n"/>
      <c r="V817" s="31" t="n"/>
      <c r="W817" s="31" t="n"/>
      <c r="X817" s="31" t="n"/>
      <c r="Y817" s="31" t="n"/>
      <c r="Z817" s="31" t="n"/>
      <c r="AA817" s="31" t="n"/>
    </row>
    <row r="818" ht="14.25" customHeight="1">
      <c r="A818" s="31" t="n"/>
      <c r="D818" s="161" t="n"/>
      <c r="E818" s="161" t="n"/>
      <c r="P818" s="31" t="n"/>
      <c r="Q818" s="31" t="n"/>
      <c r="R818" s="31" t="n"/>
      <c r="S818" s="31" t="n"/>
      <c r="T818" s="31" t="n"/>
      <c r="U818" s="31" t="n"/>
      <c r="V818" s="31" t="n"/>
      <c r="W818" s="31" t="n"/>
      <c r="X818" s="31" t="n"/>
      <c r="Y818" s="31" t="n"/>
      <c r="Z818" s="31" t="n"/>
      <c r="AA818" s="31" t="n"/>
    </row>
    <row r="819" ht="14.25" customHeight="1">
      <c r="A819" s="31" t="n"/>
      <c r="D819" s="161" t="n"/>
      <c r="E819" s="161" t="n"/>
      <c r="P819" s="31" t="n"/>
      <c r="Q819" s="31" t="n"/>
      <c r="R819" s="31" t="n"/>
      <c r="S819" s="31" t="n"/>
      <c r="T819" s="31" t="n"/>
      <c r="U819" s="31" t="n"/>
      <c r="V819" s="31" t="n"/>
      <c r="W819" s="31" t="n"/>
      <c r="X819" s="31" t="n"/>
      <c r="Y819" s="31" t="n"/>
      <c r="Z819" s="31" t="n"/>
      <c r="AA819" s="31" t="n"/>
    </row>
    <row r="820" ht="14.25" customHeight="1">
      <c r="A820" s="31" t="n"/>
      <c r="D820" s="161" t="n"/>
      <c r="E820" s="161" t="n"/>
      <c r="P820" s="31" t="n"/>
      <c r="Q820" s="31" t="n"/>
      <c r="R820" s="31" t="n"/>
      <c r="S820" s="31" t="n"/>
      <c r="T820" s="31" t="n"/>
      <c r="U820" s="31" t="n"/>
      <c r="V820" s="31" t="n"/>
      <c r="W820" s="31" t="n"/>
      <c r="X820" s="31" t="n"/>
      <c r="Y820" s="31" t="n"/>
      <c r="Z820" s="31" t="n"/>
      <c r="AA820" s="31" t="n"/>
    </row>
    <row r="821" ht="14.25" customHeight="1">
      <c r="A821" s="31" t="n"/>
      <c r="D821" s="161" t="n"/>
      <c r="E821" s="161" t="n"/>
      <c r="P821" s="31" t="n"/>
      <c r="Q821" s="31" t="n"/>
      <c r="R821" s="31" t="n"/>
      <c r="S821" s="31" t="n"/>
      <c r="T821" s="31" t="n"/>
      <c r="U821" s="31" t="n"/>
      <c r="V821" s="31" t="n"/>
      <c r="W821" s="31" t="n"/>
      <c r="X821" s="31" t="n"/>
      <c r="Y821" s="31" t="n"/>
      <c r="Z821" s="31" t="n"/>
      <c r="AA821" s="31" t="n"/>
    </row>
    <row r="822" ht="14.25" customHeight="1">
      <c r="A822" s="31" t="n"/>
      <c r="D822" s="161" t="n"/>
      <c r="E822" s="161" t="n"/>
      <c r="P822" s="31" t="n"/>
      <c r="Q822" s="31" t="n"/>
      <c r="R822" s="31" t="n"/>
      <c r="S822" s="31" t="n"/>
      <c r="T822" s="31" t="n"/>
      <c r="U822" s="31" t="n"/>
      <c r="V822" s="31" t="n"/>
      <c r="W822" s="31" t="n"/>
      <c r="X822" s="31" t="n"/>
      <c r="Y822" s="31" t="n"/>
      <c r="Z822" s="31" t="n"/>
      <c r="AA822" s="31" t="n"/>
    </row>
    <row r="823" ht="14.25" customHeight="1">
      <c r="A823" s="31" t="n"/>
      <c r="D823" s="161" t="n"/>
      <c r="E823" s="161" t="n"/>
      <c r="P823" s="31" t="n"/>
      <c r="Q823" s="31" t="n"/>
      <c r="R823" s="31" t="n"/>
      <c r="S823" s="31" t="n"/>
      <c r="T823" s="31" t="n"/>
      <c r="U823" s="31" t="n"/>
      <c r="V823" s="31" t="n"/>
      <c r="W823" s="31" t="n"/>
      <c r="X823" s="31" t="n"/>
      <c r="Y823" s="31" t="n"/>
      <c r="Z823" s="31" t="n"/>
      <c r="AA823" s="31" t="n"/>
    </row>
    <row r="824" ht="14.25" customHeight="1">
      <c r="A824" s="31" t="n"/>
      <c r="D824" s="161" t="n"/>
      <c r="E824" s="161" t="n"/>
      <c r="P824" s="31" t="n"/>
      <c r="Q824" s="31" t="n"/>
      <c r="R824" s="31" t="n"/>
      <c r="S824" s="31" t="n"/>
      <c r="T824" s="31" t="n"/>
      <c r="U824" s="31" t="n"/>
      <c r="V824" s="31" t="n"/>
      <c r="W824" s="31" t="n"/>
      <c r="X824" s="31" t="n"/>
      <c r="Y824" s="31" t="n"/>
      <c r="Z824" s="31" t="n"/>
      <c r="AA824" s="31" t="n"/>
    </row>
    <row r="825" ht="14.25" customHeight="1">
      <c r="A825" s="31" t="n"/>
      <c r="D825" s="161" t="n"/>
      <c r="E825" s="161" t="n"/>
      <c r="P825" s="31" t="n"/>
      <c r="Q825" s="31" t="n"/>
      <c r="R825" s="31" t="n"/>
      <c r="S825" s="31" t="n"/>
      <c r="T825" s="31" t="n"/>
      <c r="U825" s="31" t="n"/>
      <c r="V825" s="31" t="n"/>
      <c r="W825" s="31" t="n"/>
      <c r="X825" s="31" t="n"/>
      <c r="Y825" s="31" t="n"/>
      <c r="Z825" s="31" t="n"/>
      <c r="AA825" s="31" t="n"/>
    </row>
    <row r="826" ht="14.25" customHeight="1">
      <c r="A826" s="31" t="n"/>
      <c r="D826" s="161" t="n"/>
      <c r="E826" s="161" t="n"/>
      <c r="P826" s="31" t="n"/>
      <c r="Q826" s="31" t="n"/>
      <c r="R826" s="31" t="n"/>
      <c r="S826" s="31" t="n"/>
      <c r="T826" s="31" t="n"/>
      <c r="U826" s="31" t="n"/>
      <c r="V826" s="31" t="n"/>
      <c r="W826" s="31" t="n"/>
      <c r="X826" s="31" t="n"/>
      <c r="Y826" s="31" t="n"/>
      <c r="Z826" s="31" t="n"/>
      <c r="AA826" s="31" t="n"/>
    </row>
    <row r="827" ht="14.25" customHeight="1">
      <c r="A827" s="31" t="n"/>
      <c r="D827" s="161" t="n"/>
      <c r="E827" s="161" t="n"/>
      <c r="P827" s="31" t="n"/>
      <c r="Q827" s="31" t="n"/>
      <c r="R827" s="31" t="n"/>
      <c r="S827" s="31" t="n"/>
      <c r="T827" s="31" t="n"/>
      <c r="U827" s="31" t="n"/>
      <c r="V827" s="31" t="n"/>
      <c r="W827" s="31" t="n"/>
      <c r="X827" s="31" t="n"/>
      <c r="Y827" s="31" t="n"/>
      <c r="Z827" s="31" t="n"/>
      <c r="AA827" s="31" t="n"/>
    </row>
    <row r="828" ht="14.25" customHeight="1">
      <c r="A828" s="31" t="n"/>
      <c r="D828" s="161" t="n"/>
      <c r="E828" s="161" t="n"/>
      <c r="P828" s="31" t="n"/>
      <c r="Q828" s="31" t="n"/>
      <c r="R828" s="31" t="n"/>
      <c r="S828" s="31" t="n"/>
      <c r="T828" s="31" t="n"/>
      <c r="U828" s="31" t="n"/>
      <c r="V828" s="31" t="n"/>
      <c r="W828" s="31" t="n"/>
      <c r="X828" s="31" t="n"/>
      <c r="Y828" s="31" t="n"/>
      <c r="Z828" s="31" t="n"/>
      <c r="AA828" s="31" t="n"/>
    </row>
    <row r="829" ht="14.25" customHeight="1">
      <c r="A829" s="31" t="n"/>
      <c r="D829" s="161" t="n"/>
      <c r="E829" s="161" t="n"/>
      <c r="P829" s="31" t="n"/>
      <c r="Q829" s="31" t="n"/>
      <c r="R829" s="31" t="n"/>
      <c r="S829" s="31" t="n"/>
      <c r="T829" s="31" t="n"/>
      <c r="U829" s="31" t="n"/>
      <c r="V829" s="31" t="n"/>
      <c r="W829" s="31" t="n"/>
      <c r="X829" s="31" t="n"/>
      <c r="Y829" s="31" t="n"/>
      <c r="Z829" s="31" t="n"/>
      <c r="AA829" s="31" t="n"/>
    </row>
    <row r="830" ht="14.25" customHeight="1">
      <c r="A830" s="31" t="n"/>
      <c r="D830" s="161" t="n"/>
      <c r="E830" s="161" t="n"/>
      <c r="P830" s="31" t="n"/>
      <c r="Q830" s="31" t="n"/>
      <c r="R830" s="31" t="n"/>
      <c r="S830" s="31" t="n"/>
      <c r="T830" s="31" t="n"/>
      <c r="U830" s="31" t="n"/>
      <c r="V830" s="31" t="n"/>
      <c r="W830" s="31" t="n"/>
      <c r="X830" s="31" t="n"/>
      <c r="Y830" s="31" t="n"/>
      <c r="Z830" s="31" t="n"/>
      <c r="AA830" s="31" t="n"/>
    </row>
    <row r="831" ht="14.25" customHeight="1">
      <c r="A831" s="31" t="n"/>
      <c r="D831" s="161" t="n"/>
      <c r="E831" s="161" t="n"/>
      <c r="P831" s="31" t="n"/>
      <c r="Q831" s="31" t="n"/>
      <c r="R831" s="31" t="n"/>
      <c r="S831" s="31" t="n"/>
      <c r="T831" s="31" t="n"/>
      <c r="U831" s="31" t="n"/>
      <c r="V831" s="31" t="n"/>
      <c r="W831" s="31" t="n"/>
      <c r="X831" s="31" t="n"/>
      <c r="Y831" s="31" t="n"/>
      <c r="Z831" s="31" t="n"/>
      <c r="AA831" s="31" t="n"/>
    </row>
    <row r="832" ht="14.25" customHeight="1">
      <c r="A832" s="31" t="n"/>
      <c r="D832" s="161" t="n"/>
      <c r="E832" s="161" t="n"/>
      <c r="P832" s="31" t="n"/>
      <c r="Q832" s="31" t="n"/>
      <c r="R832" s="31" t="n"/>
      <c r="S832" s="31" t="n"/>
      <c r="T832" s="31" t="n"/>
      <c r="U832" s="31" t="n"/>
      <c r="V832" s="31" t="n"/>
      <c r="W832" s="31" t="n"/>
      <c r="X832" s="31" t="n"/>
      <c r="Y832" s="31" t="n"/>
      <c r="Z832" s="31" t="n"/>
      <c r="AA832" s="31" t="n"/>
    </row>
    <row r="833" ht="14.25" customHeight="1">
      <c r="A833" s="31" t="n"/>
      <c r="D833" s="161" t="n"/>
      <c r="E833" s="161" t="n"/>
      <c r="P833" s="31" t="n"/>
      <c r="Q833" s="31" t="n"/>
      <c r="R833" s="31" t="n"/>
      <c r="S833" s="31" t="n"/>
      <c r="T833" s="31" t="n"/>
      <c r="U833" s="31" t="n"/>
      <c r="V833" s="31" t="n"/>
      <c r="W833" s="31" t="n"/>
      <c r="X833" s="31" t="n"/>
      <c r="Y833" s="31" t="n"/>
      <c r="Z833" s="31" t="n"/>
      <c r="AA833" s="31" t="n"/>
    </row>
    <row r="834" ht="14.25" customHeight="1">
      <c r="A834" s="31" t="n"/>
      <c r="D834" s="161" t="n"/>
      <c r="E834" s="161" t="n"/>
      <c r="P834" s="31" t="n"/>
      <c r="Q834" s="31" t="n"/>
      <c r="R834" s="31" t="n"/>
      <c r="S834" s="31" t="n"/>
      <c r="T834" s="31" t="n"/>
      <c r="U834" s="31" t="n"/>
      <c r="V834" s="31" t="n"/>
      <c r="W834" s="31" t="n"/>
      <c r="X834" s="31" t="n"/>
      <c r="Y834" s="31" t="n"/>
      <c r="Z834" s="31" t="n"/>
      <c r="AA834" s="31" t="n"/>
    </row>
    <row r="835" ht="14.25" customHeight="1">
      <c r="A835" s="31" t="n"/>
      <c r="D835" s="161" t="n"/>
      <c r="E835" s="161" t="n"/>
      <c r="P835" s="31" t="n"/>
      <c r="Q835" s="31" t="n"/>
      <c r="R835" s="31" t="n"/>
      <c r="S835" s="31" t="n"/>
      <c r="T835" s="31" t="n"/>
      <c r="U835" s="31" t="n"/>
      <c r="V835" s="31" t="n"/>
      <c r="W835" s="31" t="n"/>
      <c r="X835" s="31" t="n"/>
      <c r="Y835" s="31" t="n"/>
      <c r="Z835" s="31" t="n"/>
      <c r="AA835" s="31" t="n"/>
    </row>
    <row r="836" ht="14.25" customHeight="1">
      <c r="A836" s="31" t="n"/>
      <c r="D836" s="161" t="n"/>
      <c r="E836" s="161" t="n"/>
      <c r="P836" s="31" t="n"/>
      <c r="Q836" s="31" t="n"/>
      <c r="R836" s="31" t="n"/>
      <c r="S836" s="31" t="n"/>
      <c r="T836" s="31" t="n"/>
      <c r="U836" s="31" t="n"/>
      <c r="V836" s="31" t="n"/>
      <c r="W836" s="31" t="n"/>
      <c r="X836" s="31" t="n"/>
      <c r="Y836" s="31" t="n"/>
      <c r="Z836" s="31" t="n"/>
      <c r="AA836" s="31" t="n"/>
    </row>
    <row r="837" ht="14.25" customHeight="1">
      <c r="A837" s="31" t="n"/>
      <c r="D837" s="161" t="n"/>
      <c r="E837" s="161" t="n"/>
      <c r="P837" s="31" t="n"/>
      <c r="Q837" s="31" t="n"/>
      <c r="R837" s="31" t="n"/>
      <c r="S837" s="31" t="n"/>
      <c r="T837" s="31" t="n"/>
      <c r="U837" s="31" t="n"/>
      <c r="V837" s="31" t="n"/>
      <c r="W837" s="31" t="n"/>
      <c r="X837" s="31" t="n"/>
      <c r="Y837" s="31" t="n"/>
      <c r="Z837" s="31" t="n"/>
      <c r="AA837" s="31" t="n"/>
    </row>
    <row r="838" ht="14.25" customHeight="1">
      <c r="A838" s="31" t="n"/>
      <c r="D838" s="161" t="n"/>
      <c r="E838" s="161" t="n"/>
      <c r="P838" s="31" t="n"/>
      <c r="Q838" s="31" t="n"/>
      <c r="R838" s="31" t="n"/>
      <c r="S838" s="31" t="n"/>
      <c r="T838" s="31" t="n"/>
      <c r="U838" s="31" t="n"/>
      <c r="V838" s="31" t="n"/>
      <c r="W838" s="31" t="n"/>
      <c r="X838" s="31" t="n"/>
      <c r="Y838" s="31" t="n"/>
      <c r="Z838" s="31" t="n"/>
      <c r="AA838" s="31" t="n"/>
    </row>
    <row r="839" ht="14.25" customHeight="1">
      <c r="A839" s="31" t="n"/>
      <c r="D839" s="161" t="n"/>
      <c r="E839" s="161" t="n"/>
      <c r="P839" s="31" t="n"/>
      <c r="Q839" s="31" t="n"/>
      <c r="R839" s="31" t="n"/>
      <c r="S839" s="31" t="n"/>
      <c r="T839" s="31" t="n"/>
      <c r="U839" s="31" t="n"/>
      <c r="V839" s="31" t="n"/>
      <c r="W839" s="31" t="n"/>
      <c r="X839" s="31" t="n"/>
      <c r="Y839" s="31" t="n"/>
      <c r="Z839" s="31" t="n"/>
      <c r="AA839" s="31" t="n"/>
    </row>
    <row r="840" ht="14.25" customHeight="1">
      <c r="A840" s="31" t="n"/>
      <c r="D840" s="161" t="n"/>
      <c r="E840" s="161" t="n"/>
      <c r="P840" s="31" t="n"/>
      <c r="Q840" s="31" t="n"/>
      <c r="R840" s="31" t="n"/>
      <c r="S840" s="31" t="n"/>
      <c r="T840" s="31" t="n"/>
      <c r="U840" s="31" t="n"/>
      <c r="V840" s="31" t="n"/>
      <c r="W840" s="31" t="n"/>
      <c r="X840" s="31" t="n"/>
      <c r="Y840" s="31" t="n"/>
      <c r="Z840" s="31" t="n"/>
      <c r="AA840" s="31" t="n"/>
    </row>
    <row r="841" ht="14.25" customHeight="1">
      <c r="A841" s="31" t="n"/>
      <c r="D841" s="161" t="n"/>
      <c r="E841" s="161" t="n"/>
      <c r="P841" s="31" t="n"/>
      <c r="Q841" s="31" t="n"/>
      <c r="R841" s="31" t="n"/>
      <c r="S841" s="31" t="n"/>
      <c r="T841" s="31" t="n"/>
      <c r="U841" s="31" t="n"/>
      <c r="V841" s="31" t="n"/>
      <c r="W841" s="31" t="n"/>
      <c r="X841" s="31" t="n"/>
      <c r="Y841" s="31" t="n"/>
      <c r="Z841" s="31" t="n"/>
      <c r="AA841" s="31" t="n"/>
    </row>
    <row r="842" ht="14.25" customHeight="1">
      <c r="A842" s="31" t="n"/>
      <c r="D842" s="161" t="n"/>
      <c r="E842" s="161" t="n"/>
      <c r="P842" s="31" t="n"/>
      <c r="Q842" s="31" t="n"/>
      <c r="R842" s="31" t="n"/>
      <c r="S842" s="31" t="n"/>
      <c r="T842" s="31" t="n"/>
      <c r="U842" s="31" t="n"/>
      <c r="V842" s="31" t="n"/>
      <c r="W842" s="31" t="n"/>
      <c r="X842" s="31" t="n"/>
      <c r="Y842" s="31" t="n"/>
      <c r="Z842" s="31" t="n"/>
      <c r="AA842" s="31" t="n"/>
    </row>
    <row r="843" ht="14.25" customHeight="1">
      <c r="A843" s="31" t="n"/>
      <c r="D843" s="161" t="n"/>
      <c r="E843" s="161" t="n"/>
      <c r="P843" s="31" t="n"/>
      <c r="Q843" s="31" t="n"/>
      <c r="R843" s="31" t="n"/>
      <c r="S843" s="31" t="n"/>
      <c r="T843" s="31" t="n"/>
      <c r="U843" s="31" t="n"/>
      <c r="V843" s="31" t="n"/>
      <c r="W843" s="31" t="n"/>
      <c r="X843" s="31" t="n"/>
      <c r="Y843" s="31" t="n"/>
      <c r="Z843" s="31" t="n"/>
      <c r="AA843" s="31" t="n"/>
    </row>
    <row r="844" ht="14.25" customHeight="1">
      <c r="A844" s="31" t="n"/>
      <c r="D844" s="161" t="n"/>
      <c r="E844" s="161" t="n"/>
      <c r="P844" s="31" t="n"/>
      <c r="Q844" s="31" t="n"/>
      <c r="R844" s="31" t="n"/>
      <c r="S844" s="31" t="n"/>
      <c r="T844" s="31" t="n"/>
      <c r="U844" s="31" t="n"/>
      <c r="V844" s="31" t="n"/>
      <c r="W844" s="31" t="n"/>
      <c r="X844" s="31" t="n"/>
      <c r="Y844" s="31" t="n"/>
      <c r="Z844" s="31" t="n"/>
      <c r="AA844" s="31" t="n"/>
    </row>
    <row r="845" ht="14.25" customHeight="1">
      <c r="A845" s="31" t="n"/>
      <c r="D845" s="161" t="n"/>
      <c r="E845" s="161" t="n"/>
      <c r="P845" s="31" t="n"/>
      <c r="Q845" s="31" t="n"/>
      <c r="R845" s="31" t="n"/>
      <c r="S845" s="31" t="n"/>
      <c r="T845" s="31" t="n"/>
      <c r="U845" s="31" t="n"/>
      <c r="V845" s="31" t="n"/>
      <c r="W845" s="31" t="n"/>
      <c r="X845" s="31" t="n"/>
      <c r="Y845" s="31" t="n"/>
      <c r="Z845" s="31" t="n"/>
      <c r="AA845" s="31" t="n"/>
    </row>
    <row r="846" ht="14.25" customHeight="1">
      <c r="A846" s="31" t="n"/>
      <c r="D846" s="161" t="n"/>
      <c r="E846" s="161" t="n"/>
      <c r="P846" s="31" t="n"/>
      <c r="Q846" s="31" t="n"/>
      <c r="R846" s="31" t="n"/>
      <c r="S846" s="31" t="n"/>
      <c r="T846" s="31" t="n"/>
      <c r="U846" s="31" t="n"/>
      <c r="V846" s="31" t="n"/>
      <c r="W846" s="31" t="n"/>
      <c r="X846" s="31" t="n"/>
      <c r="Y846" s="31" t="n"/>
      <c r="Z846" s="31" t="n"/>
      <c r="AA846" s="31" t="n"/>
    </row>
    <row r="847" ht="14.25" customHeight="1">
      <c r="A847" s="31" t="n"/>
      <c r="D847" s="161" t="n"/>
      <c r="E847" s="161" t="n"/>
      <c r="P847" s="31" t="n"/>
      <c r="Q847" s="31" t="n"/>
      <c r="R847" s="31" t="n"/>
      <c r="S847" s="31" t="n"/>
      <c r="T847" s="31" t="n"/>
      <c r="U847" s="31" t="n"/>
      <c r="V847" s="31" t="n"/>
      <c r="W847" s="31" t="n"/>
      <c r="X847" s="31" t="n"/>
      <c r="Y847" s="31" t="n"/>
      <c r="Z847" s="31" t="n"/>
      <c r="AA847" s="31" t="n"/>
    </row>
    <row r="848" ht="14.25" customHeight="1">
      <c r="A848" s="31" t="n"/>
      <c r="D848" s="161" t="n"/>
      <c r="E848" s="161" t="n"/>
      <c r="P848" s="31" t="n"/>
      <c r="Q848" s="31" t="n"/>
      <c r="R848" s="31" t="n"/>
      <c r="S848" s="31" t="n"/>
      <c r="T848" s="31" t="n"/>
      <c r="U848" s="31" t="n"/>
      <c r="V848" s="31" t="n"/>
      <c r="W848" s="31" t="n"/>
      <c r="X848" s="31" t="n"/>
      <c r="Y848" s="31" t="n"/>
      <c r="Z848" s="31" t="n"/>
      <c r="AA848" s="31" t="n"/>
    </row>
    <row r="849" ht="14.25" customHeight="1">
      <c r="A849" s="31" t="n"/>
      <c r="D849" s="161" t="n"/>
      <c r="E849" s="161" t="n"/>
      <c r="P849" s="31" t="n"/>
      <c r="Q849" s="31" t="n"/>
      <c r="R849" s="31" t="n"/>
      <c r="S849" s="31" t="n"/>
      <c r="T849" s="31" t="n"/>
      <c r="U849" s="31" t="n"/>
      <c r="V849" s="31" t="n"/>
      <c r="W849" s="31" t="n"/>
      <c r="X849" s="31" t="n"/>
      <c r="Y849" s="31" t="n"/>
      <c r="Z849" s="31" t="n"/>
      <c r="AA849" s="31" t="n"/>
    </row>
    <row r="850" ht="14.25" customHeight="1">
      <c r="A850" s="31" t="n"/>
      <c r="D850" s="161" t="n"/>
      <c r="E850" s="161" t="n"/>
      <c r="P850" s="31" t="n"/>
      <c r="Q850" s="31" t="n"/>
      <c r="R850" s="31" t="n"/>
      <c r="S850" s="31" t="n"/>
      <c r="T850" s="31" t="n"/>
      <c r="U850" s="31" t="n"/>
      <c r="V850" s="31" t="n"/>
      <c r="W850" s="31" t="n"/>
      <c r="X850" s="31" t="n"/>
      <c r="Y850" s="31" t="n"/>
      <c r="Z850" s="31" t="n"/>
      <c r="AA850" s="31" t="n"/>
    </row>
    <row r="851" ht="14.25" customHeight="1">
      <c r="A851" s="31" t="n"/>
      <c r="D851" s="161" t="n"/>
      <c r="E851" s="161" t="n"/>
      <c r="P851" s="31" t="n"/>
      <c r="Q851" s="31" t="n"/>
      <c r="R851" s="31" t="n"/>
      <c r="S851" s="31" t="n"/>
      <c r="T851" s="31" t="n"/>
      <c r="U851" s="31" t="n"/>
      <c r="V851" s="31" t="n"/>
      <c r="W851" s="31" t="n"/>
      <c r="X851" s="31" t="n"/>
      <c r="Y851" s="31" t="n"/>
      <c r="Z851" s="31" t="n"/>
      <c r="AA851" s="31" t="n"/>
    </row>
    <row r="852" ht="14.25" customHeight="1">
      <c r="A852" s="31" t="n"/>
      <c r="D852" s="161" t="n"/>
      <c r="E852" s="161" t="n"/>
      <c r="P852" s="31" t="n"/>
      <c r="Q852" s="31" t="n"/>
      <c r="R852" s="31" t="n"/>
      <c r="S852" s="31" t="n"/>
      <c r="T852" s="31" t="n"/>
      <c r="U852" s="31" t="n"/>
      <c r="V852" s="31" t="n"/>
      <c r="W852" s="31" t="n"/>
      <c r="X852" s="31" t="n"/>
      <c r="Y852" s="31" t="n"/>
      <c r="Z852" s="31" t="n"/>
      <c r="AA852" s="31" t="n"/>
    </row>
    <row r="853" ht="14.25" customHeight="1">
      <c r="A853" s="31" t="n"/>
      <c r="D853" s="161" t="n"/>
      <c r="E853" s="161" t="n"/>
      <c r="P853" s="31" t="n"/>
      <c r="Q853" s="31" t="n"/>
      <c r="R853" s="31" t="n"/>
      <c r="S853" s="31" t="n"/>
      <c r="T853" s="31" t="n"/>
      <c r="U853" s="31" t="n"/>
      <c r="V853" s="31" t="n"/>
      <c r="W853" s="31" t="n"/>
      <c r="X853" s="31" t="n"/>
      <c r="Y853" s="31" t="n"/>
      <c r="Z853" s="31" t="n"/>
      <c r="AA853" s="31" t="n"/>
    </row>
    <row r="854" ht="14.25" customHeight="1">
      <c r="A854" s="31" t="n"/>
      <c r="D854" s="161" t="n"/>
      <c r="E854" s="161" t="n"/>
      <c r="P854" s="31" t="n"/>
      <c r="Q854" s="31" t="n"/>
      <c r="R854" s="31" t="n"/>
      <c r="S854" s="31" t="n"/>
      <c r="T854" s="31" t="n"/>
      <c r="U854" s="31" t="n"/>
      <c r="V854" s="31" t="n"/>
      <c r="W854" s="31" t="n"/>
      <c r="X854" s="31" t="n"/>
      <c r="Y854" s="31" t="n"/>
      <c r="Z854" s="31" t="n"/>
      <c r="AA854" s="31" t="n"/>
    </row>
    <row r="855" ht="14.25" customHeight="1">
      <c r="A855" s="31" t="n"/>
      <c r="D855" s="161" t="n"/>
      <c r="E855" s="161" t="n"/>
      <c r="P855" s="31" t="n"/>
      <c r="Q855" s="31" t="n"/>
      <c r="R855" s="31" t="n"/>
      <c r="S855" s="31" t="n"/>
      <c r="T855" s="31" t="n"/>
      <c r="U855" s="31" t="n"/>
      <c r="V855" s="31" t="n"/>
      <c r="W855" s="31" t="n"/>
      <c r="X855" s="31" t="n"/>
      <c r="Y855" s="31" t="n"/>
      <c r="Z855" s="31" t="n"/>
      <c r="AA855" s="31" t="n"/>
    </row>
    <row r="856" ht="14.25" customHeight="1">
      <c r="A856" s="31" t="n"/>
      <c r="D856" s="161" t="n"/>
      <c r="E856" s="161" t="n"/>
      <c r="P856" s="31" t="n"/>
      <c r="Q856" s="31" t="n"/>
      <c r="R856" s="31" t="n"/>
      <c r="S856" s="31" t="n"/>
      <c r="T856" s="31" t="n"/>
      <c r="U856" s="31" t="n"/>
      <c r="V856" s="31" t="n"/>
      <c r="W856" s="31" t="n"/>
      <c r="X856" s="31" t="n"/>
      <c r="Y856" s="31" t="n"/>
      <c r="Z856" s="31" t="n"/>
      <c r="AA856" s="31" t="n"/>
    </row>
    <row r="857" ht="14.25" customHeight="1">
      <c r="A857" s="31" t="n"/>
      <c r="D857" s="161" t="n"/>
      <c r="E857" s="161" t="n"/>
      <c r="P857" s="31" t="n"/>
      <c r="Q857" s="31" t="n"/>
      <c r="R857" s="31" t="n"/>
      <c r="S857" s="31" t="n"/>
      <c r="T857" s="31" t="n"/>
      <c r="U857" s="31" t="n"/>
      <c r="V857" s="31" t="n"/>
      <c r="W857" s="31" t="n"/>
      <c r="X857" s="31" t="n"/>
      <c r="Y857" s="31" t="n"/>
      <c r="Z857" s="31" t="n"/>
      <c r="AA857" s="31" t="n"/>
    </row>
    <row r="858" ht="14.25" customHeight="1">
      <c r="A858" s="31" t="n"/>
      <c r="D858" s="161" t="n"/>
      <c r="E858" s="161" t="n"/>
      <c r="P858" s="31" t="n"/>
      <c r="Q858" s="31" t="n"/>
      <c r="R858" s="31" t="n"/>
      <c r="S858" s="31" t="n"/>
      <c r="T858" s="31" t="n"/>
      <c r="U858" s="31" t="n"/>
      <c r="V858" s="31" t="n"/>
      <c r="W858" s="31" t="n"/>
      <c r="X858" s="31" t="n"/>
      <c r="Y858" s="31" t="n"/>
      <c r="Z858" s="31" t="n"/>
      <c r="AA858" s="31" t="n"/>
    </row>
    <row r="859" ht="14.25" customHeight="1">
      <c r="A859" s="31" t="n"/>
      <c r="D859" s="161" t="n"/>
      <c r="E859" s="161" t="n"/>
      <c r="P859" s="31" t="n"/>
      <c r="Q859" s="31" t="n"/>
      <c r="R859" s="31" t="n"/>
      <c r="S859" s="31" t="n"/>
      <c r="T859" s="31" t="n"/>
      <c r="U859" s="31" t="n"/>
      <c r="V859" s="31" t="n"/>
      <c r="W859" s="31" t="n"/>
      <c r="X859" s="31" t="n"/>
      <c r="Y859" s="31" t="n"/>
      <c r="Z859" s="31" t="n"/>
      <c r="AA859" s="31" t="n"/>
    </row>
    <row r="860" ht="14.25" customHeight="1">
      <c r="A860" s="31" t="n"/>
      <c r="D860" s="161" t="n"/>
      <c r="E860" s="161" t="n"/>
      <c r="P860" s="31" t="n"/>
      <c r="Q860" s="31" t="n"/>
      <c r="R860" s="31" t="n"/>
      <c r="S860" s="31" t="n"/>
      <c r="T860" s="31" t="n"/>
      <c r="U860" s="31" t="n"/>
      <c r="V860" s="31" t="n"/>
      <c r="W860" s="31" t="n"/>
      <c r="X860" s="31" t="n"/>
      <c r="Y860" s="31" t="n"/>
      <c r="Z860" s="31" t="n"/>
      <c r="AA860" s="31" t="n"/>
    </row>
    <row r="861" ht="14.25" customHeight="1">
      <c r="A861" s="31" t="n"/>
      <c r="D861" s="161" t="n"/>
      <c r="E861" s="161" t="n"/>
      <c r="P861" s="31" t="n"/>
      <c r="Q861" s="31" t="n"/>
      <c r="R861" s="31" t="n"/>
      <c r="S861" s="31" t="n"/>
      <c r="T861" s="31" t="n"/>
      <c r="U861" s="31" t="n"/>
      <c r="V861" s="31" t="n"/>
      <c r="W861" s="31" t="n"/>
      <c r="X861" s="31" t="n"/>
      <c r="Y861" s="31" t="n"/>
      <c r="Z861" s="31" t="n"/>
      <c r="AA861" s="31" t="n"/>
    </row>
    <row r="862" ht="14.25" customHeight="1">
      <c r="A862" s="31" t="n"/>
      <c r="D862" s="161" t="n"/>
      <c r="E862" s="161" t="n"/>
      <c r="P862" s="31" t="n"/>
      <c r="Q862" s="31" t="n"/>
      <c r="R862" s="31" t="n"/>
      <c r="S862" s="31" t="n"/>
      <c r="T862" s="31" t="n"/>
      <c r="U862" s="31" t="n"/>
      <c r="V862" s="31" t="n"/>
      <c r="W862" s="31" t="n"/>
      <c r="X862" s="31" t="n"/>
      <c r="Y862" s="31" t="n"/>
      <c r="Z862" s="31" t="n"/>
      <c r="AA862" s="31" t="n"/>
    </row>
    <row r="863" ht="14.25" customHeight="1">
      <c r="A863" s="31" t="n"/>
      <c r="D863" s="161" t="n"/>
      <c r="E863" s="161" t="n"/>
      <c r="P863" s="31" t="n"/>
      <c r="Q863" s="31" t="n"/>
      <c r="R863" s="31" t="n"/>
      <c r="S863" s="31" t="n"/>
      <c r="T863" s="31" t="n"/>
      <c r="U863" s="31" t="n"/>
      <c r="V863" s="31" t="n"/>
      <c r="W863" s="31" t="n"/>
      <c r="X863" s="31" t="n"/>
      <c r="Y863" s="31" t="n"/>
      <c r="Z863" s="31" t="n"/>
      <c r="AA863" s="31" t="n"/>
    </row>
    <row r="864" ht="14.25" customHeight="1">
      <c r="A864" s="31" t="n"/>
      <c r="D864" s="161" t="n"/>
      <c r="E864" s="161" t="n"/>
      <c r="P864" s="31" t="n"/>
      <c r="Q864" s="31" t="n"/>
      <c r="R864" s="31" t="n"/>
      <c r="S864" s="31" t="n"/>
      <c r="T864" s="31" t="n"/>
      <c r="U864" s="31" t="n"/>
      <c r="V864" s="31" t="n"/>
      <c r="W864" s="31" t="n"/>
      <c r="X864" s="31" t="n"/>
      <c r="Y864" s="31" t="n"/>
      <c r="Z864" s="31" t="n"/>
      <c r="AA864" s="31" t="n"/>
    </row>
    <row r="865" ht="14.25" customHeight="1">
      <c r="A865" s="31" t="n"/>
      <c r="D865" s="161" t="n"/>
      <c r="E865" s="161" t="n"/>
      <c r="P865" s="31" t="n"/>
      <c r="Q865" s="31" t="n"/>
      <c r="R865" s="31" t="n"/>
      <c r="S865" s="31" t="n"/>
      <c r="T865" s="31" t="n"/>
      <c r="U865" s="31" t="n"/>
      <c r="V865" s="31" t="n"/>
      <c r="W865" s="31" t="n"/>
      <c r="X865" s="31" t="n"/>
      <c r="Y865" s="31" t="n"/>
      <c r="Z865" s="31" t="n"/>
      <c r="AA865" s="31" t="n"/>
    </row>
    <row r="866" ht="14.25" customHeight="1">
      <c r="A866" s="31" t="n"/>
      <c r="D866" s="161" t="n"/>
      <c r="E866" s="161" t="n"/>
      <c r="P866" s="31" t="n"/>
      <c r="Q866" s="31" t="n"/>
      <c r="R866" s="31" t="n"/>
      <c r="S866" s="31" t="n"/>
      <c r="T866" s="31" t="n"/>
      <c r="U866" s="31" t="n"/>
      <c r="V866" s="31" t="n"/>
      <c r="W866" s="31" t="n"/>
      <c r="X866" s="31" t="n"/>
      <c r="Y866" s="31" t="n"/>
      <c r="Z866" s="31" t="n"/>
      <c r="AA866" s="31" t="n"/>
    </row>
    <row r="867" ht="14.25" customHeight="1">
      <c r="A867" s="31" t="n"/>
      <c r="D867" s="161" t="n"/>
      <c r="E867" s="161" t="n"/>
      <c r="P867" s="31" t="n"/>
      <c r="Q867" s="31" t="n"/>
      <c r="R867" s="31" t="n"/>
      <c r="S867" s="31" t="n"/>
      <c r="T867" s="31" t="n"/>
      <c r="U867" s="31" t="n"/>
      <c r="V867" s="31" t="n"/>
      <c r="W867" s="31" t="n"/>
      <c r="X867" s="31" t="n"/>
      <c r="Y867" s="31" t="n"/>
      <c r="Z867" s="31" t="n"/>
      <c r="AA867" s="31" t="n"/>
    </row>
    <row r="868" ht="14.25" customHeight="1">
      <c r="A868" s="31" t="n"/>
      <c r="D868" s="161" t="n"/>
      <c r="E868" s="161" t="n"/>
      <c r="P868" s="31" t="n"/>
      <c r="Q868" s="31" t="n"/>
      <c r="R868" s="31" t="n"/>
      <c r="S868" s="31" t="n"/>
      <c r="T868" s="31" t="n"/>
      <c r="U868" s="31" t="n"/>
      <c r="V868" s="31" t="n"/>
      <c r="W868" s="31" t="n"/>
      <c r="X868" s="31" t="n"/>
      <c r="Y868" s="31" t="n"/>
      <c r="Z868" s="31" t="n"/>
      <c r="AA868" s="31" t="n"/>
    </row>
    <row r="869" ht="14.25" customHeight="1">
      <c r="A869" s="31" t="n"/>
      <c r="D869" s="161" t="n"/>
      <c r="E869" s="161" t="n"/>
      <c r="P869" s="31" t="n"/>
      <c r="Q869" s="31" t="n"/>
      <c r="R869" s="31" t="n"/>
      <c r="S869" s="31" t="n"/>
      <c r="T869" s="31" t="n"/>
      <c r="U869" s="31" t="n"/>
      <c r="V869" s="31" t="n"/>
      <c r="W869" s="31" t="n"/>
      <c r="X869" s="31" t="n"/>
      <c r="Y869" s="31" t="n"/>
      <c r="Z869" s="31" t="n"/>
      <c r="AA869" s="31" t="n"/>
    </row>
    <row r="870" ht="14.25" customHeight="1">
      <c r="A870" s="31" t="n"/>
      <c r="D870" s="161" t="n"/>
      <c r="E870" s="161" t="n"/>
      <c r="P870" s="31" t="n"/>
      <c r="Q870" s="31" t="n"/>
      <c r="R870" s="31" t="n"/>
      <c r="S870" s="31" t="n"/>
      <c r="T870" s="31" t="n"/>
      <c r="U870" s="31" t="n"/>
      <c r="V870" s="31" t="n"/>
      <c r="W870" s="31" t="n"/>
      <c r="X870" s="31" t="n"/>
      <c r="Y870" s="31" t="n"/>
      <c r="Z870" s="31" t="n"/>
      <c r="AA870" s="31" t="n"/>
    </row>
    <row r="871" ht="14.25" customHeight="1">
      <c r="A871" s="31" t="n"/>
      <c r="D871" s="161" t="n"/>
      <c r="E871" s="161" t="n"/>
      <c r="P871" s="31" t="n"/>
      <c r="Q871" s="31" t="n"/>
      <c r="R871" s="31" t="n"/>
      <c r="S871" s="31" t="n"/>
      <c r="T871" s="31" t="n"/>
      <c r="U871" s="31" t="n"/>
      <c r="V871" s="31" t="n"/>
      <c r="W871" s="31" t="n"/>
      <c r="X871" s="31" t="n"/>
      <c r="Y871" s="31" t="n"/>
      <c r="Z871" s="31" t="n"/>
      <c r="AA871" s="31" t="n"/>
    </row>
    <row r="872" ht="14.25" customHeight="1">
      <c r="A872" s="31" t="n"/>
      <c r="D872" s="161" t="n"/>
      <c r="E872" s="161" t="n"/>
      <c r="P872" s="31" t="n"/>
      <c r="Q872" s="31" t="n"/>
      <c r="R872" s="31" t="n"/>
      <c r="S872" s="31" t="n"/>
      <c r="T872" s="31" t="n"/>
      <c r="U872" s="31" t="n"/>
      <c r="V872" s="31" t="n"/>
      <c r="W872" s="31" t="n"/>
      <c r="X872" s="31" t="n"/>
      <c r="Y872" s="31" t="n"/>
      <c r="Z872" s="31" t="n"/>
      <c r="AA872" s="31" t="n"/>
    </row>
    <row r="873" ht="14.25" customHeight="1">
      <c r="A873" s="31" t="n"/>
      <c r="D873" s="161" t="n"/>
      <c r="E873" s="161" t="n"/>
      <c r="P873" s="31" t="n"/>
      <c r="Q873" s="31" t="n"/>
      <c r="R873" s="31" t="n"/>
      <c r="S873" s="31" t="n"/>
      <c r="T873" s="31" t="n"/>
      <c r="U873" s="31" t="n"/>
      <c r="V873" s="31" t="n"/>
      <c r="W873" s="31" t="n"/>
      <c r="X873" s="31" t="n"/>
      <c r="Y873" s="31" t="n"/>
      <c r="Z873" s="31" t="n"/>
      <c r="AA873" s="31" t="n"/>
    </row>
    <row r="874" ht="14.25" customHeight="1">
      <c r="A874" s="31" t="n"/>
      <c r="D874" s="161" t="n"/>
      <c r="E874" s="161" t="n"/>
      <c r="P874" s="31" t="n"/>
      <c r="Q874" s="31" t="n"/>
      <c r="R874" s="31" t="n"/>
      <c r="S874" s="31" t="n"/>
      <c r="T874" s="31" t="n"/>
      <c r="U874" s="31" t="n"/>
      <c r="V874" s="31" t="n"/>
      <c r="W874" s="31" t="n"/>
      <c r="X874" s="31" t="n"/>
      <c r="Y874" s="31" t="n"/>
      <c r="Z874" s="31" t="n"/>
      <c r="AA874" s="31" t="n"/>
    </row>
    <row r="875" ht="14.25" customHeight="1">
      <c r="A875" s="31" t="n"/>
      <c r="D875" s="161" t="n"/>
      <c r="E875" s="161" t="n"/>
      <c r="P875" s="31" t="n"/>
      <c r="Q875" s="31" t="n"/>
      <c r="R875" s="31" t="n"/>
      <c r="S875" s="31" t="n"/>
      <c r="T875" s="31" t="n"/>
      <c r="U875" s="31" t="n"/>
      <c r="V875" s="31" t="n"/>
      <c r="W875" s="31" t="n"/>
      <c r="X875" s="31" t="n"/>
      <c r="Y875" s="31" t="n"/>
      <c r="Z875" s="31" t="n"/>
      <c r="AA875" s="31" t="n"/>
    </row>
    <row r="876" ht="14.25" customHeight="1">
      <c r="A876" s="31" t="n"/>
      <c r="D876" s="161" t="n"/>
      <c r="E876" s="161" t="n"/>
      <c r="P876" s="31" t="n"/>
      <c r="Q876" s="31" t="n"/>
      <c r="R876" s="31" t="n"/>
      <c r="S876" s="31" t="n"/>
      <c r="T876" s="31" t="n"/>
      <c r="U876" s="31" t="n"/>
      <c r="V876" s="31" t="n"/>
      <c r="W876" s="31" t="n"/>
      <c r="X876" s="31" t="n"/>
      <c r="Y876" s="31" t="n"/>
      <c r="Z876" s="31" t="n"/>
      <c r="AA876" s="31" t="n"/>
    </row>
    <row r="877" ht="14.25" customHeight="1">
      <c r="A877" s="31" t="n"/>
      <c r="D877" s="161" t="n"/>
      <c r="E877" s="161" t="n"/>
      <c r="P877" s="31" t="n"/>
      <c r="Q877" s="31" t="n"/>
      <c r="R877" s="31" t="n"/>
      <c r="S877" s="31" t="n"/>
      <c r="T877" s="31" t="n"/>
      <c r="U877" s="31" t="n"/>
      <c r="V877" s="31" t="n"/>
      <c r="W877" s="31" t="n"/>
      <c r="X877" s="31" t="n"/>
      <c r="Y877" s="31" t="n"/>
      <c r="Z877" s="31" t="n"/>
      <c r="AA877" s="31" t="n"/>
    </row>
    <row r="878" ht="14.25" customHeight="1">
      <c r="A878" s="31" t="n"/>
      <c r="D878" s="161" t="n"/>
      <c r="E878" s="161" t="n"/>
      <c r="P878" s="31" t="n"/>
      <c r="Q878" s="31" t="n"/>
      <c r="R878" s="31" t="n"/>
      <c r="S878" s="31" t="n"/>
      <c r="T878" s="31" t="n"/>
      <c r="U878" s="31" t="n"/>
      <c r="V878" s="31" t="n"/>
      <c r="W878" s="31" t="n"/>
      <c r="X878" s="31" t="n"/>
      <c r="Y878" s="31" t="n"/>
      <c r="Z878" s="31" t="n"/>
      <c r="AA878" s="31" t="n"/>
    </row>
    <row r="879" ht="14.25" customHeight="1">
      <c r="A879" s="31" t="n"/>
      <c r="D879" s="161" t="n"/>
      <c r="E879" s="161" t="n"/>
      <c r="P879" s="31" t="n"/>
      <c r="Q879" s="31" t="n"/>
      <c r="R879" s="31" t="n"/>
      <c r="S879" s="31" t="n"/>
      <c r="T879" s="31" t="n"/>
      <c r="U879" s="31" t="n"/>
      <c r="V879" s="31" t="n"/>
      <c r="W879" s="31" t="n"/>
      <c r="X879" s="31" t="n"/>
      <c r="Y879" s="31" t="n"/>
      <c r="Z879" s="31" t="n"/>
      <c r="AA879" s="31" t="n"/>
    </row>
    <row r="880" ht="14.25" customHeight="1">
      <c r="A880" s="31" t="n"/>
      <c r="D880" s="161" t="n"/>
      <c r="E880" s="161" t="n"/>
      <c r="P880" s="31" t="n"/>
      <c r="Q880" s="31" t="n"/>
      <c r="R880" s="31" t="n"/>
      <c r="S880" s="31" t="n"/>
      <c r="T880" s="31" t="n"/>
      <c r="U880" s="31" t="n"/>
      <c r="V880" s="31" t="n"/>
      <c r="W880" s="31" t="n"/>
      <c r="X880" s="31" t="n"/>
      <c r="Y880" s="31" t="n"/>
      <c r="Z880" s="31" t="n"/>
      <c r="AA880" s="31" t="n"/>
    </row>
    <row r="881" ht="14.25" customHeight="1">
      <c r="A881" s="31" t="n"/>
      <c r="D881" s="161" t="n"/>
      <c r="E881" s="161" t="n"/>
      <c r="P881" s="31" t="n"/>
      <c r="Q881" s="31" t="n"/>
      <c r="R881" s="31" t="n"/>
      <c r="S881" s="31" t="n"/>
      <c r="T881" s="31" t="n"/>
      <c r="U881" s="31" t="n"/>
      <c r="V881" s="31" t="n"/>
      <c r="W881" s="31" t="n"/>
      <c r="X881" s="31" t="n"/>
      <c r="Y881" s="31" t="n"/>
      <c r="Z881" s="31" t="n"/>
      <c r="AA881" s="31" t="n"/>
    </row>
    <row r="882" ht="14.25" customHeight="1">
      <c r="A882" s="31" t="n"/>
      <c r="D882" s="161" t="n"/>
      <c r="E882" s="161" t="n"/>
      <c r="P882" s="31" t="n"/>
      <c r="Q882" s="31" t="n"/>
      <c r="R882" s="31" t="n"/>
      <c r="S882" s="31" t="n"/>
      <c r="T882" s="31" t="n"/>
      <c r="U882" s="31" t="n"/>
      <c r="V882" s="31" t="n"/>
      <c r="W882" s="31" t="n"/>
      <c r="X882" s="31" t="n"/>
      <c r="Y882" s="31" t="n"/>
      <c r="Z882" s="31" t="n"/>
      <c r="AA882" s="31" t="n"/>
    </row>
    <row r="883" ht="14.25" customHeight="1">
      <c r="A883" s="31" t="n"/>
      <c r="D883" s="161" t="n"/>
      <c r="E883" s="161" t="n"/>
      <c r="P883" s="31" t="n"/>
      <c r="Q883" s="31" t="n"/>
      <c r="R883" s="31" t="n"/>
      <c r="S883" s="31" t="n"/>
      <c r="T883" s="31" t="n"/>
      <c r="U883" s="31" t="n"/>
      <c r="V883" s="31" t="n"/>
      <c r="W883" s="31" t="n"/>
      <c r="X883" s="31" t="n"/>
      <c r="Y883" s="31" t="n"/>
      <c r="Z883" s="31" t="n"/>
      <c r="AA883" s="31" t="n"/>
    </row>
    <row r="884" ht="14.25" customHeight="1">
      <c r="A884" s="31" t="n"/>
      <c r="D884" s="161" t="n"/>
      <c r="E884" s="161" t="n"/>
      <c r="P884" s="31" t="n"/>
      <c r="Q884" s="31" t="n"/>
      <c r="R884" s="31" t="n"/>
      <c r="S884" s="31" t="n"/>
      <c r="T884" s="31" t="n"/>
      <c r="U884" s="31" t="n"/>
      <c r="V884" s="31" t="n"/>
      <c r="W884" s="31" t="n"/>
      <c r="X884" s="31" t="n"/>
      <c r="Y884" s="31" t="n"/>
      <c r="Z884" s="31" t="n"/>
      <c r="AA884" s="31" t="n"/>
    </row>
    <row r="885" ht="14.25" customHeight="1">
      <c r="A885" s="31" t="n"/>
      <c r="D885" s="161" t="n"/>
      <c r="E885" s="161" t="n"/>
      <c r="P885" s="31" t="n"/>
      <c r="Q885" s="31" t="n"/>
      <c r="R885" s="31" t="n"/>
      <c r="S885" s="31" t="n"/>
      <c r="T885" s="31" t="n"/>
      <c r="U885" s="31" t="n"/>
      <c r="V885" s="31" t="n"/>
      <c r="W885" s="31" t="n"/>
      <c r="X885" s="31" t="n"/>
      <c r="Y885" s="31" t="n"/>
      <c r="Z885" s="31" t="n"/>
      <c r="AA885" s="31" t="n"/>
    </row>
    <row r="886" ht="14.25" customHeight="1">
      <c r="A886" s="31" t="n"/>
      <c r="D886" s="161" t="n"/>
      <c r="E886" s="161" t="n"/>
      <c r="P886" s="31" t="n"/>
      <c r="Q886" s="31" t="n"/>
      <c r="R886" s="31" t="n"/>
      <c r="S886" s="31" t="n"/>
      <c r="T886" s="31" t="n"/>
      <c r="U886" s="31" t="n"/>
      <c r="V886" s="31" t="n"/>
      <c r="W886" s="31" t="n"/>
      <c r="X886" s="31" t="n"/>
      <c r="Y886" s="31" t="n"/>
      <c r="Z886" s="31" t="n"/>
      <c r="AA886" s="31" t="n"/>
    </row>
    <row r="887" ht="14.25" customHeight="1">
      <c r="A887" s="31" t="n"/>
      <c r="D887" s="161" t="n"/>
      <c r="E887" s="161" t="n"/>
      <c r="P887" s="31" t="n"/>
      <c r="Q887" s="31" t="n"/>
      <c r="R887" s="31" t="n"/>
      <c r="S887" s="31" t="n"/>
      <c r="T887" s="31" t="n"/>
      <c r="U887" s="31" t="n"/>
      <c r="V887" s="31" t="n"/>
      <c r="W887" s="31" t="n"/>
      <c r="X887" s="31" t="n"/>
      <c r="Y887" s="31" t="n"/>
      <c r="Z887" s="31" t="n"/>
      <c r="AA887" s="31" t="n"/>
    </row>
    <row r="888" ht="14.25" customHeight="1">
      <c r="A888" s="31" t="n"/>
      <c r="D888" s="161" t="n"/>
      <c r="E888" s="161" t="n"/>
      <c r="P888" s="31" t="n"/>
      <c r="Q888" s="31" t="n"/>
      <c r="R888" s="31" t="n"/>
      <c r="S888" s="31" t="n"/>
      <c r="T888" s="31" t="n"/>
      <c r="U888" s="31" t="n"/>
      <c r="V888" s="31" t="n"/>
      <c r="W888" s="31" t="n"/>
      <c r="X888" s="31" t="n"/>
      <c r="Y888" s="31" t="n"/>
      <c r="Z888" s="31" t="n"/>
      <c r="AA888" s="31" t="n"/>
    </row>
    <row r="889" ht="14.25" customHeight="1">
      <c r="A889" s="31" t="n"/>
      <c r="D889" s="161" t="n"/>
      <c r="E889" s="161" t="n"/>
      <c r="P889" s="31" t="n"/>
      <c r="Q889" s="31" t="n"/>
      <c r="R889" s="31" t="n"/>
      <c r="S889" s="31" t="n"/>
      <c r="T889" s="31" t="n"/>
      <c r="U889" s="31" t="n"/>
      <c r="V889" s="31" t="n"/>
      <c r="W889" s="31" t="n"/>
      <c r="X889" s="31" t="n"/>
      <c r="Y889" s="31" t="n"/>
      <c r="Z889" s="31" t="n"/>
      <c r="AA889" s="31" t="n"/>
    </row>
    <row r="890" ht="14.25" customHeight="1">
      <c r="A890" s="31" t="n"/>
      <c r="D890" s="161" t="n"/>
      <c r="E890" s="161" t="n"/>
      <c r="P890" s="31" t="n"/>
      <c r="Q890" s="31" t="n"/>
      <c r="R890" s="31" t="n"/>
      <c r="S890" s="31" t="n"/>
      <c r="T890" s="31" t="n"/>
      <c r="U890" s="31" t="n"/>
      <c r="V890" s="31" t="n"/>
      <c r="W890" s="31" t="n"/>
      <c r="X890" s="31" t="n"/>
      <c r="Y890" s="31" t="n"/>
      <c r="Z890" s="31" t="n"/>
      <c r="AA890" s="31" t="n"/>
    </row>
    <row r="891" ht="14.25" customHeight="1">
      <c r="A891" s="31" t="n"/>
      <c r="D891" s="161" t="n"/>
      <c r="E891" s="161" t="n"/>
      <c r="P891" s="31" t="n"/>
      <c r="Q891" s="31" t="n"/>
      <c r="R891" s="31" t="n"/>
      <c r="S891" s="31" t="n"/>
      <c r="T891" s="31" t="n"/>
      <c r="U891" s="31" t="n"/>
      <c r="V891" s="31" t="n"/>
      <c r="W891" s="31" t="n"/>
      <c r="X891" s="31" t="n"/>
      <c r="Y891" s="31" t="n"/>
      <c r="Z891" s="31" t="n"/>
      <c r="AA891" s="31" t="n"/>
    </row>
    <row r="892" ht="14.25" customHeight="1">
      <c r="A892" s="31" t="n"/>
      <c r="D892" s="161" t="n"/>
      <c r="E892" s="161" t="n"/>
      <c r="P892" s="31" t="n"/>
      <c r="Q892" s="31" t="n"/>
      <c r="R892" s="31" t="n"/>
      <c r="S892" s="31" t="n"/>
      <c r="T892" s="31" t="n"/>
      <c r="U892" s="31" t="n"/>
      <c r="V892" s="31" t="n"/>
      <c r="W892" s="31" t="n"/>
      <c r="X892" s="31" t="n"/>
      <c r="Y892" s="31" t="n"/>
      <c r="Z892" s="31" t="n"/>
      <c r="AA892" s="31" t="n"/>
    </row>
    <row r="893" ht="14.25" customHeight="1">
      <c r="A893" s="31" t="n"/>
      <c r="D893" s="161" t="n"/>
      <c r="E893" s="161" t="n"/>
      <c r="P893" s="31" t="n"/>
      <c r="Q893" s="31" t="n"/>
      <c r="R893" s="31" t="n"/>
      <c r="S893" s="31" t="n"/>
      <c r="T893" s="31" t="n"/>
      <c r="U893" s="31" t="n"/>
      <c r="V893" s="31" t="n"/>
      <c r="W893" s="31" t="n"/>
      <c r="X893" s="31" t="n"/>
      <c r="Y893" s="31" t="n"/>
      <c r="Z893" s="31" t="n"/>
      <c r="AA893" s="31" t="n"/>
    </row>
    <row r="894" ht="14.25" customHeight="1">
      <c r="A894" s="31" t="n"/>
      <c r="D894" s="161" t="n"/>
      <c r="E894" s="161" t="n"/>
      <c r="P894" s="31" t="n"/>
      <c r="Q894" s="31" t="n"/>
      <c r="R894" s="31" t="n"/>
      <c r="S894" s="31" t="n"/>
      <c r="T894" s="31" t="n"/>
      <c r="U894" s="31" t="n"/>
      <c r="V894" s="31" t="n"/>
      <c r="W894" s="31" t="n"/>
      <c r="X894" s="31" t="n"/>
      <c r="Y894" s="31" t="n"/>
      <c r="Z894" s="31" t="n"/>
      <c r="AA894" s="31" t="n"/>
    </row>
    <row r="895" ht="14.25" customHeight="1">
      <c r="A895" s="31" t="n"/>
      <c r="D895" s="161" t="n"/>
      <c r="E895" s="161" t="n"/>
      <c r="P895" s="31" t="n"/>
      <c r="Q895" s="31" t="n"/>
      <c r="R895" s="31" t="n"/>
      <c r="S895" s="31" t="n"/>
      <c r="T895" s="31" t="n"/>
      <c r="U895" s="31" t="n"/>
      <c r="V895" s="31" t="n"/>
      <c r="W895" s="31" t="n"/>
      <c r="X895" s="31" t="n"/>
      <c r="Y895" s="31" t="n"/>
      <c r="Z895" s="31" t="n"/>
      <c r="AA895" s="31" t="n"/>
    </row>
    <row r="896" ht="14.25" customHeight="1">
      <c r="A896" s="31" t="n"/>
      <c r="D896" s="161" t="n"/>
      <c r="E896" s="161" t="n"/>
      <c r="P896" s="31" t="n"/>
      <c r="Q896" s="31" t="n"/>
      <c r="R896" s="31" t="n"/>
      <c r="S896" s="31" t="n"/>
      <c r="T896" s="31" t="n"/>
      <c r="U896" s="31" t="n"/>
      <c r="V896" s="31" t="n"/>
      <c r="W896" s="31" t="n"/>
      <c r="X896" s="31" t="n"/>
      <c r="Y896" s="31" t="n"/>
      <c r="Z896" s="31" t="n"/>
      <c r="AA896" s="31" t="n"/>
    </row>
    <row r="897" ht="14.25" customHeight="1">
      <c r="A897" s="31" t="n"/>
      <c r="D897" s="161" t="n"/>
      <c r="E897" s="161" t="n"/>
      <c r="P897" s="31" t="n"/>
      <c r="Q897" s="31" t="n"/>
      <c r="R897" s="31" t="n"/>
      <c r="S897" s="31" t="n"/>
      <c r="T897" s="31" t="n"/>
      <c r="U897" s="31" t="n"/>
      <c r="V897" s="31" t="n"/>
      <c r="W897" s="31" t="n"/>
      <c r="X897" s="31" t="n"/>
      <c r="Y897" s="31" t="n"/>
      <c r="Z897" s="31" t="n"/>
      <c r="AA897" s="31" t="n"/>
    </row>
    <row r="898" ht="14.25" customHeight="1">
      <c r="A898" s="31" t="n"/>
      <c r="D898" s="161" t="n"/>
      <c r="E898" s="161" t="n"/>
      <c r="P898" s="31" t="n"/>
      <c r="Q898" s="31" t="n"/>
      <c r="R898" s="31" t="n"/>
      <c r="S898" s="31" t="n"/>
      <c r="T898" s="31" t="n"/>
      <c r="U898" s="31" t="n"/>
      <c r="V898" s="31" t="n"/>
      <c r="W898" s="31" t="n"/>
      <c r="X898" s="31" t="n"/>
      <c r="Y898" s="31" t="n"/>
      <c r="Z898" s="31" t="n"/>
      <c r="AA898" s="31" t="n"/>
    </row>
    <row r="899" ht="14.25" customHeight="1">
      <c r="A899" s="31" t="n"/>
      <c r="D899" s="161" t="n"/>
      <c r="E899" s="161" t="n"/>
      <c r="P899" s="31" t="n"/>
      <c r="Q899" s="31" t="n"/>
      <c r="R899" s="31" t="n"/>
      <c r="S899" s="31" t="n"/>
      <c r="T899" s="31" t="n"/>
      <c r="U899" s="31" t="n"/>
      <c r="V899" s="31" t="n"/>
      <c r="W899" s="31" t="n"/>
      <c r="X899" s="31" t="n"/>
      <c r="Y899" s="31" t="n"/>
      <c r="Z899" s="31" t="n"/>
      <c r="AA899" s="31" t="n"/>
    </row>
    <row r="900" ht="14.25" customHeight="1">
      <c r="A900" s="31" t="n"/>
      <c r="D900" s="161" t="n"/>
      <c r="E900" s="161" t="n"/>
      <c r="P900" s="31" t="n"/>
      <c r="Q900" s="31" t="n"/>
      <c r="R900" s="31" t="n"/>
      <c r="S900" s="31" t="n"/>
      <c r="T900" s="31" t="n"/>
      <c r="U900" s="31" t="n"/>
      <c r="V900" s="31" t="n"/>
      <c r="W900" s="31" t="n"/>
      <c r="X900" s="31" t="n"/>
      <c r="Y900" s="31" t="n"/>
      <c r="Z900" s="31" t="n"/>
      <c r="AA900" s="31" t="n"/>
    </row>
    <row r="901" ht="14.25" customHeight="1">
      <c r="A901" s="31" t="n"/>
      <c r="D901" s="161" t="n"/>
      <c r="E901" s="161" t="n"/>
      <c r="P901" s="31" t="n"/>
      <c r="Q901" s="31" t="n"/>
      <c r="R901" s="31" t="n"/>
      <c r="S901" s="31" t="n"/>
      <c r="T901" s="31" t="n"/>
      <c r="U901" s="31" t="n"/>
      <c r="V901" s="31" t="n"/>
      <c r="W901" s="31" t="n"/>
      <c r="X901" s="31" t="n"/>
      <c r="Y901" s="31" t="n"/>
      <c r="Z901" s="31" t="n"/>
      <c r="AA901" s="31" t="n"/>
    </row>
    <row r="902" ht="14.25" customHeight="1">
      <c r="A902" s="31" t="n"/>
      <c r="D902" s="161" t="n"/>
      <c r="E902" s="161" t="n"/>
      <c r="P902" s="31" t="n"/>
      <c r="Q902" s="31" t="n"/>
      <c r="R902" s="31" t="n"/>
      <c r="S902" s="31" t="n"/>
      <c r="T902" s="31" t="n"/>
      <c r="U902" s="31" t="n"/>
      <c r="V902" s="31" t="n"/>
      <c r="W902" s="31" t="n"/>
      <c r="X902" s="31" t="n"/>
      <c r="Y902" s="31" t="n"/>
      <c r="Z902" s="31" t="n"/>
      <c r="AA902" s="31" t="n"/>
    </row>
    <row r="903" ht="14.25" customHeight="1">
      <c r="A903" s="31" t="n"/>
      <c r="D903" s="161" t="n"/>
      <c r="E903" s="161" t="n"/>
      <c r="P903" s="31" t="n"/>
      <c r="Q903" s="31" t="n"/>
      <c r="R903" s="31" t="n"/>
      <c r="S903" s="31" t="n"/>
      <c r="T903" s="31" t="n"/>
      <c r="U903" s="31" t="n"/>
      <c r="V903" s="31" t="n"/>
      <c r="W903" s="31" t="n"/>
      <c r="X903" s="31" t="n"/>
      <c r="Y903" s="31" t="n"/>
      <c r="Z903" s="31" t="n"/>
      <c r="AA903" s="31" t="n"/>
    </row>
    <row r="904" ht="14.25" customHeight="1">
      <c r="A904" s="31" t="n"/>
      <c r="D904" s="161" t="n"/>
      <c r="E904" s="161" t="n"/>
      <c r="P904" s="31" t="n"/>
      <c r="Q904" s="31" t="n"/>
      <c r="R904" s="31" t="n"/>
      <c r="S904" s="31" t="n"/>
      <c r="T904" s="31" t="n"/>
      <c r="U904" s="31" t="n"/>
      <c r="V904" s="31" t="n"/>
      <c r="W904" s="31" t="n"/>
      <c r="X904" s="31" t="n"/>
      <c r="Y904" s="31" t="n"/>
      <c r="Z904" s="31" t="n"/>
      <c r="AA904" s="31" t="n"/>
    </row>
    <row r="905" ht="14.25" customHeight="1">
      <c r="A905" s="31" t="n"/>
      <c r="D905" s="161" t="n"/>
      <c r="E905" s="161" t="n"/>
      <c r="P905" s="31" t="n"/>
      <c r="Q905" s="31" t="n"/>
      <c r="R905" s="31" t="n"/>
      <c r="S905" s="31" t="n"/>
      <c r="T905" s="31" t="n"/>
      <c r="U905" s="31" t="n"/>
      <c r="V905" s="31" t="n"/>
      <c r="W905" s="31" t="n"/>
      <c r="X905" s="31" t="n"/>
      <c r="Y905" s="31" t="n"/>
      <c r="Z905" s="31" t="n"/>
      <c r="AA905" s="31" t="n"/>
    </row>
    <row r="906" ht="14.25" customHeight="1">
      <c r="A906" s="31" t="n"/>
      <c r="D906" s="161" t="n"/>
      <c r="E906" s="161" t="n"/>
      <c r="P906" s="31" t="n"/>
      <c r="Q906" s="31" t="n"/>
      <c r="R906" s="31" t="n"/>
      <c r="S906" s="31" t="n"/>
      <c r="T906" s="31" t="n"/>
      <c r="U906" s="31" t="n"/>
      <c r="V906" s="31" t="n"/>
      <c r="W906" s="31" t="n"/>
      <c r="X906" s="31" t="n"/>
      <c r="Y906" s="31" t="n"/>
      <c r="Z906" s="31" t="n"/>
      <c r="AA906" s="31" t="n"/>
    </row>
    <row r="907" ht="14.25" customHeight="1">
      <c r="A907" s="31" t="n"/>
      <c r="D907" s="161" t="n"/>
      <c r="E907" s="161" t="n"/>
      <c r="P907" s="31" t="n"/>
      <c r="Q907" s="31" t="n"/>
      <c r="R907" s="31" t="n"/>
      <c r="S907" s="31" t="n"/>
      <c r="T907" s="31" t="n"/>
      <c r="U907" s="31" t="n"/>
      <c r="V907" s="31" t="n"/>
      <c r="W907" s="31" t="n"/>
      <c r="X907" s="31" t="n"/>
      <c r="Y907" s="31" t="n"/>
      <c r="Z907" s="31" t="n"/>
      <c r="AA907" s="31" t="n"/>
    </row>
    <row r="908" ht="14.25" customHeight="1">
      <c r="A908" s="31" t="n"/>
      <c r="D908" s="161" t="n"/>
      <c r="E908" s="161" t="n"/>
      <c r="P908" s="31" t="n"/>
      <c r="Q908" s="31" t="n"/>
      <c r="R908" s="31" t="n"/>
      <c r="S908" s="31" t="n"/>
      <c r="T908" s="31" t="n"/>
      <c r="U908" s="31" t="n"/>
      <c r="V908" s="31" t="n"/>
      <c r="W908" s="31" t="n"/>
      <c r="X908" s="31" t="n"/>
      <c r="Y908" s="31" t="n"/>
      <c r="Z908" s="31" t="n"/>
      <c r="AA908" s="31" t="n"/>
    </row>
    <row r="909" ht="14.25" customHeight="1">
      <c r="A909" s="31" t="n"/>
      <c r="D909" s="161" t="n"/>
      <c r="E909" s="161" t="n"/>
      <c r="P909" s="31" t="n"/>
      <c r="Q909" s="31" t="n"/>
      <c r="R909" s="31" t="n"/>
      <c r="S909" s="31" t="n"/>
      <c r="T909" s="31" t="n"/>
      <c r="U909" s="31" t="n"/>
      <c r="V909" s="31" t="n"/>
      <c r="W909" s="31" t="n"/>
      <c r="X909" s="31" t="n"/>
      <c r="Y909" s="31" t="n"/>
      <c r="Z909" s="31" t="n"/>
      <c r="AA909" s="31" t="n"/>
    </row>
    <row r="910" ht="14.25" customHeight="1">
      <c r="A910" s="31" t="n"/>
      <c r="D910" s="161" t="n"/>
      <c r="E910" s="161" t="n"/>
      <c r="P910" s="31" t="n"/>
      <c r="Q910" s="31" t="n"/>
      <c r="R910" s="31" t="n"/>
      <c r="S910" s="31" t="n"/>
      <c r="T910" s="31" t="n"/>
      <c r="U910" s="31" t="n"/>
      <c r="V910" s="31" t="n"/>
      <c r="W910" s="31" t="n"/>
      <c r="X910" s="31" t="n"/>
      <c r="Y910" s="31" t="n"/>
      <c r="Z910" s="31" t="n"/>
      <c r="AA910" s="31" t="n"/>
    </row>
    <row r="911" ht="14.25" customHeight="1">
      <c r="A911" s="31" t="n"/>
      <c r="D911" s="161" t="n"/>
      <c r="E911" s="161" t="n"/>
      <c r="P911" s="31" t="n"/>
      <c r="Q911" s="31" t="n"/>
      <c r="R911" s="31" t="n"/>
      <c r="S911" s="31" t="n"/>
      <c r="T911" s="31" t="n"/>
      <c r="U911" s="31" t="n"/>
      <c r="V911" s="31" t="n"/>
      <c r="W911" s="31" t="n"/>
      <c r="X911" s="31" t="n"/>
      <c r="Y911" s="31" t="n"/>
      <c r="Z911" s="31" t="n"/>
      <c r="AA911" s="31" t="n"/>
    </row>
    <row r="912" ht="14.25" customHeight="1">
      <c r="A912" s="31" t="n"/>
      <c r="D912" s="161" t="n"/>
      <c r="E912" s="161" t="n"/>
      <c r="P912" s="31" t="n"/>
      <c r="Q912" s="31" t="n"/>
      <c r="R912" s="31" t="n"/>
      <c r="S912" s="31" t="n"/>
      <c r="T912" s="31" t="n"/>
      <c r="U912" s="31" t="n"/>
      <c r="V912" s="31" t="n"/>
      <c r="W912" s="31" t="n"/>
      <c r="X912" s="31" t="n"/>
      <c r="Y912" s="31" t="n"/>
      <c r="Z912" s="31" t="n"/>
      <c r="AA912" s="31" t="n"/>
    </row>
    <row r="913" ht="14.25" customHeight="1">
      <c r="A913" s="31" t="n"/>
      <c r="D913" s="161" t="n"/>
      <c r="E913" s="161" t="n"/>
      <c r="P913" s="31" t="n"/>
      <c r="Q913" s="31" t="n"/>
      <c r="R913" s="31" t="n"/>
      <c r="S913" s="31" t="n"/>
      <c r="T913" s="31" t="n"/>
      <c r="U913" s="31" t="n"/>
      <c r="V913" s="31" t="n"/>
      <c r="W913" s="31" t="n"/>
      <c r="X913" s="31" t="n"/>
      <c r="Y913" s="31" t="n"/>
      <c r="Z913" s="31" t="n"/>
      <c r="AA913" s="31" t="n"/>
    </row>
    <row r="914" ht="14.25" customHeight="1">
      <c r="A914" s="31" t="n"/>
      <c r="D914" s="161" t="n"/>
      <c r="E914" s="161" t="n"/>
      <c r="P914" s="31" t="n"/>
      <c r="Q914" s="31" t="n"/>
      <c r="R914" s="31" t="n"/>
      <c r="S914" s="31" t="n"/>
      <c r="T914" s="31" t="n"/>
      <c r="U914" s="31" t="n"/>
      <c r="V914" s="31" t="n"/>
      <c r="W914" s="31" t="n"/>
      <c r="X914" s="31" t="n"/>
      <c r="Y914" s="31" t="n"/>
      <c r="Z914" s="31" t="n"/>
      <c r="AA914" s="31" t="n"/>
    </row>
    <row r="915" ht="14.25" customHeight="1">
      <c r="A915" s="31" t="n"/>
      <c r="D915" s="161" t="n"/>
      <c r="E915" s="161" t="n"/>
      <c r="P915" s="31" t="n"/>
      <c r="Q915" s="31" t="n"/>
      <c r="R915" s="31" t="n"/>
      <c r="S915" s="31" t="n"/>
      <c r="T915" s="31" t="n"/>
      <c r="U915" s="31" t="n"/>
      <c r="V915" s="31" t="n"/>
      <c r="W915" s="31" t="n"/>
      <c r="X915" s="31" t="n"/>
      <c r="Y915" s="31" t="n"/>
      <c r="Z915" s="31" t="n"/>
      <c r="AA915" s="31" t="n"/>
    </row>
    <row r="916" ht="14.25" customHeight="1">
      <c r="A916" s="31" t="n"/>
      <c r="D916" s="161" t="n"/>
      <c r="E916" s="161" t="n"/>
      <c r="P916" s="31" t="n"/>
      <c r="Q916" s="31" t="n"/>
      <c r="R916" s="31" t="n"/>
      <c r="S916" s="31" t="n"/>
      <c r="T916" s="31" t="n"/>
      <c r="U916" s="31" t="n"/>
      <c r="V916" s="31" t="n"/>
      <c r="W916" s="31" t="n"/>
      <c r="X916" s="31" t="n"/>
      <c r="Y916" s="31" t="n"/>
      <c r="Z916" s="31" t="n"/>
      <c r="AA916" s="31" t="n"/>
    </row>
    <row r="917" ht="14.25" customHeight="1">
      <c r="A917" s="31" t="n"/>
      <c r="D917" s="161" t="n"/>
      <c r="E917" s="161" t="n"/>
      <c r="P917" s="31" t="n"/>
      <c r="Q917" s="31" t="n"/>
      <c r="R917" s="31" t="n"/>
      <c r="S917" s="31" t="n"/>
      <c r="T917" s="31" t="n"/>
      <c r="U917" s="31" t="n"/>
      <c r="V917" s="31" t="n"/>
      <c r="W917" s="31" t="n"/>
      <c r="X917" s="31" t="n"/>
      <c r="Y917" s="31" t="n"/>
      <c r="Z917" s="31" t="n"/>
      <c r="AA917" s="31" t="n"/>
    </row>
    <row r="918" ht="14.25" customHeight="1">
      <c r="A918" s="31" t="n"/>
      <c r="D918" s="161" t="n"/>
      <c r="E918" s="161" t="n"/>
      <c r="P918" s="31" t="n"/>
      <c r="Q918" s="31" t="n"/>
      <c r="R918" s="31" t="n"/>
      <c r="S918" s="31" t="n"/>
      <c r="T918" s="31" t="n"/>
      <c r="U918" s="31" t="n"/>
      <c r="V918" s="31" t="n"/>
      <c r="W918" s="31" t="n"/>
      <c r="X918" s="31" t="n"/>
      <c r="Y918" s="31" t="n"/>
      <c r="Z918" s="31" t="n"/>
      <c r="AA918" s="31" t="n"/>
    </row>
    <row r="919" ht="14.25" customHeight="1">
      <c r="A919" s="31" t="n"/>
      <c r="D919" s="161" t="n"/>
      <c r="E919" s="161" t="n"/>
      <c r="P919" s="31" t="n"/>
      <c r="Q919" s="31" t="n"/>
      <c r="R919" s="31" t="n"/>
      <c r="S919" s="31" t="n"/>
      <c r="T919" s="31" t="n"/>
      <c r="U919" s="31" t="n"/>
      <c r="V919" s="31" t="n"/>
      <c r="W919" s="31" t="n"/>
      <c r="X919" s="31" t="n"/>
      <c r="Y919" s="31" t="n"/>
      <c r="Z919" s="31" t="n"/>
      <c r="AA919" s="31" t="n"/>
    </row>
    <row r="920" ht="14.25" customHeight="1">
      <c r="A920" s="31" t="n"/>
      <c r="D920" s="161" t="n"/>
      <c r="E920" s="161" t="n"/>
      <c r="P920" s="31" t="n"/>
      <c r="Q920" s="31" t="n"/>
      <c r="R920" s="31" t="n"/>
      <c r="S920" s="31" t="n"/>
      <c r="T920" s="31" t="n"/>
      <c r="U920" s="31" t="n"/>
      <c r="V920" s="31" t="n"/>
      <c r="W920" s="31" t="n"/>
      <c r="X920" s="31" t="n"/>
      <c r="Y920" s="31" t="n"/>
      <c r="Z920" s="31" t="n"/>
      <c r="AA920" s="31" t="n"/>
    </row>
    <row r="921" ht="14.25" customHeight="1">
      <c r="A921" s="31" t="n"/>
      <c r="D921" s="161" t="n"/>
      <c r="E921" s="161" t="n"/>
      <c r="P921" s="31" t="n"/>
      <c r="Q921" s="31" t="n"/>
      <c r="R921" s="31" t="n"/>
      <c r="S921" s="31" t="n"/>
      <c r="T921" s="31" t="n"/>
      <c r="U921" s="31" t="n"/>
      <c r="V921" s="31" t="n"/>
      <c r="W921" s="31" t="n"/>
      <c r="X921" s="31" t="n"/>
      <c r="Y921" s="31" t="n"/>
      <c r="Z921" s="31" t="n"/>
      <c r="AA921" s="31" t="n"/>
    </row>
    <row r="922" ht="14.25" customHeight="1">
      <c r="A922" s="31" t="n"/>
      <c r="D922" s="161" t="n"/>
      <c r="E922" s="161" t="n"/>
      <c r="P922" s="31" t="n"/>
      <c r="Q922" s="31" t="n"/>
      <c r="R922" s="31" t="n"/>
      <c r="S922" s="31" t="n"/>
      <c r="T922" s="31" t="n"/>
      <c r="U922" s="31" t="n"/>
      <c r="V922" s="31" t="n"/>
      <c r="W922" s="31" t="n"/>
      <c r="X922" s="31" t="n"/>
      <c r="Y922" s="31" t="n"/>
      <c r="Z922" s="31" t="n"/>
      <c r="AA922" s="31" t="n"/>
    </row>
    <row r="923" ht="14.25" customHeight="1">
      <c r="A923" s="31" t="n"/>
      <c r="D923" s="161" t="n"/>
      <c r="E923" s="161" t="n"/>
      <c r="P923" s="31" t="n"/>
      <c r="Q923" s="31" t="n"/>
      <c r="R923" s="31" t="n"/>
      <c r="S923" s="31" t="n"/>
      <c r="T923" s="31" t="n"/>
      <c r="U923" s="31" t="n"/>
      <c r="V923" s="31" t="n"/>
      <c r="W923" s="31" t="n"/>
      <c r="X923" s="31" t="n"/>
      <c r="Y923" s="31" t="n"/>
      <c r="Z923" s="31" t="n"/>
      <c r="AA923" s="31" t="n"/>
    </row>
    <row r="924" ht="14.25" customHeight="1">
      <c r="A924" s="31" t="n"/>
      <c r="D924" s="161" t="n"/>
      <c r="E924" s="161" t="n"/>
      <c r="P924" s="31" t="n"/>
      <c r="Q924" s="31" t="n"/>
      <c r="R924" s="31" t="n"/>
      <c r="S924" s="31" t="n"/>
      <c r="T924" s="31" t="n"/>
      <c r="U924" s="31" t="n"/>
      <c r="V924" s="31" t="n"/>
      <c r="W924" s="31" t="n"/>
      <c r="X924" s="31" t="n"/>
      <c r="Y924" s="31" t="n"/>
      <c r="Z924" s="31" t="n"/>
      <c r="AA924" s="31" t="n"/>
    </row>
    <row r="925" ht="14.25" customHeight="1">
      <c r="A925" s="31" t="n"/>
      <c r="D925" s="161" t="n"/>
      <c r="E925" s="161" t="n"/>
      <c r="P925" s="31" t="n"/>
      <c r="Q925" s="31" t="n"/>
      <c r="R925" s="31" t="n"/>
      <c r="S925" s="31" t="n"/>
      <c r="T925" s="31" t="n"/>
      <c r="U925" s="31" t="n"/>
      <c r="V925" s="31" t="n"/>
      <c r="W925" s="31" t="n"/>
      <c r="X925" s="31" t="n"/>
      <c r="Y925" s="31" t="n"/>
      <c r="Z925" s="31" t="n"/>
      <c r="AA925" s="31" t="n"/>
    </row>
    <row r="926" ht="14.25" customHeight="1">
      <c r="A926" s="31" t="n"/>
      <c r="D926" s="161" t="n"/>
      <c r="E926" s="161" t="n"/>
      <c r="P926" s="31" t="n"/>
      <c r="Q926" s="31" t="n"/>
      <c r="R926" s="31" t="n"/>
      <c r="S926" s="31" t="n"/>
      <c r="T926" s="31" t="n"/>
      <c r="U926" s="31" t="n"/>
      <c r="V926" s="31" t="n"/>
      <c r="W926" s="31" t="n"/>
      <c r="X926" s="31" t="n"/>
      <c r="Y926" s="31" t="n"/>
      <c r="Z926" s="31" t="n"/>
      <c r="AA926" s="31" t="n"/>
    </row>
    <row r="927" ht="14.25" customHeight="1">
      <c r="A927" s="31" t="n"/>
      <c r="D927" s="161" t="n"/>
      <c r="E927" s="161" t="n"/>
      <c r="P927" s="31" t="n"/>
      <c r="Q927" s="31" t="n"/>
      <c r="R927" s="31" t="n"/>
      <c r="S927" s="31" t="n"/>
      <c r="T927" s="31" t="n"/>
      <c r="U927" s="31" t="n"/>
      <c r="V927" s="31" t="n"/>
      <c r="W927" s="31" t="n"/>
      <c r="X927" s="31" t="n"/>
      <c r="Y927" s="31" t="n"/>
      <c r="Z927" s="31" t="n"/>
      <c r="AA927" s="31" t="n"/>
    </row>
    <row r="928" ht="14.25" customHeight="1">
      <c r="A928" s="31" t="n"/>
      <c r="D928" s="161" t="n"/>
      <c r="E928" s="161" t="n"/>
      <c r="P928" s="31" t="n"/>
      <c r="Q928" s="31" t="n"/>
      <c r="R928" s="31" t="n"/>
      <c r="S928" s="31" t="n"/>
      <c r="T928" s="31" t="n"/>
      <c r="U928" s="31" t="n"/>
      <c r="V928" s="31" t="n"/>
      <c r="W928" s="31" t="n"/>
      <c r="X928" s="31" t="n"/>
      <c r="Y928" s="31" t="n"/>
      <c r="Z928" s="31" t="n"/>
      <c r="AA928" s="31" t="n"/>
    </row>
    <row r="929" ht="14.25" customHeight="1">
      <c r="A929" s="31" t="n"/>
      <c r="D929" s="161" t="n"/>
      <c r="E929" s="161" t="n"/>
      <c r="P929" s="31" t="n"/>
      <c r="Q929" s="31" t="n"/>
      <c r="R929" s="31" t="n"/>
      <c r="S929" s="31" t="n"/>
      <c r="T929" s="31" t="n"/>
      <c r="U929" s="31" t="n"/>
      <c r="V929" s="31" t="n"/>
      <c r="W929" s="31" t="n"/>
      <c r="X929" s="31" t="n"/>
      <c r="Y929" s="31" t="n"/>
      <c r="Z929" s="31" t="n"/>
      <c r="AA929" s="31" t="n"/>
    </row>
    <row r="930" ht="14.25" customHeight="1">
      <c r="A930" s="31" t="n"/>
      <c r="D930" s="161" t="n"/>
      <c r="E930" s="161" t="n"/>
      <c r="P930" s="31" t="n"/>
      <c r="Q930" s="31" t="n"/>
      <c r="R930" s="31" t="n"/>
      <c r="S930" s="31" t="n"/>
      <c r="T930" s="31" t="n"/>
      <c r="U930" s="31" t="n"/>
      <c r="V930" s="31" t="n"/>
      <c r="W930" s="31" t="n"/>
      <c r="X930" s="31" t="n"/>
      <c r="Y930" s="31" t="n"/>
      <c r="Z930" s="31" t="n"/>
      <c r="AA930" s="31" t="n"/>
    </row>
    <row r="931" ht="14.25" customHeight="1">
      <c r="A931" s="31" t="n"/>
      <c r="D931" s="161" t="n"/>
      <c r="E931" s="161" t="n"/>
      <c r="P931" s="31" t="n"/>
      <c r="Q931" s="31" t="n"/>
      <c r="R931" s="31" t="n"/>
      <c r="S931" s="31" t="n"/>
      <c r="T931" s="31" t="n"/>
      <c r="U931" s="31" t="n"/>
      <c r="V931" s="31" t="n"/>
      <c r="W931" s="31" t="n"/>
      <c r="X931" s="31" t="n"/>
      <c r="Y931" s="31" t="n"/>
      <c r="Z931" s="31" t="n"/>
      <c r="AA931" s="31" t="n"/>
    </row>
    <row r="932" ht="14.25" customHeight="1">
      <c r="A932" s="31" t="n"/>
      <c r="D932" s="161" t="n"/>
      <c r="E932" s="161" t="n"/>
      <c r="P932" s="31" t="n"/>
      <c r="Q932" s="31" t="n"/>
      <c r="R932" s="31" t="n"/>
      <c r="S932" s="31" t="n"/>
      <c r="T932" s="31" t="n"/>
      <c r="U932" s="31" t="n"/>
      <c r="V932" s="31" t="n"/>
      <c r="W932" s="31" t="n"/>
      <c r="X932" s="31" t="n"/>
      <c r="Y932" s="31" t="n"/>
      <c r="Z932" s="31" t="n"/>
      <c r="AA932" s="31" t="n"/>
    </row>
    <row r="933" ht="14.25" customHeight="1">
      <c r="A933" s="31" t="n"/>
      <c r="D933" s="161" t="n"/>
      <c r="E933" s="161" t="n"/>
      <c r="P933" s="31" t="n"/>
      <c r="Q933" s="31" t="n"/>
      <c r="R933" s="31" t="n"/>
      <c r="S933" s="31" t="n"/>
      <c r="T933" s="31" t="n"/>
      <c r="U933" s="31" t="n"/>
      <c r="V933" s="31" t="n"/>
      <c r="W933" s="31" t="n"/>
      <c r="X933" s="31" t="n"/>
      <c r="Y933" s="31" t="n"/>
      <c r="Z933" s="31" t="n"/>
      <c r="AA933" s="31" t="n"/>
    </row>
    <row r="934" ht="14.25" customHeight="1">
      <c r="A934" s="31" t="n"/>
      <c r="D934" s="161" t="n"/>
      <c r="E934" s="161" t="n"/>
      <c r="P934" s="31" t="n"/>
      <c r="Q934" s="31" t="n"/>
      <c r="R934" s="31" t="n"/>
      <c r="S934" s="31" t="n"/>
      <c r="T934" s="31" t="n"/>
      <c r="U934" s="31" t="n"/>
      <c r="V934" s="31" t="n"/>
      <c r="W934" s="31" t="n"/>
      <c r="X934" s="31" t="n"/>
      <c r="Y934" s="31" t="n"/>
      <c r="Z934" s="31" t="n"/>
      <c r="AA934" s="31" t="n"/>
    </row>
    <row r="935" ht="14.25" customHeight="1">
      <c r="A935" s="31" t="n"/>
      <c r="D935" s="161" t="n"/>
      <c r="E935" s="161" t="n"/>
      <c r="P935" s="31" t="n"/>
      <c r="Q935" s="31" t="n"/>
      <c r="R935" s="31" t="n"/>
      <c r="S935" s="31" t="n"/>
      <c r="T935" s="31" t="n"/>
      <c r="U935" s="31" t="n"/>
      <c r="V935" s="31" t="n"/>
      <c r="W935" s="31" t="n"/>
      <c r="X935" s="31" t="n"/>
      <c r="Y935" s="31" t="n"/>
      <c r="Z935" s="31" t="n"/>
      <c r="AA935" s="31" t="n"/>
    </row>
    <row r="936" ht="14.25" customHeight="1">
      <c r="A936" s="31" t="n"/>
      <c r="D936" s="161" t="n"/>
      <c r="E936" s="161" t="n"/>
      <c r="P936" s="31" t="n"/>
      <c r="Q936" s="31" t="n"/>
      <c r="R936" s="31" t="n"/>
      <c r="S936" s="31" t="n"/>
      <c r="T936" s="31" t="n"/>
      <c r="U936" s="31" t="n"/>
      <c r="V936" s="31" t="n"/>
      <c r="W936" s="31" t="n"/>
      <c r="X936" s="31" t="n"/>
      <c r="Y936" s="31" t="n"/>
      <c r="Z936" s="31" t="n"/>
      <c r="AA936" s="31" t="n"/>
    </row>
    <row r="937" ht="14.25" customHeight="1">
      <c r="A937" s="31" t="n"/>
      <c r="D937" s="161" t="n"/>
      <c r="E937" s="161" t="n"/>
      <c r="P937" s="31" t="n"/>
      <c r="Q937" s="31" t="n"/>
      <c r="R937" s="31" t="n"/>
      <c r="S937" s="31" t="n"/>
      <c r="T937" s="31" t="n"/>
      <c r="U937" s="31" t="n"/>
      <c r="V937" s="31" t="n"/>
      <c r="W937" s="31" t="n"/>
      <c r="X937" s="31" t="n"/>
      <c r="Y937" s="31" t="n"/>
      <c r="Z937" s="31" t="n"/>
      <c r="AA937" s="31" t="n"/>
    </row>
    <row r="938" ht="14.25" customHeight="1">
      <c r="A938" s="31" t="n"/>
      <c r="D938" s="161" t="n"/>
      <c r="E938" s="161" t="n"/>
      <c r="P938" s="31" t="n"/>
      <c r="Q938" s="31" t="n"/>
      <c r="R938" s="31" t="n"/>
      <c r="S938" s="31" t="n"/>
      <c r="T938" s="31" t="n"/>
      <c r="U938" s="31" t="n"/>
      <c r="V938" s="31" t="n"/>
      <c r="W938" s="31" t="n"/>
      <c r="X938" s="31" t="n"/>
      <c r="Y938" s="31" t="n"/>
      <c r="Z938" s="31" t="n"/>
      <c r="AA938" s="31" t="n"/>
    </row>
    <row r="939" ht="14.25" customHeight="1">
      <c r="A939" s="31" t="n"/>
      <c r="D939" s="161" t="n"/>
      <c r="E939" s="161" t="n"/>
      <c r="P939" s="31" t="n"/>
      <c r="Q939" s="31" t="n"/>
      <c r="R939" s="31" t="n"/>
      <c r="S939" s="31" t="n"/>
      <c r="T939" s="31" t="n"/>
      <c r="U939" s="31" t="n"/>
      <c r="V939" s="31" t="n"/>
      <c r="W939" s="31" t="n"/>
      <c r="X939" s="31" t="n"/>
      <c r="Y939" s="31" t="n"/>
      <c r="Z939" s="31" t="n"/>
      <c r="AA939" s="31" t="n"/>
    </row>
    <row r="940" ht="14.25" customHeight="1">
      <c r="A940" s="31" t="n"/>
      <c r="D940" s="161" t="n"/>
      <c r="E940" s="161" t="n"/>
      <c r="P940" s="31" t="n"/>
      <c r="Q940" s="31" t="n"/>
      <c r="R940" s="31" t="n"/>
      <c r="S940" s="31" t="n"/>
      <c r="T940" s="31" t="n"/>
      <c r="U940" s="31" t="n"/>
      <c r="V940" s="31" t="n"/>
      <c r="W940" s="31" t="n"/>
      <c r="X940" s="31" t="n"/>
      <c r="Y940" s="31" t="n"/>
      <c r="Z940" s="31" t="n"/>
      <c r="AA940" s="31" t="n"/>
    </row>
    <row r="941" ht="14.25" customHeight="1">
      <c r="A941" s="31" t="n"/>
      <c r="D941" s="161" t="n"/>
      <c r="E941" s="161" t="n"/>
      <c r="P941" s="31" t="n"/>
      <c r="Q941" s="31" t="n"/>
      <c r="R941" s="31" t="n"/>
      <c r="S941" s="31" t="n"/>
      <c r="T941" s="31" t="n"/>
      <c r="U941" s="31" t="n"/>
      <c r="V941" s="31" t="n"/>
      <c r="W941" s="31" t="n"/>
      <c r="X941" s="31" t="n"/>
      <c r="Y941" s="31" t="n"/>
      <c r="Z941" s="31" t="n"/>
      <c r="AA941" s="31" t="n"/>
    </row>
    <row r="942" ht="14.25" customHeight="1">
      <c r="A942" s="31" t="n"/>
      <c r="D942" s="161" t="n"/>
      <c r="E942" s="161" t="n"/>
      <c r="P942" s="31" t="n"/>
      <c r="Q942" s="31" t="n"/>
      <c r="R942" s="31" t="n"/>
      <c r="S942" s="31" t="n"/>
      <c r="T942" s="31" t="n"/>
      <c r="U942" s="31" t="n"/>
      <c r="V942" s="31" t="n"/>
      <c r="W942" s="31" t="n"/>
      <c r="X942" s="31" t="n"/>
      <c r="Y942" s="31" t="n"/>
      <c r="Z942" s="31" t="n"/>
      <c r="AA942" s="31" t="n"/>
    </row>
    <row r="943" ht="14.25" customHeight="1">
      <c r="A943" s="31" t="n"/>
      <c r="D943" s="161" t="n"/>
      <c r="E943" s="161" t="n"/>
      <c r="P943" s="31" t="n"/>
      <c r="Q943" s="31" t="n"/>
      <c r="R943" s="31" t="n"/>
      <c r="S943" s="31" t="n"/>
      <c r="T943" s="31" t="n"/>
      <c r="U943" s="31" t="n"/>
      <c r="V943" s="31" t="n"/>
      <c r="W943" s="31" t="n"/>
      <c r="X943" s="31" t="n"/>
      <c r="Y943" s="31" t="n"/>
      <c r="Z943" s="31" t="n"/>
      <c r="AA943" s="31" t="n"/>
    </row>
    <row r="944" ht="14.25" customHeight="1">
      <c r="A944" s="31" t="n"/>
      <c r="D944" s="161" t="n"/>
      <c r="E944" s="161" t="n"/>
      <c r="P944" s="31" t="n"/>
      <c r="Q944" s="31" t="n"/>
      <c r="R944" s="31" t="n"/>
      <c r="S944" s="31" t="n"/>
      <c r="T944" s="31" t="n"/>
      <c r="U944" s="31" t="n"/>
      <c r="V944" s="31" t="n"/>
      <c r="W944" s="31" t="n"/>
      <c r="X944" s="31" t="n"/>
      <c r="Y944" s="31" t="n"/>
      <c r="Z944" s="31" t="n"/>
      <c r="AA944" s="31" t="n"/>
    </row>
    <row r="945" ht="14.25" customHeight="1">
      <c r="A945" s="31" t="n"/>
      <c r="D945" s="161" t="n"/>
      <c r="E945" s="161" t="n"/>
      <c r="P945" s="31" t="n"/>
      <c r="Q945" s="31" t="n"/>
      <c r="R945" s="31" t="n"/>
      <c r="S945" s="31" t="n"/>
      <c r="T945" s="31" t="n"/>
      <c r="U945" s="31" t="n"/>
      <c r="V945" s="31" t="n"/>
      <c r="W945" s="31" t="n"/>
      <c r="X945" s="31" t="n"/>
      <c r="Y945" s="31" t="n"/>
      <c r="Z945" s="31" t="n"/>
      <c r="AA945" s="31" t="n"/>
    </row>
    <row r="946" ht="14.25" customHeight="1">
      <c r="A946" s="31" t="n"/>
      <c r="D946" s="161" t="n"/>
      <c r="E946" s="161" t="n"/>
      <c r="P946" s="31" t="n"/>
      <c r="Q946" s="31" t="n"/>
      <c r="R946" s="31" t="n"/>
      <c r="S946" s="31" t="n"/>
      <c r="T946" s="31" t="n"/>
      <c r="U946" s="31" t="n"/>
      <c r="V946" s="31" t="n"/>
      <c r="W946" s="31" t="n"/>
      <c r="X946" s="31" t="n"/>
      <c r="Y946" s="31" t="n"/>
      <c r="Z946" s="31" t="n"/>
      <c r="AA946" s="31" t="n"/>
    </row>
    <row r="947" ht="14.25" customHeight="1">
      <c r="A947" s="31" t="n"/>
      <c r="D947" s="161" t="n"/>
      <c r="E947" s="161" t="n"/>
      <c r="P947" s="31" t="n"/>
      <c r="Q947" s="31" t="n"/>
      <c r="R947" s="31" t="n"/>
      <c r="S947" s="31" t="n"/>
      <c r="T947" s="31" t="n"/>
      <c r="U947" s="31" t="n"/>
      <c r="V947" s="31" t="n"/>
      <c r="W947" s="31" t="n"/>
      <c r="X947" s="31" t="n"/>
      <c r="Y947" s="31" t="n"/>
      <c r="Z947" s="31" t="n"/>
      <c r="AA947" s="31" t="n"/>
    </row>
    <row r="948" ht="14.25" customHeight="1">
      <c r="A948" s="31" t="n"/>
      <c r="D948" s="161" t="n"/>
      <c r="E948" s="161" t="n"/>
      <c r="P948" s="31" t="n"/>
      <c r="Q948" s="31" t="n"/>
      <c r="R948" s="31" t="n"/>
      <c r="S948" s="31" t="n"/>
      <c r="T948" s="31" t="n"/>
      <c r="U948" s="31" t="n"/>
      <c r="V948" s="31" t="n"/>
      <c r="W948" s="31" t="n"/>
      <c r="X948" s="31" t="n"/>
      <c r="Y948" s="31" t="n"/>
      <c r="Z948" s="31" t="n"/>
      <c r="AA948" s="31" t="n"/>
    </row>
    <row r="949" ht="14.25" customHeight="1">
      <c r="A949" s="31" t="n"/>
      <c r="D949" s="161" t="n"/>
      <c r="E949" s="161" t="n"/>
      <c r="P949" s="31" t="n"/>
      <c r="Q949" s="31" t="n"/>
      <c r="R949" s="31" t="n"/>
      <c r="S949" s="31" t="n"/>
      <c r="T949" s="31" t="n"/>
      <c r="U949" s="31" t="n"/>
      <c r="V949" s="31" t="n"/>
      <c r="W949" s="31" t="n"/>
      <c r="X949" s="31" t="n"/>
      <c r="Y949" s="31" t="n"/>
      <c r="Z949" s="31" t="n"/>
      <c r="AA949" s="31" t="n"/>
    </row>
    <row r="950" ht="14.25" customHeight="1">
      <c r="A950" s="31" t="n"/>
      <c r="D950" s="161" t="n"/>
      <c r="E950" s="161" t="n"/>
      <c r="P950" s="31" t="n"/>
      <c r="Q950" s="31" t="n"/>
      <c r="R950" s="31" t="n"/>
      <c r="S950" s="31" t="n"/>
      <c r="T950" s="31" t="n"/>
      <c r="U950" s="31" t="n"/>
      <c r="V950" s="31" t="n"/>
      <c r="W950" s="31" t="n"/>
      <c r="X950" s="31" t="n"/>
      <c r="Y950" s="31" t="n"/>
      <c r="Z950" s="31" t="n"/>
      <c r="AA950" s="31" t="n"/>
    </row>
    <row r="951" ht="14.25" customHeight="1">
      <c r="A951" s="31" t="n"/>
      <c r="D951" s="161" t="n"/>
      <c r="E951" s="161" t="n"/>
      <c r="P951" s="31" t="n"/>
      <c r="Q951" s="31" t="n"/>
      <c r="R951" s="31" t="n"/>
      <c r="S951" s="31" t="n"/>
      <c r="T951" s="31" t="n"/>
      <c r="U951" s="31" t="n"/>
      <c r="V951" s="31" t="n"/>
      <c r="W951" s="31" t="n"/>
      <c r="X951" s="31" t="n"/>
      <c r="Y951" s="31" t="n"/>
      <c r="Z951" s="31" t="n"/>
      <c r="AA951" s="31" t="n"/>
    </row>
    <row r="952" ht="14.25" customHeight="1">
      <c r="A952" s="31" t="n"/>
      <c r="D952" s="161" t="n"/>
      <c r="E952" s="161" t="n"/>
      <c r="P952" s="31" t="n"/>
      <c r="Q952" s="31" t="n"/>
      <c r="R952" s="31" t="n"/>
      <c r="S952" s="31" t="n"/>
      <c r="T952" s="31" t="n"/>
      <c r="U952" s="31" t="n"/>
      <c r="V952" s="31" t="n"/>
      <c r="W952" s="31" t="n"/>
      <c r="X952" s="31" t="n"/>
      <c r="Y952" s="31" t="n"/>
      <c r="Z952" s="31" t="n"/>
      <c r="AA952" s="31" t="n"/>
    </row>
    <row r="953" ht="14.25" customHeight="1">
      <c r="A953" s="31" t="n"/>
      <c r="D953" s="161" t="n"/>
      <c r="E953" s="161" t="n"/>
      <c r="P953" s="31" t="n"/>
      <c r="Q953" s="31" t="n"/>
      <c r="R953" s="31" t="n"/>
      <c r="S953" s="31" t="n"/>
      <c r="T953" s="31" t="n"/>
      <c r="U953" s="31" t="n"/>
      <c r="V953" s="31" t="n"/>
      <c r="W953" s="31" t="n"/>
      <c r="X953" s="31" t="n"/>
      <c r="Y953" s="31" t="n"/>
      <c r="Z953" s="31" t="n"/>
      <c r="AA953" s="31" t="n"/>
    </row>
    <row r="954" ht="14.25" customHeight="1">
      <c r="A954" s="31" t="n"/>
      <c r="D954" s="161" t="n"/>
      <c r="E954" s="161" t="n"/>
      <c r="P954" s="31" t="n"/>
      <c r="Q954" s="31" t="n"/>
      <c r="R954" s="31" t="n"/>
      <c r="S954" s="31" t="n"/>
      <c r="T954" s="31" t="n"/>
      <c r="U954" s="31" t="n"/>
      <c r="V954" s="31" t="n"/>
      <c r="W954" s="31" t="n"/>
      <c r="X954" s="31" t="n"/>
      <c r="Y954" s="31" t="n"/>
      <c r="Z954" s="31" t="n"/>
      <c r="AA954" s="31" t="n"/>
    </row>
    <row r="955" ht="14.25" customHeight="1">
      <c r="A955" s="31" t="n"/>
      <c r="D955" s="161" t="n"/>
      <c r="E955" s="161" t="n"/>
      <c r="P955" s="31" t="n"/>
      <c r="Q955" s="31" t="n"/>
      <c r="R955" s="31" t="n"/>
      <c r="S955" s="31" t="n"/>
      <c r="T955" s="31" t="n"/>
      <c r="U955" s="31" t="n"/>
      <c r="V955" s="31" t="n"/>
      <c r="W955" s="31" t="n"/>
      <c r="X955" s="31" t="n"/>
      <c r="Y955" s="31" t="n"/>
      <c r="Z955" s="31" t="n"/>
      <c r="AA955" s="31" t="n"/>
    </row>
    <row r="956" ht="14.25" customHeight="1">
      <c r="A956" s="31" t="n"/>
      <c r="D956" s="161" t="n"/>
      <c r="E956" s="161" t="n"/>
      <c r="P956" s="31" t="n"/>
      <c r="Q956" s="31" t="n"/>
      <c r="R956" s="31" t="n"/>
      <c r="S956" s="31" t="n"/>
      <c r="T956" s="31" t="n"/>
      <c r="U956" s="31" t="n"/>
      <c r="V956" s="31" t="n"/>
      <c r="W956" s="31" t="n"/>
      <c r="X956" s="31" t="n"/>
      <c r="Y956" s="31" t="n"/>
      <c r="Z956" s="31" t="n"/>
      <c r="AA956" s="31" t="n"/>
    </row>
    <row r="957" ht="14.25" customHeight="1">
      <c r="A957" s="31" t="n"/>
      <c r="D957" s="161" t="n"/>
      <c r="E957" s="161" t="n"/>
      <c r="P957" s="31" t="n"/>
      <c r="Q957" s="31" t="n"/>
      <c r="R957" s="31" t="n"/>
      <c r="S957" s="31" t="n"/>
      <c r="T957" s="31" t="n"/>
      <c r="U957" s="31" t="n"/>
      <c r="V957" s="31" t="n"/>
      <c r="W957" s="31" t="n"/>
      <c r="X957" s="31" t="n"/>
      <c r="Y957" s="31" t="n"/>
      <c r="Z957" s="31" t="n"/>
      <c r="AA957" s="31" t="n"/>
    </row>
    <row r="958" ht="14.25" customHeight="1">
      <c r="A958" s="31" t="n"/>
      <c r="D958" s="161" t="n"/>
      <c r="E958" s="161" t="n"/>
      <c r="P958" s="31" t="n"/>
      <c r="Q958" s="31" t="n"/>
      <c r="R958" s="31" t="n"/>
      <c r="S958" s="31" t="n"/>
      <c r="T958" s="31" t="n"/>
      <c r="U958" s="31" t="n"/>
      <c r="V958" s="31" t="n"/>
      <c r="W958" s="31" t="n"/>
      <c r="X958" s="31" t="n"/>
      <c r="Y958" s="31" t="n"/>
      <c r="Z958" s="31" t="n"/>
      <c r="AA958" s="31" t="n"/>
    </row>
    <row r="959" ht="14.25" customHeight="1">
      <c r="A959" s="31" t="n"/>
      <c r="D959" s="161" t="n"/>
      <c r="E959" s="161" t="n"/>
      <c r="P959" s="31" t="n"/>
      <c r="Q959" s="31" t="n"/>
      <c r="R959" s="31" t="n"/>
      <c r="S959" s="31" t="n"/>
      <c r="T959" s="31" t="n"/>
      <c r="U959" s="31" t="n"/>
      <c r="V959" s="31" t="n"/>
      <c r="W959" s="31" t="n"/>
      <c r="X959" s="31" t="n"/>
      <c r="Y959" s="31" t="n"/>
      <c r="Z959" s="31" t="n"/>
      <c r="AA959" s="31" t="n"/>
    </row>
    <row r="960" ht="14.25" customHeight="1">
      <c r="A960" s="31" t="n"/>
      <c r="D960" s="161" t="n"/>
      <c r="E960" s="161" t="n"/>
      <c r="P960" s="31" t="n"/>
      <c r="Q960" s="31" t="n"/>
      <c r="R960" s="31" t="n"/>
      <c r="S960" s="31" t="n"/>
      <c r="T960" s="31" t="n"/>
      <c r="U960" s="31" t="n"/>
      <c r="V960" s="31" t="n"/>
      <c r="W960" s="31" t="n"/>
      <c r="X960" s="31" t="n"/>
      <c r="Y960" s="31" t="n"/>
      <c r="Z960" s="31" t="n"/>
      <c r="AA960" s="31" t="n"/>
    </row>
    <row r="961" ht="14.25" customHeight="1">
      <c r="A961" s="31" t="n"/>
      <c r="D961" s="161" t="n"/>
      <c r="E961" s="161" t="n"/>
      <c r="P961" s="31" t="n"/>
      <c r="Q961" s="31" t="n"/>
      <c r="R961" s="31" t="n"/>
      <c r="S961" s="31" t="n"/>
      <c r="T961" s="31" t="n"/>
      <c r="U961" s="31" t="n"/>
      <c r="V961" s="31" t="n"/>
      <c r="W961" s="31" t="n"/>
      <c r="X961" s="31" t="n"/>
      <c r="Y961" s="31" t="n"/>
      <c r="Z961" s="31" t="n"/>
      <c r="AA961" s="31" t="n"/>
    </row>
    <row r="962" ht="14.25" customHeight="1">
      <c r="A962" s="31" t="n"/>
      <c r="D962" s="161" t="n"/>
      <c r="E962" s="161" t="n"/>
      <c r="P962" s="31" t="n"/>
      <c r="Q962" s="31" t="n"/>
      <c r="R962" s="31" t="n"/>
      <c r="S962" s="31" t="n"/>
      <c r="T962" s="31" t="n"/>
      <c r="U962" s="31" t="n"/>
      <c r="V962" s="31" t="n"/>
      <c r="W962" s="31" t="n"/>
      <c r="X962" s="31" t="n"/>
      <c r="Y962" s="31" t="n"/>
      <c r="Z962" s="31" t="n"/>
      <c r="AA962" s="31" t="n"/>
    </row>
    <row r="963" ht="14.25" customHeight="1">
      <c r="A963" s="31" t="n"/>
      <c r="D963" s="161" t="n"/>
      <c r="E963" s="161" t="n"/>
      <c r="P963" s="31" t="n"/>
      <c r="Q963" s="31" t="n"/>
      <c r="R963" s="31" t="n"/>
      <c r="S963" s="31" t="n"/>
      <c r="T963" s="31" t="n"/>
      <c r="U963" s="31" t="n"/>
      <c r="V963" s="31" t="n"/>
      <c r="W963" s="31" t="n"/>
      <c r="X963" s="31" t="n"/>
      <c r="Y963" s="31" t="n"/>
      <c r="Z963" s="31" t="n"/>
      <c r="AA963" s="31" t="n"/>
    </row>
    <row r="964" ht="14.25" customHeight="1">
      <c r="A964" s="31" t="n"/>
      <c r="D964" s="161" t="n"/>
      <c r="E964" s="161" t="n"/>
      <c r="P964" s="31" t="n"/>
      <c r="Q964" s="31" t="n"/>
      <c r="R964" s="31" t="n"/>
      <c r="S964" s="31" t="n"/>
      <c r="T964" s="31" t="n"/>
      <c r="U964" s="31" t="n"/>
      <c r="V964" s="31" t="n"/>
      <c r="W964" s="31" t="n"/>
      <c r="X964" s="31" t="n"/>
      <c r="Y964" s="31" t="n"/>
      <c r="Z964" s="31" t="n"/>
      <c r="AA964" s="31" t="n"/>
    </row>
    <row r="965" ht="14.25" customHeight="1">
      <c r="A965" s="31" t="n"/>
      <c r="D965" s="161" t="n"/>
      <c r="E965" s="161" t="n"/>
      <c r="P965" s="31" t="n"/>
      <c r="Q965" s="31" t="n"/>
      <c r="R965" s="31" t="n"/>
      <c r="S965" s="31" t="n"/>
      <c r="T965" s="31" t="n"/>
      <c r="U965" s="31" t="n"/>
      <c r="V965" s="31" t="n"/>
      <c r="W965" s="31" t="n"/>
      <c r="X965" s="31" t="n"/>
      <c r="Y965" s="31" t="n"/>
      <c r="Z965" s="31" t="n"/>
      <c r="AA965" s="31" t="n"/>
    </row>
    <row r="966" ht="14.25" customHeight="1">
      <c r="A966" s="31" t="n"/>
      <c r="D966" s="161" t="n"/>
      <c r="E966" s="161" t="n"/>
      <c r="P966" s="31" t="n"/>
      <c r="Q966" s="31" t="n"/>
      <c r="R966" s="31" t="n"/>
      <c r="S966" s="31" t="n"/>
      <c r="T966" s="31" t="n"/>
      <c r="U966" s="31" t="n"/>
      <c r="V966" s="31" t="n"/>
      <c r="W966" s="31" t="n"/>
      <c r="X966" s="31" t="n"/>
      <c r="Y966" s="31" t="n"/>
      <c r="Z966" s="31" t="n"/>
      <c r="AA966" s="31" t="n"/>
    </row>
    <row r="967" ht="14.25" customHeight="1">
      <c r="A967" s="31" t="n"/>
      <c r="D967" s="161" t="n"/>
      <c r="E967" s="161" t="n"/>
      <c r="P967" s="31" t="n"/>
      <c r="Q967" s="31" t="n"/>
      <c r="R967" s="31" t="n"/>
      <c r="S967" s="31" t="n"/>
      <c r="T967" s="31" t="n"/>
      <c r="U967" s="31" t="n"/>
      <c r="V967" s="31" t="n"/>
      <c r="W967" s="31" t="n"/>
      <c r="X967" s="31" t="n"/>
      <c r="Y967" s="31" t="n"/>
      <c r="Z967" s="31" t="n"/>
      <c r="AA967" s="31" t="n"/>
    </row>
    <row r="968" ht="14.25" customHeight="1">
      <c r="A968" s="31" t="n"/>
      <c r="D968" s="161" t="n"/>
      <c r="E968" s="161" t="n"/>
      <c r="P968" s="31" t="n"/>
      <c r="Q968" s="31" t="n"/>
      <c r="R968" s="31" t="n"/>
      <c r="S968" s="31" t="n"/>
      <c r="T968" s="31" t="n"/>
      <c r="U968" s="31" t="n"/>
      <c r="V968" s="31" t="n"/>
      <c r="W968" s="31" t="n"/>
      <c r="X968" s="31" t="n"/>
      <c r="Y968" s="31" t="n"/>
      <c r="Z968" s="31" t="n"/>
      <c r="AA968" s="31" t="n"/>
    </row>
    <row r="969" ht="14.25" customHeight="1">
      <c r="A969" s="31" t="n"/>
      <c r="D969" s="161" t="n"/>
      <c r="E969" s="161" t="n"/>
      <c r="P969" s="31" t="n"/>
      <c r="Q969" s="31" t="n"/>
      <c r="R969" s="31" t="n"/>
      <c r="S969" s="31" t="n"/>
      <c r="T969" s="31" t="n"/>
      <c r="U969" s="31" t="n"/>
      <c r="V969" s="31" t="n"/>
      <c r="W969" s="31" t="n"/>
      <c r="X969" s="31" t="n"/>
      <c r="Y969" s="31" t="n"/>
      <c r="Z969" s="31" t="n"/>
      <c r="AA969" s="31" t="n"/>
    </row>
    <row r="970" ht="14.25" customHeight="1">
      <c r="A970" s="31" t="n"/>
      <c r="D970" s="161" t="n"/>
      <c r="E970" s="161" t="n"/>
      <c r="P970" s="31" t="n"/>
      <c r="Q970" s="31" t="n"/>
      <c r="R970" s="31" t="n"/>
      <c r="S970" s="31" t="n"/>
      <c r="T970" s="31" t="n"/>
      <c r="U970" s="31" t="n"/>
      <c r="V970" s="31" t="n"/>
      <c r="W970" s="31" t="n"/>
      <c r="X970" s="31" t="n"/>
      <c r="Y970" s="31" t="n"/>
      <c r="Z970" s="31" t="n"/>
      <c r="AA970" s="31" t="n"/>
    </row>
    <row r="971" ht="14.25" customHeight="1">
      <c r="A971" s="31" t="n"/>
      <c r="D971" s="161" t="n"/>
      <c r="E971" s="161" t="n"/>
      <c r="P971" s="31" t="n"/>
      <c r="Q971" s="31" t="n"/>
      <c r="R971" s="31" t="n"/>
      <c r="S971" s="31" t="n"/>
      <c r="T971" s="31" t="n"/>
      <c r="U971" s="31" t="n"/>
      <c r="V971" s="31" t="n"/>
      <c r="W971" s="31" t="n"/>
      <c r="X971" s="31" t="n"/>
      <c r="Y971" s="31" t="n"/>
      <c r="Z971" s="31" t="n"/>
      <c r="AA971" s="31" t="n"/>
    </row>
    <row r="972" ht="14.25" customHeight="1">
      <c r="A972" s="31" t="n"/>
      <c r="D972" s="161" t="n"/>
      <c r="E972" s="161" t="n"/>
      <c r="P972" s="31" t="n"/>
      <c r="Q972" s="31" t="n"/>
      <c r="R972" s="31" t="n"/>
      <c r="S972" s="31" t="n"/>
      <c r="T972" s="31" t="n"/>
      <c r="U972" s="31" t="n"/>
      <c r="V972" s="31" t="n"/>
      <c r="W972" s="31" t="n"/>
      <c r="X972" s="31" t="n"/>
      <c r="Y972" s="31" t="n"/>
      <c r="Z972" s="31" t="n"/>
      <c r="AA972" s="31" t="n"/>
    </row>
    <row r="973" ht="14.25" customHeight="1">
      <c r="A973" s="31" t="n"/>
      <c r="D973" s="161" t="n"/>
      <c r="E973" s="161" t="n"/>
      <c r="P973" s="31" t="n"/>
      <c r="Q973" s="31" t="n"/>
      <c r="R973" s="31" t="n"/>
      <c r="S973" s="31" t="n"/>
      <c r="T973" s="31" t="n"/>
      <c r="U973" s="31" t="n"/>
      <c r="V973" s="31" t="n"/>
      <c r="W973" s="31" t="n"/>
      <c r="X973" s="31" t="n"/>
      <c r="Y973" s="31" t="n"/>
      <c r="Z973" s="31" t="n"/>
      <c r="AA973" s="31" t="n"/>
    </row>
    <row r="974" ht="14.25" customHeight="1">
      <c r="A974" s="31" t="n"/>
      <c r="D974" s="161" t="n"/>
      <c r="E974" s="161" t="n"/>
      <c r="P974" s="31" t="n"/>
      <c r="Q974" s="31" t="n"/>
      <c r="R974" s="31" t="n"/>
      <c r="S974" s="31" t="n"/>
      <c r="T974" s="31" t="n"/>
      <c r="U974" s="31" t="n"/>
      <c r="V974" s="31" t="n"/>
      <c r="W974" s="31" t="n"/>
      <c r="X974" s="31" t="n"/>
      <c r="Y974" s="31" t="n"/>
      <c r="Z974" s="31" t="n"/>
      <c r="AA974" s="31" t="n"/>
    </row>
    <row r="975" ht="14.25" customHeight="1">
      <c r="A975" s="31" t="n"/>
      <c r="D975" s="161" t="n"/>
      <c r="E975" s="161" t="n"/>
      <c r="P975" s="31" t="n"/>
      <c r="Q975" s="31" t="n"/>
      <c r="R975" s="31" t="n"/>
      <c r="S975" s="31" t="n"/>
      <c r="T975" s="31" t="n"/>
      <c r="U975" s="31" t="n"/>
      <c r="V975" s="31" t="n"/>
      <c r="W975" s="31" t="n"/>
      <c r="X975" s="31" t="n"/>
      <c r="Y975" s="31" t="n"/>
      <c r="Z975" s="31" t="n"/>
      <c r="AA975" s="31" t="n"/>
    </row>
    <row r="976" ht="14.25" customHeight="1">
      <c r="A976" s="31" t="n"/>
      <c r="D976" s="161" t="n"/>
      <c r="E976" s="161" t="n"/>
      <c r="P976" s="31" t="n"/>
      <c r="Q976" s="31" t="n"/>
      <c r="R976" s="31" t="n"/>
      <c r="S976" s="31" t="n"/>
      <c r="T976" s="31" t="n"/>
      <c r="U976" s="31" t="n"/>
      <c r="V976" s="31" t="n"/>
      <c r="W976" s="31" t="n"/>
      <c r="X976" s="31" t="n"/>
      <c r="Y976" s="31" t="n"/>
      <c r="Z976" s="31" t="n"/>
      <c r="AA976" s="31" t="n"/>
    </row>
    <row r="977" ht="14.25" customHeight="1">
      <c r="A977" s="31" t="n"/>
      <c r="D977" s="161" t="n"/>
      <c r="E977" s="161" t="n"/>
      <c r="P977" s="31" t="n"/>
      <c r="Q977" s="31" t="n"/>
      <c r="R977" s="31" t="n"/>
      <c r="S977" s="31" t="n"/>
      <c r="T977" s="31" t="n"/>
      <c r="U977" s="31" t="n"/>
      <c r="V977" s="31" t="n"/>
      <c r="W977" s="31" t="n"/>
      <c r="X977" s="31" t="n"/>
      <c r="Y977" s="31" t="n"/>
      <c r="Z977" s="31" t="n"/>
      <c r="AA977" s="31" t="n"/>
    </row>
    <row r="978" ht="14.25" customHeight="1">
      <c r="A978" s="31" t="n"/>
      <c r="D978" s="161" t="n"/>
      <c r="E978" s="161" t="n"/>
      <c r="P978" s="31" t="n"/>
      <c r="Q978" s="31" t="n"/>
      <c r="R978" s="31" t="n"/>
      <c r="S978" s="31" t="n"/>
      <c r="T978" s="31" t="n"/>
      <c r="U978" s="31" t="n"/>
      <c r="V978" s="31" t="n"/>
      <c r="W978" s="31" t="n"/>
      <c r="X978" s="31" t="n"/>
      <c r="Y978" s="31" t="n"/>
      <c r="Z978" s="31" t="n"/>
      <c r="AA978" s="31" t="n"/>
    </row>
    <row r="979" ht="14.25" customHeight="1">
      <c r="A979" s="31" t="n"/>
      <c r="D979" s="161" t="n"/>
      <c r="E979" s="161" t="n"/>
      <c r="P979" s="31" t="n"/>
      <c r="Q979" s="31" t="n"/>
      <c r="R979" s="31" t="n"/>
      <c r="S979" s="31" t="n"/>
      <c r="T979" s="31" t="n"/>
      <c r="U979" s="31" t="n"/>
      <c r="V979" s="31" t="n"/>
      <c r="W979" s="31" t="n"/>
      <c r="X979" s="31" t="n"/>
      <c r="Y979" s="31" t="n"/>
      <c r="Z979" s="31" t="n"/>
      <c r="AA979" s="31" t="n"/>
    </row>
    <row r="980" ht="14.25" customHeight="1">
      <c r="A980" s="31" t="n"/>
      <c r="D980" s="161" t="n"/>
      <c r="E980" s="161" t="n"/>
      <c r="P980" s="31" t="n"/>
      <c r="Q980" s="31" t="n"/>
      <c r="R980" s="31" t="n"/>
      <c r="S980" s="31" t="n"/>
      <c r="T980" s="31" t="n"/>
      <c r="U980" s="31" t="n"/>
      <c r="V980" s="31" t="n"/>
      <c r="W980" s="31" t="n"/>
      <c r="X980" s="31" t="n"/>
      <c r="Y980" s="31" t="n"/>
      <c r="Z980" s="31" t="n"/>
      <c r="AA980" s="31" t="n"/>
    </row>
    <row r="981" ht="14.25" customHeight="1">
      <c r="A981" s="31" t="n"/>
      <c r="D981" s="161" t="n"/>
      <c r="E981" s="161" t="n"/>
      <c r="P981" s="31" t="n"/>
      <c r="Q981" s="31" t="n"/>
      <c r="R981" s="31" t="n"/>
      <c r="S981" s="31" t="n"/>
      <c r="T981" s="31" t="n"/>
      <c r="U981" s="31" t="n"/>
      <c r="V981" s="31" t="n"/>
      <c r="W981" s="31" t="n"/>
      <c r="X981" s="31" t="n"/>
      <c r="Y981" s="31" t="n"/>
      <c r="Z981" s="31" t="n"/>
      <c r="AA981" s="31" t="n"/>
    </row>
    <row r="982" ht="14.25" customHeight="1">
      <c r="A982" s="31" t="n"/>
      <c r="D982" s="161" t="n"/>
      <c r="E982" s="161" t="n"/>
      <c r="P982" s="31" t="n"/>
      <c r="Q982" s="31" t="n"/>
      <c r="R982" s="31" t="n"/>
      <c r="S982" s="31" t="n"/>
      <c r="T982" s="31" t="n"/>
      <c r="U982" s="31" t="n"/>
      <c r="V982" s="31" t="n"/>
      <c r="W982" s="31" t="n"/>
      <c r="X982" s="31" t="n"/>
      <c r="Y982" s="31" t="n"/>
      <c r="Z982" s="31" t="n"/>
      <c r="AA982" s="31" t="n"/>
    </row>
    <row r="983" ht="14.25" customHeight="1">
      <c r="A983" s="31" t="n"/>
      <c r="D983" s="161" t="n"/>
      <c r="E983" s="161" t="n"/>
      <c r="P983" s="31" t="n"/>
      <c r="Q983" s="31" t="n"/>
      <c r="R983" s="31" t="n"/>
      <c r="S983" s="31" t="n"/>
      <c r="T983" s="31" t="n"/>
      <c r="U983" s="31" t="n"/>
      <c r="V983" s="31" t="n"/>
      <c r="W983" s="31" t="n"/>
      <c r="X983" s="31" t="n"/>
      <c r="Y983" s="31" t="n"/>
      <c r="Z983" s="31" t="n"/>
      <c r="AA983" s="31" t="n"/>
    </row>
    <row r="984" ht="14.25" customHeight="1">
      <c r="A984" s="31" t="n"/>
      <c r="D984" s="161" t="n"/>
      <c r="E984" s="161" t="n"/>
      <c r="P984" s="31" t="n"/>
      <c r="Q984" s="31" t="n"/>
      <c r="R984" s="31" t="n"/>
      <c r="S984" s="31" t="n"/>
      <c r="T984" s="31" t="n"/>
      <c r="U984" s="31" t="n"/>
      <c r="V984" s="31" t="n"/>
      <c r="W984" s="31" t="n"/>
      <c r="X984" s="31" t="n"/>
      <c r="Y984" s="31" t="n"/>
      <c r="Z984" s="31" t="n"/>
      <c r="AA984" s="31" t="n"/>
    </row>
    <row r="985" ht="14.25" customHeight="1">
      <c r="A985" s="31" t="n"/>
      <c r="D985" s="161" t="n"/>
      <c r="E985" s="161" t="n"/>
      <c r="P985" s="31" t="n"/>
      <c r="Q985" s="31" t="n"/>
      <c r="R985" s="31" t="n"/>
      <c r="S985" s="31" t="n"/>
      <c r="T985" s="31" t="n"/>
      <c r="U985" s="31" t="n"/>
      <c r="V985" s="31" t="n"/>
      <c r="W985" s="31" t="n"/>
      <c r="X985" s="31" t="n"/>
      <c r="Y985" s="31" t="n"/>
      <c r="Z985" s="31" t="n"/>
      <c r="AA985" s="31" t="n"/>
    </row>
    <row r="986" ht="14.25" customHeight="1">
      <c r="A986" s="31" t="n"/>
      <c r="D986" s="161" t="n"/>
      <c r="E986" s="161" t="n"/>
      <c r="P986" s="31" t="n"/>
      <c r="Q986" s="31" t="n"/>
      <c r="R986" s="31" t="n"/>
      <c r="S986" s="31" t="n"/>
      <c r="T986" s="31" t="n"/>
      <c r="U986" s="31" t="n"/>
      <c r="V986" s="31" t="n"/>
      <c r="W986" s="31" t="n"/>
      <c r="X986" s="31" t="n"/>
      <c r="Y986" s="31" t="n"/>
      <c r="Z986" s="31" t="n"/>
      <c r="AA986" s="31" t="n"/>
    </row>
    <row r="987" ht="14.25" customHeight="1">
      <c r="A987" s="31" t="n"/>
      <c r="D987" s="161" t="n"/>
      <c r="E987" s="161" t="n"/>
      <c r="P987" s="31" t="n"/>
      <c r="Q987" s="31" t="n"/>
      <c r="R987" s="31" t="n"/>
      <c r="S987" s="31" t="n"/>
      <c r="T987" s="31" t="n"/>
      <c r="U987" s="31" t="n"/>
      <c r="V987" s="31" t="n"/>
      <c r="W987" s="31" t="n"/>
      <c r="X987" s="31" t="n"/>
      <c r="Y987" s="31" t="n"/>
      <c r="Z987" s="31" t="n"/>
      <c r="AA987" s="31" t="n"/>
    </row>
    <row r="988" ht="14.25" customHeight="1">
      <c r="A988" s="31" t="n"/>
      <c r="D988" s="161" t="n"/>
      <c r="E988" s="161" t="n"/>
      <c r="P988" s="31" t="n"/>
      <c r="Q988" s="31" t="n"/>
      <c r="R988" s="31" t="n"/>
      <c r="S988" s="31" t="n"/>
      <c r="T988" s="31" t="n"/>
      <c r="U988" s="31" t="n"/>
      <c r="V988" s="31" t="n"/>
      <c r="W988" s="31" t="n"/>
      <c r="X988" s="31" t="n"/>
      <c r="Y988" s="31" t="n"/>
      <c r="Z988" s="31" t="n"/>
      <c r="AA988" s="31" t="n"/>
    </row>
    <row r="989" ht="14.25" customHeight="1">
      <c r="A989" s="31" t="n"/>
      <c r="D989" s="161" t="n"/>
      <c r="E989" s="161" t="n"/>
      <c r="P989" s="31" t="n"/>
      <c r="Q989" s="31" t="n"/>
      <c r="R989" s="31" t="n"/>
      <c r="S989" s="31" t="n"/>
      <c r="T989" s="31" t="n"/>
      <c r="U989" s="31" t="n"/>
      <c r="V989" s="31" t="n"/>
      <c r="W989" s="31" t="n"/>
      <c r="X989" s="31" t="n"/>
      <c r="Y989" s="31" t="n"/>
      <c r="Z989" s="31" t="n"/>
      <c r="AA989" s="31" t="n"/>
    </row>
    <row r="990" ht="14.25" customHeight="1">
      <c r="A990" s="31" t="n"/>
      <c r="D990" s="161" t="n"/>
      <c r="E990" s="161" t="n"/>
      <c r="P990" s="31" t="n"/>
      <c r="Q990" s="31" t="n"/>
      <c r="R990" s="31" t="n"/>
      <c r="S990" s="31" t="n"/>
      <c r="T990" s="31" t="n"/>
      <c r="U990" s="31" t="n"/>
      <c r="V990" s="31" t="n"/>
      <c r="W990" s="31" t="n"/>
      <c r="X990" s="31" t="n"/>
      <c r="Y990" s="31" t="n"/>
      <c r="Z990" s="31" t="n"/>
      <c r="AA990" s="31" t="n"/>
    </row>
    <row r="991" ht="14.25" customHeight="1">
      <c r="A991" s="31" t="n"/>
      <c r="D991" s="161" t="n"/>
      <c r="E991" s="161" t="n"/>
      <c r="P991" s="31" t="n"/>
      <c r="Q991" s="31" t="n"/>
      <c r="R991" s="31" t="n"/>
      <c r="S991" s="31" t="n"/>
      <c r="T991" s="31" t="n"/>
      <c r="U991" s="31" t="n"/>
      <c r="V991" s="31" t="n"/>
      <c r="W991" s="31" t="n"/>
      <c r="X991" s="31" t="n"/>
      <c r="Y991" s="31" t="n"/>
      <c r="Z991" s="31" t="n"/>
      <c r="AA991" s="31" t="n"/>
    </row>
    <row r="992" ht="14.25" customHeight="1">
      <c r="A992" s="31" t="n"/>
      <c r="D992" s="161" t="n"/>
      <c r="E992" s="161" t="n"/>
      <c r="P992" s="31" t="n"/>
      <c r="Q992" s="31" t="n"/>
      <c r="R992" s="31" t="n"/>
      <c r="S992" s="31" t="n"/>
      <c r="T992" s="31" t="n"/>
      <c r="U992" s="31" t="n"/>
      <c r="V992" s="31" t="n"/>
      <c r="W992" s="31" t="n"/>
      <c r="X992" s="31" t="n"/>
      <c r="Y992" s="31" t="n"/>
      <c r="Z992" s="31" t="n"/>
      <c r="AA992" s="31" t="n"/>
    </row>
    <row r="993" ht="14.25" customHeight="1">
      <c r="A993" s="31" t="n"/>
      <c r="D993" s="161" t="n"/>
      <c r="E993" s="161" t="n"/>
      <c r="P993" s="31" t="n"/>
      <c r="Q993" s="31" t="n"/>
      <c r="R993" s="31" t="n"/>
      <c r="S993" s="31" t="n"/>
      <c r="T993" s="31" t="n"/>
      <c r="U993" s="31" t="n"/>
      <c r="V993" s="31" t="n"/>
      <c r="W993" s="31" t="n"/>
      <c r="X993" s="31" t="n"/>
      <c r="Y993" s="31" t="n"/>
      <c r="Z993" s="31" t="n"/>
      <c r="AA993" s="31" t="n"/>
    </row>
    <row r="994" ht="14.25" customHeight="1">
      <c r="A994" s="31" t="n"/>
      <c r="D994" s="161" t="n"/>
      <c r="E994" s="161" t="n"/>
      <c r="P994" s="31" t="n"/>
      <c r="Q994" s="31" t="n"/>
      <c r="R994" s="31" t="n"/>
      <c r="S994" s="31" t="n"/>
      <c r="T994" s="31" t="n"/>
      <c r="U994" s="31" t="n"/>
      <c r="V994" s="31" t="n"/>
      <c r="W994" s="31" t="n"/>
      <c r="X994" s="31" t="n"/>
      <c r="Y994" s="31" t="n"/>
      <c r="Z994" s="31" t="n"/>
      <c r="AA994" s="31" t="n"/>
    </row>
    <row r="995" ht="14.25" customHeight="1">
      <c r="A995" s="31" t="n"/>
      <c r="D995" s="161" t="n"/>
      <c r="E995" s="161" t="n"/>
      <c r="P995" s="31" t="n"/>
      <c r="Q995" s="31" t="n"/>
      <c r="R995" s="31" t="n"/>
      <c r="S995" s="31" t="n"/>
      <c r="T995" s="31" t="n"/>
      <c r="U995" s="31" t="n"/>
      <c r="V995" s="31" t="n"/>
      <c r="W995" s="31" t="n"/>
      <c r="X995" s="31" t="n"/>
      <c r="Y995" s="31" t="n"/>
      <c r="Z995" s="31" t="n"/>
      <c r="AA995" s="31" t="n"/>
    </row>
    <row r="996" ht="14.25" customHeight="1">
      <c r="A996" s="31" t="n"/>
      <c r="D996" s="161" t="n"/>
      <c r="E996" s="161" t="n"/>
      <c r="P996" s="31" t="n"/>
      <c r="Q996" s="31" t="n"/>
      <c r="R996" s="31" t="n"/>
      <c r="S996" s="31" t="n"/>
      <c r="T996" s="31" t="n"/>
      <c r="U996" s="31" t="n"/>
      <c r="V996" s="31" t="n"/>
      <c r="W996" s="31" t="n"/>
      <c r="X996" s="31" t="n"/>
      <c r="Y996" s="31" t="n"/>
      <c r="Z996" s="31" t="n"/>
      <c r="AA996" s="31" t="n"/>
    </row>
    <row r="997" ht="14.25" customHeight="1">
      <c r="A997" s="31" t="n"/>
      <c r="D997" s="161" t="n"/>
      <c r="E997" s="161" t="n"/>
      <c r="P997" s="31" t="n"/>
      <c r="Q997" s="31" t="n"/>
      <c r="R997" s="31" t="n"/>
      <c r="S997" s="31" t="n"/>
      <c r="T997" s="31" t="n"/>
      <c r="U997" s="31" t="n"/>
      <c r="V997" s="31" t="n"/>
      <c r="W997" s="31" t="n"/>
      <c r="X997" s="31" t="n"/>
      <c r="Y997" s="31" t="n"/>
      <c r="Z997" s="31" t="n"/>
      <c r="AA997" s="31" t="n"/>
    </row>
    <row r="998" ht="14.25" customHeight="1">
      <c r="A998" s="31" t="n"/>
      <c r="D998" s="161" t="n"/>
      <c r="E998" s="161" t="n"/>
      <c r="P998" s="31" t="n"/>
      <c r="Q998" s="31" t="n"/>
      <c r="R998" s="31" t="n"/>
      <c r="S998" s="31" t="n"/>
      <c r="T998" s="31" t="n"/>
      <c r="U998" s="31" t="n"/>
      <c r="V998" s="31" t="n"/>
      <c r="W998" s="31" t="n"/>
      <c r="X998" s="31" t="n"/>
      <c r="Y998" s="31" t="n"/>
      <c r="Z998" s="31" t="n"/>
      <c r="AA998" s="31" t="n"/>
    </row>
  </sheetData>
  <autoFilter ref="B1:O2"/>
  <conditionalFormatting sqref="A2">
    <cfRule type="notContainsBlanks" priority="1" dxfId="0">
      <formula>LEN(TRIM(A2))&gt;0</formula>
    </cfRule>
  </conditionalFormatting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>
  <sheetPr filterMode="1"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ColWidth="14.44140625" defaultRowHeight="15" customHeight="1"/>
  <cols>
    <col width="28.33203125" customWidth="1" min="1" max="1"/>
    <col width="17.6640625" customWidth="1" min="2" max="2"/>
    <col width="10.6640625" customWidth="1" min="3" max="26"/>
  </cols>
  <sheetData>
    <row r="1" ht="14.25" customHeight="1">
      <c r="A1" s="66" t="inlineStr">
        <is>
          <t>Nombre</t>
        </is>
      </c>
      <c r="B1" s="66" t="inlineStr">
        <is>
          <t>Numero Telefono</t>
        </is>
      </c>
    </row>
    <row r="2" ht="14.25" customHeight="1">
      <c r="A2" s="170" t="inlineStr">
        <is>
          <t>Luis Enrique Moreno Díaz</t>
        </is>
      </c>
      <c r="B2" s="171" t="n">
        <v>50558710676</v>
      </c>
    </row>
    <row r="3" ht="14.25" customHeight="1">
      <c r="A3" s="172" t="inlineStr">
        <is>
          <t>Douglas obregón fajardo</t>
        </is>
      </c>
      <c r="B3" s="171" t="n">
        <v>50558710705</v>
      </c>
    </row>
    <row r="4" ht="14.25" customHeight="1">
      <c r="A4" s="173" t="inlineStr">
        <is>
          <t>Roberto Obregon</t>
        </is>
      </c>
      <c r="B4" s="171" t="inlineStr">
        <is>
          <t>50558710736</t>
        </is>
      </c>
    </row>
    <row r="5" ht="14.25" customHeight="1">
      <c r="A5" s="174" t="inlineStr">
        <is>
          <t>Rolando Espinoza</t>
        </is>
      </c>
      <c r="B5" s="171" t="n">
        <v>50558710746</v>
      </c>
    </row>
    <row r="6" ht="14.25" customHeight="1">
      <c r="A6" s="174" t="inlineStr">
        <is>
          <t>German Sotomayor Davila</t>
        </is>
      </c>
      <c r="B6" s="171" t="n">
        <v>50558710758</v>
      </c>
    </row>
    <row r="7" ht="14.25" customHeight="1">
      <c r="A7" s="174" t="inlineStr">
        <is>
          <t>Guillermo Gonzalez</t>
        </is>
      </c>
      <c r="B7" s="171" t="n">
        <v>50558710764</v>
      </c>
    </row>
    <row r="8" ht="14.25" customHeight="1">
      <c r="A8" s="174" t="inlineStr">
        <is>
          <t>Miguel Ángel Noguera Rueda</t>
        </is>
      </c>
      <c r="B8" s="171" t="n">
        <v>50558710778</v>
      </c>
    </row>
    <row r="9" ht="14.25" customHeight="1">
      <c r="A9" s="174" t="inlineStr">
        <is>
          <t xml:space="preserve">Alejandro Enrique Chávez </t>
        </is>
      </c>
      <c r="B9" s="171" t="n">
        <v>50558710793</v>
      </c>
    </row>
    <row r="10" ht="14.25" customHeight="1">
      <c r="A10" s="174" t="inlineStr">
        <is>
          <t>Ignacio Aguilar</t>
        </is>
      </c>
      <c r="B10" s="171" t="inlineStr">
        <is>
          <t>50558710811</t>
        </is>
      </c>
    </row>
    <row r="11" ht="14.25" customHeight="1">
      <c r="A11" s="174" t="inlineStr">
        <is>
          <t>Pedro Moreira</t>
        </is>
      </c>
      <c r="B11" s="171" t="n">
        <v>50558710830</v>
      </c>
    </row>
    <row r="12" ht="14.25" customHeight="1">
      <c r="A12" s="174" t="inlineStr">
        <is>
          <t>Guillermo Reyes</t>
        </is>
      </c>
      <c r="B12" s="171" t="n">
        <v>50558710840</v>
      </c>
    </row>
    <row r="13" ht="14.25" customHeight="1">
      <c r="A13" s="174" t="inlineStr">
        <is>
          <t>Consorcio - Efren Chavarría</t>
        </is>
      </c>
      <c r="B13" s="171" t="n">
        <v>50558711067</v>
      </c>
    </row>
    <row r="14" ht="14.25" customHeight="1">
      <c r="A14" s="174" t="inlineStr">
        <is>
          <t>Jose Carballo</t>
        </is>
      </c>
      <c r="B14" s="171" t="inlineStr">
        <is>
          <t>50586064742</t>
        </is>
      </c>
    </row>
    <row r="15" ht="14.25" customHeight="1">
      <c r="A15" s="174" t="inlineStr">
        <is>
          <t>Ricardo Sanchez Flores</t>
        </is>
      </c>
      <c r="B15" s="171" t="n">
        <v>50586064744</v>
      </c>
    </row>
    <row r="16" ht="14.25" customHeight="1">
      <c r="A16" s="174" t="inlineStr">
        <is>
          <t>Javid Zuniga</t>
        </is>
      </c>
      <c r="B16" s="171" t="n">
        <v>50558707909</v>
      </c>
    </row>
    <row r="17" ht="14.25" customHeight="1">
      <c r="A17" s="174" t="inlineStr">
        <is>
          <t>Puesto 1 MNB</t>
        </is>
      </c>
      <c r="B17" s="171" t="n">
        <v>50558707931</v>
      </c>
    </row>
    <row r="18" ht="14.25" customHeight="1">
      <c r="A18" s="175" t="inlineStr">
        <is>
          <t>Maria Jose</t>
        </is>
      </c>
      <c r="B18" s="171" t="n">
        <v>50558707940</v>
      </c>
    </row>
    <row r="19" ht="14.25" customHeight="1">
      <c r="A19" s="174" t="inlineStr">
        <is>
          <t xml:space="preserve">Denis Morales </t>
        </is>
      </c>
      <c r="B19" s="171" t="n">
        <v>50558708255</v>
      </c>
    </row>
    <row r="20" ht="14.25" customHeight="1">
      <c r="A20" s="174" t="inlineStr">
        <is>
          <t>Francisco Velasquez Espinoza</t>
        </is>
      </c>
      <c r="B20" s="171" t="n">
        <v>50558710683</v>
      </c>
    </row>
    <row r="21" ht="14.25" customHeight="1">
      <c r="A21" s="174" t="inlineStr">
        <is>
          <t>Puesto 2 MNB</t>
        </is>
      </c>
      <c r="B21" s="171" t="n">
        <v>50558710712</v>
      </c>
    </row>
    <row r="22" ht="14.25" customHeight="1">
      <c r="A22" s="174" t="inlineStr">
        <is>
          <t>Puesto 3 BM</t>
        </is>
      </c>
      <c r="B22" s="171" t="n">
        <v>50558710729</v>
      </c>
    </row>
    <row r="23" ht="14.25" customHeight="1">
      <c r="A23" s="175" t="inlineStr">
        <is>
          <t>Praderas de Mombacho Garita</t>
        </is>
      </c>
      <c r="B23" s="171" t="n">
        <v>50558710760</v>
      </c>
    </row>
    <row r="24" ht="14.25" customHeight="1">
      <c r="A24" s="174" t="inlineStr">
        <is>
          <t>Puesto 1 BM</t>
        </is>
      </c>
      <c r="B24" s="171" t="n">
        <v>50558710761</v>
      </c>
    </row>
    <row r="25" ht="14.25" customHeight="1">
      <c r="A25" s="174" t="inlineStr">
        <is>
          <t>Francisco Jeronimo Rojas Martinez</t>
        </is>
      </c>
      <c r="B25" s="171" t="n">
        <v>50558710776</v>
      </c>
    </row>
    <row r="26" ht="14.25" customHeight="1">
      <c r="A26" s="174" t="inlineStr">
        <is>
          <t>Puesto 2 BM</t>
        </is>
      </c>
      <c r="B26" s="171" t="n">
        <v>50558710904</v>
      </c>
    </row>
    <row r="27" ht="14.25" customHeight="1">
      <c r="A27" s="174" t="inlineStr">
        <is>
          <t>El Doral Garita</t>
        </is>
      </c>
      <c r="B27" s="171" t="n">
        <v>50558711092</v>
      </c>
    </row>
    <row r="28" ht="14.25" customHeight="1">
      <c r="A28" s="176" t="inlineStr">
        <is>
          <t>Scarlett Galeano Calero</t>
        </is>
      </c>
      <c r="B28" s="171" t="n">
        <v>50586065021</v>
      </c>
    </row>
    <row r="29" ht="14.25" customHeight="1">
      <c r="A29" s="49" t="inlineStr">
        <is>
          <t>Supervisores Security</t>
        </is>
      </c>
      <c r="B29" s="171" t="inlineStr">
        <is>
          <t>50558711881</t>
        </is>
      </c>
    </row>
    <row r="30" ht="14.25" customHeight="1">
      <c r="A30" s="49" t="inlineStr">
        <is>
          <t>Evert Gonzales</t>
        </is>
      </c>
      <c r="B30" s="171" t="inlineStr">
        <is>
          <t>50558709127</t>
        </is>
      </c>
    </row>
    <row r="31" ht="14.25" customHeight="1">
      <c r="A31" s="49" t="inlineStr">
        <is>
          <t>Roberto Ojeda</t>
        </is>
      </c>
      <c r="B31" s="171" t="inlineStr">
        <is>
          <t>50586927549</t>
        </is>
      </c>
    </row>
    <row r="32" ht="14.25" customHeight="1">
      <c r="A32" s="49" t="inlineStr">
        <is>
          <t>Luis Rodriguez</t>
        </is>
      </c>
      <c r="B32" s="171" t="inlineStr">
        <is>
          <t>50586927536</t>
        </is>
      </c>
    </row>
    <row r="33" ht="14.25" customHeight="1">
      <c r="A33" s="49" t="inlineStr">
        <is>
          <t>Elvin Hipolito Umaña Salazar</t>
        </is>
      </c>
      <c r="B33" s="171" t="inlineStr">
        <is>
          <t>50586927529</t>
        </is>
      </c>
    </row>
    <row r="34" ht="14.25" customHeight="1">
      <c r="A34" s="49" t="inlineStr">
        <is>
          <t>Raquel Miranda</t>
        </is>
      </c>
      <c r="B34" s="171" t="inlineStr">
        <is>
          <t>50586927530</t>
        </is>
      </c>
    </row>
    <row r="35" ht="14.25" customHeight="1">
      <c r="A35" s="49" t="inlineStr">
        <is>
          <t>Wilmer Arauz</t>
        </is>
      </c>
      <c r="B35" s="171" t="n">
        <v>50586927561</v>
      </c>
    </row>
    <row r="36" ht="14.25" customHeight="1">
      <c r="A36" s="49" t="inlineStr">
        <is>
          <t>Elixzer Guerrero</t>
        </is>
      </c>
      <c r="B36" s="171" t="n">
        <v>50586927557</v>
      </c>
    </row>
    <row r="37" ht="14.25" customHeight="1">
      <c r="A37" s="49" t="inlineStr">
        <is>
          <t>Amin Seballos</t>
        </is>
      </c>
      <c r="B37" s="171" t="n">
        <v>50586927563</v>
      </c>
    </row>
    <row r="38" ht="14.25" customHeight="1">
      <c r="A38" s="49" t="inlineStr">
        <is>
          <t>Erick Sanchez</t>
        </is>
      </c>
      <c r="B38" s="171" t="n">
        <v>50586927552</v>
      </c>
    </row>
    <row r="39" ht="14.25" customHeight="1">
      <c r="A39" s="177" t="inlineStr">
        <is>
          <t>Brenda Maria Mejía Vega</t>
        </is>
      </c>
      <c r="B39" s="178" t="n">
        <v>50558707921</v>
      </c>
    </row>
    <row r="40" ht="14.25" customHeight="1">
      <c r="A40" s="177" t="inlineStr">
        <is>
          <t>Merardo Jose Guerrero Villavicencio</t>
        </is>
      </c>
      <c r="B40" s="178" t="n">
        <v>50558707972</v>
      </c>
    </row>
    <row r="41" ht="14.25" customHeight="1">
      <c r="A41" s="177" t="inlineStr">
        <is>
          <t>Ana Luisa Guardado Altamirano</t>
        </is>
      </c>
      <c r="B41" s="178" t="n">
        <v>50558707994</v>
      </c>
    </row>
    <row r="42" ht="14.25" customHeight="1">
      <c r="A42" s="179" t="inlineStr">
        <is>
          <t>Ana Rebeca Martinez Lopez</t>
        </is>
      </c>
      <c r="B42" s="178" t="n">
        <v>50558710851</v>
      </c>
    </row>
    <row r="43" ht="14.25" customHeight="1">
      <c r="A43" s="179" t="inlineStr">
        <is>
          <t>Cesar Donis</t>
        </is>
      </c>
      <c r="B43" s="178" t="inlineStr">
        <is>
          <t>50558711029</t>
        </is>
      </c>
    </row>
    <row r="44" ht="14.25" customHeight="1">
      <c r="A44" s="179" t="inlineStr">
        <is>
          <t>Sugey Martinez</t>
        </is>
      </c>
      <c r="B44" s="171" t="n">
        <v>50586064797</v>
      </c>
    </row>
    <row r="45" ht="14.25" customHeight="1">
      <c r="A45" s="179" t="inlineStr">
        <is>
          <t>karla Murillo</t>
        </is>
      </c>
      <c r="B45" s="171" t="inlineStr">
        <is>
          <t>50586064831</t>
        </is>
      </c>
    </row>
    <row r="46" ht="14.25" customHeight="1">
      <c r="A46" s="179" t="inlineStr">
        <is>
          <t>Delia Maria Castillo Duarte</t>
        </is>
      </c>
      <c r="B46" s="178" t="n">
        <v>50586064871</v>
      </c>
    </row>
    <row r="47" ht="14.25" customHeight="1">
      <c r="A47" s="179" t="inlineStr">
        <is>
          <t>Supervisor de campo Security</t>
        </is>
      </c>
      <c r="B47" s="171" t="n">
        <v>50586064899</v>
      </c>
    </row>
    <row r="48" ht="14.25" customHeight="1">
      <c r="A48" s="179" t="inlineStr">
        <is>
          <t>Nathaly Robleto</t>
        </is>
      </c>
      <c r="B48" s="178" t="n">
        <v>50558710951</v>
      </c>
    </row>
    <row r="49" ht="14.25" customHeight="1">
      <c r="A49" s="179" t="inlineStr">
        <is>
          <t>Ernesto Blanco</t>
        </is>
      </c>
      <c r="B49" s="178" t="n">
        <v>50586064982</v>
      </c>
    </row>
    <row r="50" ht="14.25" customHeight="1">
      <c r="A50" s="179" t="inlineStr">
        <is>
          <t>Eglis Peralta</t>
        </is>
      </c>
      <c r="B50" s="178" t="n">
        <v>50558707966</v>
      </c>
    </row>
    <row r="51" ht="14.25" customHeight="1">
      <c r="A51" s="179" t="inlineStr">
        <is>
          <t>Jose Lopez</t>
        </is>
      </c>
      <c r="B51" s="171" t="inlineStr">
        <is>
          <t>50558708017</t>
        </is>
      </c>
    </row>
    <row r="52" ht="14.25" customHeight="1">
      <c r="A52" s="179" t="inlineStr">
        <is>
          <t>Elias Roa Vilchez</t>
        </is>
      </c>
      <c r="B52" s="178" t="inlineStr">
        <is>
          <t>50558708031</t>
        </is>
      </c>
    </row>
    <row r="53" ht="14.25" customHeight="1">
      <c r="A53" s="179" t="inlineStr">
        <is>
          <t>Wilder Calero</t>
        </is>
      </c>
      <c r="B53" s="178" t="n">
        <v>50558708057</v>
      </c>
    </row>
    <row r="54" ht="14.25" customHeight="1">
      <c r="A54" s="179" t="inlineStr">
        <is>
          <t>Rey Adrian</t>
        </is>
      </c>
      <c r="B54" s="178" t="n">
        <v>50558710798</v>
      </c>
    </row>
    <row r="55" ht="14.25" customHeight="1">
      <c r="A55" s="179" t="inlineStr">
        <is>
          <t>Marjuerie Lopez</t>
        </is>
      </c>
      <c r="B55" s="178" t="inlineStr">
        <is>
          <t>50558710960</t>
        </is>
      </c>
    </row>
    <row r="56" ht="14.25" customHeight="1">
      <c r="A56" s="179" t="inlineStr">
        <is>
          <t>María José Gómez Montoya</t>
        </is>
      </c>
      <c r="B56" s="178" t="n">
        <v>50558711015</v>
      </c>
    </row>
    <row r="57" ht="14.25" customHeight="1">
      <c r="A57" s="177" t="inlineStr">
        <is>
          <t>Jeldrin Rivas</t>
        </is>
      </c>
      <c r="B57" s="178" t="n">
        <v>50558711064</v>
      </c>
    </row>
    <row r="58" ht="14.25" customHeight="1">
      <c r="A58" s="177" t="inlineStr">
        <is>
          <t>Vilma Castellon Alvarez</t>
        </is>
      </c>
      <c r="B58" s="178" t="inlineStr">
        <is>
          <t>50586064978</t>
        </is>
      </c>
    </row>
    <row r="59" ht="14.25" customHeight="1">
      <c r="A59" s="180" t="inlineStr">
        <is>
          <t>Carlos Martinez Salinas</t>
        </is>
      </c>
      <c r="B59" s="178" t="n">
        <v>50586065031</v>
      </c>
    </row>
    <row r="60" ht="14.25" customHeight="1">
      <c r="A60" s="49" t="inlineStr">
        <is>
          <t>Helman Ramirez</t>
        </is>
      </c>
      <c r="B60" s="178" t="inlineStr">
        <is>
          <t>50558709120</t>
        </is>
      </c>
    </row>
    <row r="61" ht="14.25" customHeight="1">
      <c r="A61" s="174" t="inlineStr">
        <is>
          <t>Efren Martin Chavarria Altamiran</t>
        </is>
      </c>
      <c r="B61" s="181" t="n">
        <v>50558707913</v>
      </c>
    </row>
    <row r="62" ht="14.25" customHeight="1">
      <c r="A62" s="174" t="inlineStr">
        <is>
          <t>Darwing Catillo</t>
        </is>
      </c>
      <c r="B62" s="181" t="n">
        <v>50558707923</v>
      </c>
    </row>
    <row r="63" ht="14.25" customHeight="1">
      <c r="A63" s="174" t="inlineStr">
        <is>
          <t>Griceldina Pineda Perez</t>
        </is>
      </c>
      <c r="B63" s="181" t="n">
        <v>50558708006</v>
      </c>
    </row>
    <row r="64" ht="14.25" customHeight="1">
      <c r="A64" s="174" t="inlineStr">
        <is>
          <t>Rigoberto Castro</t>
        </is>
      </c>
      <c r="B64" s="181" t="n">
        <v>50558708063</v>
      </c>
    </row>
    <row r="65" ht="14.25" customHeight="1">
      <c r="A65" s="174" t="inlineStr">
        <is>
          <t>Tania Bravo</t>
        </is>
      </c>
      <c r="B65" s="181" t="n">
        <v>50558708065</v>
      </c>
    </row>
    <row r="66" ht="14.25" customHeight="1">
      <c r="A66" s="174" t="inlineStr">
        <is>
          <t>Anielka Pineda</t>
        </is>
      </c>
      <c r="B66" s="181" t="n">
        <v>50558710844</v>
      </c>
    </row>
    <row r="67" ht="14.25" customHeight="1">
      <c r="A67" s="174" t="inlineStr">
        <is>
          <t>Marlon Joel Bobadilla Alegría</t>
        </is>
      </c>
      <c r="B67" s="181" t="n">
        <v>50558710882</v>
      </c>
    </row>
    <row r="68" ht="14.25" customHeight="1">
      <c r="A68" s="174" t="inlineStr">
        <is>
          <t>Jessica del C. Palma González</t>
        </is>
      </c>
      <c r="B68" s="181" t="n">
        <v>50558710889</v>
      </c>
    </row>
    <row r="69" ht="14.25" customHeight="1">
      <c r="A69" s="174" t="inlineStr">
        <is>
          <t>Ligia Dinarte Mendoza</t>
        </is>
      </c>
      <c r="B69" s="181" t="n">
        <v>50558710910</v>
      </c>
    </row>
    <row r="70" ht="14.25" customHeight="1">
      <c r="A70" s="174" t="inlineStr">
        <is>
          <t>Oswaldo Javier Murillo Ulloa</t>
        </is>
      </c>
      <c r="B70" s="181" t="n">
        <v>50558710930</v>
      </c>
    </row>
    <row r="71" ht="14.25" customHeight="1">
      <c r="A71" s="174" t="inlineStr">
        <is>
          <t>Nathaly Robleto</t>
        </is>
      </c>
      <c r="B71" s="181" t="n">
        <v>50558710951</v>
      </c>
    </row>
    <row r="72" hidden="1" ht="14.25" customHeight="1">
      <c r="A72" s="176" t="inlineStr">
        <is>
          <t>Nestor Cecilio Corrales Rodríguez</t>
        </is>
      </c>
      <c r="B72" s="181" t="n">
        <v>50558710959</v>
      </c>
    </row>
    <row r="73" ht="14.25" customHeight="1">
      <c r="A73" s="176" t="inlineStr">
        <is>
          <t>Gloria Ortiz Bell</t>
        </is>
      </c>
      <c r="B73" s="182" t="n">
        <v>50558711022</v>
      </c>
    </row>
    <row r="74" ht="14.25" customHeight="1">
      <c r="A74" s="176" t="inlineStr">
        <is>
          <t>Alvaro Jose Zapata Téllez</t>
        </is>
      </c>
      <c r="B74" s="181" t="inlineStr">
        <is>
          <t>50558711106</t>
        </is>
      </c>
    </row>
    <row r="75" ht="14.25" customHeight="1">
      <c r="A75" s="176" t="inlineStr">
        <is>
          <t>Ernesto Morales</t>
        </is>
      </c>
      <c r="B75" s="181" t="n">
        <v>50558708058</v>
      </c>
    </row>
    <row r="76" ht="14.25" customHeight="1">
      <c r="A76" s="176" t="inlineStr">
        <is>
          <t>Milton Leonel Urbina López</t>
        </is>
      </c>
      <c r="B76" s="181" t="n">
        <v>50558710913</v>
      </c>
    </row>
    <row r="77" ht="14.25" customHeight="1">
      <c r="A77" s="176" t="inlineStr">
        <is>
          <t>Blanca Lopez</t>
        </is>
      </c>
      <c r="B77" s="181" t="inlineStr">
        <is>
          <t>50558711075</t>
        </is>
      </c>
    </row>
    <row r="78" ht="14.25" customHeight="1">
      <c r="A78" s="176" t="inlineStr">
        <is>
          <t>Elena Talavera</t>
        </is>
      </c>
      <c r="B78" s="171" t="n">
        <v>50586065034</v>
      </c>
    </row>
    <row r="79" ht="14.25" customHeight="1">
      <c r="A79" s="176" t="inlineStr">
        <is>
          <t>Milton Leonel Urbina López</t>
        </is>
      </c>
      <c r="B79" s="171" t="n">
        <v>50558710913</v>
      </c>
    </row>
    <row r="80" ht="14.25" customHeight="1">
      <c r="A80" s="174" t="inlineStr">
        <is>
          <t>Roger Gomez</t>
        </is>
      </c>
      <c r="B80" s="171" t="n">
        <v>50586064968</v>
      </c>
    </row>
    <row r="81" ht="14.25" customHeight="1">
      <c r="A81" s="176" t="inlineStr">
        <is>
          <t xml:space="preserve">Stephanie Karolina Hernandez  Solórzano </t>
        </is>
      </c>
      <c r="B81" s="171" t="n">
        <v>50586064779</v>
      </c>
    </row>
    <row r="82" ht="14.25" customHeight="1">
      <c r="A82" s="49" t="inlineStr">
        <is>
          <t>Sara Martinez</t>
        </is>
      </c>
      <c r="B82" s="171" t="inlineStr">
        <is>
          <t>50589423292</t>
        </is>
      </c>
    </row>
    <row r="83" ht="14.25" customHeight="1">
      <c r="A83" s="49" t="inlineStr">
        <is>
          <t>Alejandro Rojas</t>
        </is>
      </c>
      <c r="B83" s="171" t="inlineStr">
        <is>
          <t>50589423282</t>
        </is>
      </c>
    </row>
    <row r="84" ht="14.25" customHeight="1">
      <c r="A84" s="183" t="inlineStr">
        <is>
          <t xml:space="preserve">Miuller Jose Rivera </t>
        </is>
      </c>
      <c r="B84" s="184" t="n">
        <v>50558708230</v>
      </c>
    </row>
    <row r="85" ht="14.25" customHeight="1">
      <c r="A85" s="185" t="inlineStr">
        <is>
          <t>Leyser Ruano</t>
        </is>
      </c>
      <c r="B85" s="186" t="inlineStr">
        <is>
          <t>50586927564</t>
        </is>
      </c>
    </row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1:B85">
    <filterColumn colId="0" hiddenButton="0" showButton="1">
      <filters>
        <filter val="Alejandro Enrique Chávez"/>
        <filter val="Alejandro Rojas"/>
        <filter val="Alvaro Jose Zapata Téllez"/>
        <filter val="Amin Seballos"/>
        <filter val="Ana Luisa Guardado Altamirano"/>
        <filter val="Ana Rebeca Martinez Lopez"/>
        <filter val="Anielka Pineda"/>
        <filter val="Blanca Lopez"/>
        <filter val="Brenda Maria Mejía Vega"/>
        <filter val="Carlos Martinez Salinas"/>
        <filter val="Cesar Donis"/>
        <filter val="Consorcio - Efren Chavarría"/>
        <filter val="Darwing Catillo"/>
        <filter val="Delia Maria Castillo Duarte"/>
        <filter val="Denis Morales"/>
        <filter val="Douglas obregón fajardo"/>
        <filter val="Efren Martin Chavarria Altamiran"/>
        <filter val="Eglis Peralta"/>
        <filter val="El Doral Garita"/>
        <filter val="Elena Talavera"/>
        <filter val="Elias Roa Vilchez"/>
        <filter val="Elixzer Guerrero"/>
        <filter val="Elvin Hipolito Umaña Salazar"/>
        <filter val="Erick Sanchez"/>
        <filter val="Ernesto Blanco"/>
        <filter val="Ernesto Morales"/>
        <filter val="Evert Gonzales"/>
        <filter val="Francisco Jeronimo Rojas Martinez"/>
        <filter val="Francisco Velasquez Espinoza"/>
        <filter val="German Sotomayor Davila"/>
        <filter val="Gloria Ortiz Bell"/>
        <filter val="Griceldina Pineda Perez"/>
        <filter val="Guillermo Gonzalez"/>
        <filter val="Guillermo Reyes"/>
        <filter val="Helman Ramirez"/>
        <filter val="Ignacio Aguilar"/>
        <filter val="Javid Zuniga"/>
        <filter val="Jeldrin Rivas"/>
        <filter val="Jessica del C. Palma González"/>
        <filter val="Jose Carballo"/>
        <filter val="Jose Lopez"/>
        <filter val="karla Murillo"/>
        <filter val="Leyser Ruano"/>
        <filter val="Ligia Dinarte Mendoza"/>
        <filter val="Luis Enrique Moreno Díaz"/>
        <filter val="Luis Rodriguez"/>
        <filter val="Maria Jose"/>
        <filter val="María José Gómez Montoya"/>
        <filter val="Marjuerie Lopez"/>
        <filter val="Marlon Joel Bobadilla Alegría"/>
        <filter val="Merardo Jose Guerrero Villavicencio"/>
        <filter val="Miguel Ángel Noguera Rueda"/>
        <filter val="Milton Leonel Urbina López"/>
        <filter val="Miuller Jose Rivera"/>
        <filter val="Nathaly Robleto"/>
        <filter val="Oswaldo Javier Murillo Ulloa"/>
        <filter val="Pedro Moreira"/>
        <filter val="Praderas de Mombacho Garita"/>
        <filter val="Puesto 1 BM"/>
        <filter val="Puesto 1 MNB"/>
        <filter val="Puesto 2 BM"/>
        <filter val="Puesto 2 MNB"/>
        <filter val="Puesto 3 BM"/>
        <filter val="Raquel Miranda"/>
        <filter val="Rey Adrian"/>
        <filter val="Ricardo Sanchez Flores"/>
        <filter val="Rigoberto Castro"/>
        <filter val="Roberto Obregon"/>
        <filter val="Roberto Ojeda"/>
        <filter val="Roger Gomez"/>
        <filter val="Rolando Espinoza"/>
        <filter val="Sara Martinez"/>
        <filter val="Scarlett Galeano Calero"/>
        <filter val="Stephanie Karolina Hernandez  Solórzano"/>
        <filter val="Sugey Martinez"/>
        <filter val="Supervisor de campo Security"/>
        <filter val="Supervisores Security"/>
        <filter val="Tania Bravo"/>
        <filter val="Vilma Castellon Alvarez"/>
        <filter val="Wilder Calero"/>
        <filter val="Wilmer Arauz"/>
      </filters>
    </filterColumn>
  </autoFilter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ColWidth="14.44140625" defaultRowHeight="15" customHeight="1"/>
  <cols>
    <col width="10.6640625" customWidth="1" min="1" max="26"/>
  </cols>
  <sheetData>
    <row r="1" ht="14.25" customHeight="1">
      <c r="B1" s="187" t="inlineStr">
        <is>
          <t>Plan</t>
        </is>
      </c>
      <c r="C1" s="187" t="inlineStr">
        <is>
          <t>Nuevo</t>
        </is>
      </c>
      <c r="D1" s="187" t="inlineStr">
        <is>
          <t>Actual</t>
        </is>
      </c>
      <c r="E1" s="187" t="inlineStr">
        <is>
          <t>Diferencia</t>
        </is>
      </c>
    </row>
    <row r="2" ht="14.25" customHeight="1">
      <c r="B2" s="29" t="n">
        <v>11.99</v>
      </c>
      <c r="C2" s="29" t="n">
        <v>21</v>
      </c>
      <c r="D2" s="29" t="n">
        <v>20</v>
      </c>
      <c r="E2" s="29">
        <f>C2-D2</f>
        <v/>
      </c>
      <c r="F2" s="188" t="n">
        <v>11.99</v>
      </c>
    </row>
    <row r="3" ht="14.25" customHeight="1">
      <c r="B3" s="29" t="n">
        <v>25.99</v>
      </c>
      <c r="C3" s="29" t="n">
        <v>19</v>
      </c>
      <c r="D3" s="29" t="n">
        <v>17</v>
      </c>
      <c r="E3" s="29">
        <f>C3-D3</f>
        <v/>
      </c>
      <c r="F3" s="66">
        <f>25.99*2</f>
        <v/>
      </c>
    </row>
    <row r="4" ht="14.25" customHeight="1">
      <c r="B4" s="29" t="n">
        <v>34.99</v>
      </c>
      <c r="C4" s="29" t="n">
        <v>20</v>
      </c>
      <c r="D4" s="29" t="n">
        <v>21</v>
      </c>
      <c r="E4" s="29">
        <f>C4-D4</f>
        <v/>
      </c>
      <c r="F4" s="188" t="n">
        <v>34.99</v>
      </c>
    </row>
    <row r="5" ht="14.25" customHeight="1">
      <c r="B5" s="29" t="n">
        <v>50.99</v>
      </c>
      <c r="C5" s="29" t="n">
        <v>2</v>
      </c>
      <c r="D5" s="29" t="n">
        <v>4</v>
      </c>
      <c r="E5" s="29">
        <f>C5-D5</f>
        <v/>
      </c>
      <c r="F5" s="188">
        <f>50.99*2</f>
        <v/>
      </c>
    </row>
    <row r="6" ht="14.25" customHeight="1">
      <c r="F6" s="189">
        <f>F4+F5-F3-F2</f>
        <v/>
      </c>
    </row>
    <row r="7" ht="14.25" customHeight="1"/>
    <row r="8" ht="14.25" customHeight="1">
      <c r="F8" s="31" t="n"/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>
      <c r="B17" s="190" t="n"/>
      <c r="C17" s="190" t="n"/>
      <c r="D17" s="190" t="n"/>
      <c r="E17" s="284" t="inlineStr">
        <is>
          <t>Monto Subsidio Total</t>
        </is>
      </c>
      <c r="F17" s="285" t="n"/>
      <c r="G17" s="190" t="n"/>
      <c r="H17" s="190" t="n"/>
    </row>
    <row r="18" ht="14.25" customHeight="1">
      <c r="B18" s="190" t="n"/>
      <c r="C18" s="190" t="n"/>
      <c r="D18" s="190" t="n"/>
      <c r="E18" s="52" t="inlineStr">
        <is>
          <t>Total 11.99</t>
        </is>
      </c>
      <c r="F18" s="191">
        <f>+'PLAN 12.99'!O2+'PLAN 12.99'!O6+'PLAN 12.99'!O7+'PLAN 12.99'!O20+'PLAN 12.99'!O21+'PLAN 12.99'!O22+'PLAN 12.99'!O23+'PLAN 12.99'!O24+'PLAN 12.99'!O25+'PLAN 12.99'!O26+'PLAN 12.99'!O27+'PLAN 12.99'!O28+'PLAN 12.99'!#REF!+'PLAN 12.99'!#REF!+'PLAN 12.99'!#REF!+'PLAN 12.99'!#REF!+'PLAN 12.99'!#REF!+'PLAN 12.99'!#REF!+'PLAN 12.99'!#REF!+'PLAN 12.99'!#REF!+'PLAN 12.99'!#REF!+'PLAN 12.99'!#REF!+'PLAN 12.99'!#REF!+'PLAN 12.99'!#REF!+'PLAN 12.99'!#REF!</f>
        <v/>
      </c>
      <c r="G18" s="190" t="n"/>
      <c r="H18" s="190" t="n"/>
    </row>
    <row r="19" ht="14.25" customHeight="1">
      <c r="E19" s="29" t="inlineStr">
        <is>
          <t>Total 25.99</t>
        </is>
      </c>
      <c r="F19" s="192">
        <f>+'PLAN 12.99'!O4+'PLAN 12.99'!O8+'PLAN 12.99'!O9+'PLAN 12.99'!O11+'PLAN 12.99'!O13+'PLAN 12.99'!O14+'PLAN 12.99'!#REF!+'PLAN 12.99'!#REF!+'PLAN 12.99'!#REF!+'PLAN 12.99'!#REF!+'PLAN 12.99'!#REF!+'PLAN 12.99'!#REF!+'PLAN 12.99'!#REF!+'PLAN 12.99'!#REF!</f>
        <v/>
      </c>
    </row>
    <row r="20" ht="14.25" customHeight="1">
      <c r="B20" s="190" t="n"/>
      <c r="C20" s="190" t="n"/>
      <c r="D20" s="190" t="n"/>
      <c r="E20" s="52" t="inlineStr">
        <is>
          <t>Total 34.99</t>
        </is>
      </c>
      <c r="F20" s="191">
        <f>+'PLAN 12.99'!O3+'PLAN 12.99'!O5+'PLAN 12.99'!O10+'PLAN 12.99'!O12+'PLAN 12.99'!O16+'PLAN 12.99'!#REF!+'PLAN 12.99'!O17+'PLAN 12.99'!O18+'PLAN 12.99'!#REF!+'PLAN 12.99'!#REF!+'PLAN 12.99'!#REF!+'PLAN 12.99'!#REF!+'PLAN 12.99'!#REF!+'PLAN 12.99'!#REF!+'PLAN 12.99'!#REF!+'PLAN 12.99'!#REF!+'PLAN 12.99'!#REF!+'PLAN 12.99'!#REF!+'PLAN 12.99'!#REF!+'PLAN 12.99'!#REF!+'PLAN 12.99'!#REF!</f>
        <v/>
      </c>
      <c r="G20" s="190" t="n"/>
      <c r="H20" s="190" t="n"/>
    </row>
    <row r="21" ht="14.25" customHeight="1">
      <c r="E21" s="29" t="inlineStr">
        <is>
          <t>Total 50.99</t>
        </is>
      </c>
      <c r="F21" s="192">
        <f>+'PLAN 12.99'!O19+'PLAN 12.99'!#REF!</f>
        <v/>
      </c>
    </row>
    <row r="22" ht="14.25" customHeight="1">
      <c r="B22" s="190" t="n"/>
      <c r="C22" s="190" t="n"/>
      <c r="D22" s="190" t="n"/>
      <c r="E22" s="193" t="inlineStr">
        <is>
          <t>TOTAL</t>
        </is>
      </c>
      <c r="F22" s="194">
        <f>+F18+F19+F20+F21</f>
        <v/>
      </c>
      <c r="G22" s="190" t="n"/>
      <c r="H22" s="195" t="inlineStr">
        <is>
          <t>Saldo</t>
        </is>
      </c>
    </row>
    <row r="23" ht="14.25" customHeight="1">
      <c r="B23" s="286" t="inlineStr">
        <is>
          <t>CARGO</t>
        </is>
      </c>
      <c r="C23" s="285" t="n"/>
      <c r="D23" s="196" t="inlineStr">
        <is>
          <t>MODELO</t>
        </is>
      </c>
      <c r="E23" s="196" t="inlineStr">
        <is>
          <t>PRECIO</t>
        </is>
      </c>
      <c r="F23" s="196" t="inlineStr">
        <is>
          <t>CANTIDAD</t>
        </is>
      </c>
      <c r="G23" s="197" t="inlineStr">
        <is>
          <t>TOTAL</t>
        </is>
      </c>
      <c r="H23" s="161">
        <f>+F22-G29</f>
        <v/>
      </c>
    </row>
    <row r="24" ht="14.25" customHeight="1">
      <c r="B24" s="287" t="inlineStr">
        <is>
          <t>GERENCIA</t>
        </is>
      </c>
      <c r="C24" s="285" t="n"/>
      <c r="D24" s="29" t="inlineStr">
        <is>
          <t>A30</t>
        </is>
      </c>
      <c r="E24" s="29" t="n">
        <v>235.84</v>
      </c>
      <c r="F24" s="29" t="n">
        <v>0</v>
      </c>
      <c r="G24" s="192">
        <f>+F24*E24</f>
        <v/>
      </c>
      <c r="H24" s="66" t="n"/>
    </row>
    <row r="25" ht="14.25" customHeight="1">
      <c r="B25" s="287" t="inlineStr">
        <is>
          <t>RESPONSABLE AREA</t>
        </is>
      </c>
      <c r="C25" s="285" t="n"/>
      <c r="D25" s="29" t="inlineStr">
        <is>
          <t>A20</t>
        </is>
      </c>
      <c r="E25" s="29" t="n">
        <v>184.63</v>
      </c>
      <c r="F25" s="29" t="n">
        <v>6</v>
      </c>
      <c r="G25" s="192">
        <f>+F25*E25</f>
        <v/>
      </c>
    </row>
    <row r="26" ht="14.25" customHeight="1">
      <c r="B26" s="287" t="inlineStr">
        <is>
          <t>RESPONSABLE AREA</t>
        </is>
      </c>
      <c r="C26" s="285" t="n"/>
      <c r="D26" s="29" t="inlineStr">
        <is>
          <t>Y7</t>
        </is>
      </c>
      <c r="E26" s="29" t="n">
        <v>175.07</v>
      </c>
      <c r="F26" s="29" t="n">
        <v>0</v>
      </c>
      <c r="G26" s="192">
        <f>+F26*E26</f>
        <v/>
      </c>
    </row>
    <row r="27" ht="14.25" customHeight="1">
      <c r="B27" s="198" t="n"/>
      <c r="C27" s="198" t="n"/>
      <c r="D27" s="199" t="inlineStr">
        <is>
          <t>J2 Core</t>
        </is>
      </c>
      <c r="E27" s="200" t="n">
        <v>91.79000000000001</v>
      </c>
      <c r="F27" s="200" t="n">
        <v>15</v>
      </c>
      <c r="G27" s="201">
        <f>+F27*E27</f>
        <v/>
      </c>
      <c r="H27" s="198" t="n"/>
    </row>
    <row r="28" ht="14.25" customHeight="1">
      <c r="B28" s="287" t="inlineStr">
        <is>
          <t>PERSONAL OPERATIVO</t>
        </is>
      </c>
      <c r="C28" s="285" t="n"/>
      <c r="D28" s="29" t="inlineStr">
        <is>
          <t>Y5</t>
        </is>
      </c>
      <c r="E28" s="29" t="n">
        <v>86.40000000000001</v>
      </c>
      <c r="F28" s="29" t="n">
        <v>1</v>
      </c>
      <c r="G28" s="192">
        <f>+F28*E28</f>
        <v/>
      </c>
    </row>
    <row r="29" ht="14.25" customHeight="1">
      <c r="F29" s="187" t="inlineStr">
        <is>
          <t>Total :</t>
        </is>
      </c>
      <c r="G29" s="202">
        <f>SUM(G24:G28)</f>
        <v/>
      </c>
    </row>
    <row r="30" ht="14.25" customHeight="1">
      <c r="B30" s="66" t="n"/>
      <c r="C30" s="66" t="n"/>
      <c r="D30" s="66" t="n"/>
      <c r="E30" s="66" t="n"/>
      <c r="F30" s="66" t="n"/>
      <c r="G30" s="66" t="n"/>
      <c r="H30" s="66" t="n"/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B24:C24"/>
    <mergeCell ref="B25:C25"/>
    <mergeCell ref="B28:C28"/>
    <mergeCell ref="B23:C23"/>
    <mergeCell ref="B26:C26"/>
    <mergeCell ref="E17:F17"/>
  </mergeCells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ColWidth="14.44140625" defaultRowHeight="15" customHeight="1"/>
  <cols>
    <col width="10.6640625" customWidth="1" min="1" max="3"/>
    <col width="16.44140625" customWidth="1" min="4" max="4"/>
    <col width="17.6640625" customWidth="1" min="5" max="5"/>
    <col width="10.6640625" customWidth="1" min="6" max="26"/>
  </cols>
  <sheetData>
    <row r="1" ht="14.25" customHeight="1">
      <c r="A1" s="203" t="inlineStr">
        <is>
          <t>Número</t>
        </is>
      </c>
      <c r="B1" s="204" t="inlineStr">
        <is>
          <t>Estado Contrato</t>
        </is>
      </c>
      <c r="C1" s="204" t="inlineStr">
        <is>
          <t>Fecha Activación</t>
        </is>
      </c>
      <c r="D1" s="204" t="inlineStr">
        <is>
          <t>Fecha Vencimiento</t>
        </is>
      </c>
      <c r="E1" s="205" t="inlineStr">
        <is>
          <t>Nombre PLAN</t>
        </is>
      </c>
    </row>
    <row r="2" ht="14.25" customHeight="1">
      <c r="A2" s="206" t="n">
        <v>50558707909</v>
      </c>
      <c r="B2" s="207" t="inlineStr">
        <is>
          <t>ACTIVO</t>
        </is>
      </c>
      <c r="C2" s="208" t="n">
        <v>43251</v>
      </c>
      <c r="D2" s="208" t="n">
        <v>43799</v>
      </c>
      <c r="E2" s="169" t="inlineStr">
        <is>
          <t>NIC PLAN $25.99 CC</t>
        </is>
      </c>
    </row>
    <row r="3" ht="14.25" customHeight="1">
      <c r="A3" s="206" t="n">
        <v>50558707913</v>
      </c>
      <c r="B3" s="207" t="inlineStr">
        <is>
          <t>ACTIVO</t>
        </is>
      </c>
      <c r="C3" s="208" t="n">
        <v>43251</v>
      </c>
      <c r="D3" s="208" t="n">
        <v>43799</v>
      </c>
      <c r="E3" s="169" t="inlineStr">
        <is>
          <t>NIC PLAN $25.99 CC</t>
        </is>
      </c>
    </row>
    <row r="4" ht="14.25" customHeight="1">
      <c r="A4" s="206" t="n">
        <v>50558707921</v>
      </c>
      <c r="B4" s="207" t="inlineStr">
        <is>
          <t>ACTIVO</t>
        </is>
      </c>
      <c r="C4" s="208" t="n">
        <v>43251</v>
      </c>
      <c r="D4" s="208" t="n">
        <v>43799</v>
      </c>
      <c r="E4" s="169" t="inlineStr">
        <is>
          <t>NIC PLAN $25.99 CC</t>
        </is>
      </c>
    </row>
    <row r="5" ht="14.25" customHeight="1">
      <c r="A5" s="206" t="n">
        <v>50558707923</v>
      </c>
      <c r="B5" s="207" t="inlineStr">
        <is>
          <t>ACTIVO</t>
        </is>
      </c>
      <c r="C5" s="208" t="n">
        <v>43251</v>
      </c>
      <c r="D5" s="208" t="n">
        <v>43799</v>
      </c>
      <c r="E5" s="169" t="inlineStr">
        <is>
          <t>NIC PLAN $25.99 CC</t>
        </is>
      </c>
    </row>
    <row r="6" ht="14.25" customHeight="1">
      <c r="A6" s="206" t="n">
        <v>50558707931</v>
      </c>
      <c r="B6" s="207" t="inlineStr">
        <is>
          <t>ACTIVO</t>
        </is>
      </c>
      <c r="C6" s="208" t="n">
        <v>43251</v>
      </c>
      <c r="D6" s="208" t="n">
        <v>43799</v>
      </c>
      <c r="E6" s="169" t="inlineStr">
        <is>
          <t>NIC PLAN $25.99 CC</t>
        </is>
      </c>
    </row>
    <row r="7" ht="14.25" customHeight="1">
      <c r="A7" s="206" t="n">
        <v>50558707940</v>
      </c>
      <c r="B7" s="207" t="inlineStr">
        <is>
          <t>ACTIVO</t>
        </is>
      </c>
      <c r="C7" s="208" t="n">
        <v>43251</v>
      </c>
      <c r="D7" s="208" t="n">
        <v>43799</v>
      </c>
      <c r="E7" s="169" t="inlineStr">
        <is>
          <t>NIC PLAN $25.99 CC</t>
        </is>
      </c>
    </row>
    <row r="8" ht="14.25" customHeight="1">
      <c r="A8" s="206" t="n">
        <v>50558707966</v>
      </c>
      <c r="B8" s="207" t="inlineStr">
        <is>
          <t>ACTIVO</t>
        </is>
      </c>
      <c r="C8" s="208" t="n">
        <v>43251</v>
      </c>
      <c r="D8" s="208" t="n">
        <v>43799</v>
      </c>
      <c r="E8" s="169" t="inlineStr">
        <is>
          <t>NIC PLAN $25.99 CC</t>
        </is>
      </c>
    </row>
    <row r="9" ht="14.25" customHeight="1">
      <c r="A9" s="206" t="n">
        <v>50558707972</v>
      </c>
      <c r="B9" s="207" t="inlineStr">
        <is>
          <t>ACTIVO</t>
        </is>
      </c>
      <c r="C9" s="208" t="n">
        <v>43251</v>
      </c>
      <c r="D9" s="208" t="n">
        <v>43799</v>
      </c>
      <c r="E9" s="169" t="inlineStr">
        <is>
          <t>NIC PLAN $25.99 CC</t>
        </is>
      </c>
    </row>
    <row r="10" ht="14.25" customHeight="1">
      <c r="A10" s="206" t="n">
        <v>50558707984</v>
      </c>
      <c r="B10" s="207" t="inlineStr">
        <is>
          <t>ACTIVO</t>
        </is>
      </c>
      <c r="C10" s="208" t="n">
        <v>43251</v>
      </c>
      <c r="D10" s="208" t="n">
        <v>43799</v>
      </c>
      <c r="E10" s="169" t="inlineStr">
        <is>
          <t>NIC PLAN $25.99 CC</t>
        </is>
      </c>
    </row>
    <row r="11" ht="14.25" customHeight="1">
      <c r="A11" s="206" t="n">
        <v>50558707994</v>
      </c>
      <c r="B11" s="207" t="inlineStr">
        <is>
          <t>ACTIVO</t>
        </is>
      </c>
      <c r="C11" s="208" t="n">
        <v>43251</v>
      </c>
      <c r="D11" s="208" t="n">
        <v>43799</v>
      </c>
      <c r="E11" s="169" t="inlineStr">
        <is>
          <t>NIC PLAN $25.99 CC</t>
        </is>
      </c>
    </row>
    <row r="12" ht="14.25" customHeight="1">
      <c r="A12" s="206" t="n">
        <v>50558708006</v>
      </c>
      <c r="B12" s="207" t="inlineStr">
        <is>
          <t>ACTIVO</t>
        </is>
      </c>
      <c r="C12" s="208" t="n">
        <v>43251</v>
      </c>
      <c r="D12" s="208" t="n">
        <v>43799</v>
      </c>
      <c r="E12" s="169" t="inlineStr">
        <is>
          <t>NIC PLAN $25.99 CC</t>
        </is>
      </c>
    </row>
    <row r="13" ht="14.25" customHeight="1">
      <c r="A13" s="206" t="n">
        <v>50558708017</v>
      </c>
      <c r="B13" s="207" t="inlineStr">
        <is>
          <t>ACTIVO</t>
        </is>
      </c>
      <c r="C13" s="208" t="n">
        <v>43251</v>
      </c>
      <c r="D13" s="208" t="n">
        <v>43799</v>
      </c>
      <c r="E13" s="169" t="inlineStr">
        <is>
          <t>NIC PLAN $25.99 CC</t>
        </is>
      </c>
    </row>
    <row r="14" ht="14.25" customHeight="1">
      <c r="A14" s="206" t="n">
        <v>50558708031</v>
      </c>
      <c r="B14" s="207" t="inlineStr">
        <is>
          <t>ACTIVO</t>
        </is>
      </c>
      <c r="C14" s="208" t="n">
        <v>43251</v>
      </c>
      <c r="D14" s="208" t="n">
        <v>43799</v>
      </c>
      <c r="E14" s="169" t="inlineStr">
        <is>
          <t>NIC PLAN $25.99 CC</t>
        </is>
      </c>
    </row>
    <row r="15" ht="14.25" customHeight="1">
      <c r="A15" s="206" t="n">
        <v>50558708057</v>
      </c>
      <c r="B15" s="207" t="inlineStr">
        <is>
          <t>ACTIVO</t>
        </is>
      </c>
      <c r="C15" s="208" t="n">
        <v>43251</v>
      </c>
      <c r="D15" s="208" t="n">
        <v>43799</v>
      </c>
      <c r="E15" s="169" t="inlineStr">
        <is>
          <t>NIC PLAN $25.99 CC</t>
        </is>
      </c>
    </row>
    <row r="16" ht="14.25" customHeight="1">
      <c r="A16" s="206" t="n">
        <v>50558708058</v>
      </c>
      <c r="B16" s="207" t="inlineStr">
        <is>
          <t>ACTIVO</t>
        </is>
      </c>
      <c r="C16" s="208" t="n">
        <v>43251</v>
      </c>
      <c r="D16" s="208" t="n">
        <v>43799</v>
      </c>
      <c r="E16" s="169" t="inlineStr">
        <is>
          <t>NIC PLAN $25.99 CC</t>
        </is>
      </c>
    </row>
    <row r="17" ht="14.25" customHeight="1">
      <c r="A17" s="206" t="n">
        <v>50558708063</v>
      </c>
      <c r="B17" s="207" t="inlineStr">
        <is>
          <t>ACTIVO</t>
        </is>
      </c>
      <c r="C17" s="208" t="n">
        <v>43251</v>
      </c>
      <c r="D17" s="208" t="n">
        <v>43799</v>
      </c>
      <c r="E17" s="169" t="inlineStr">
        <is>
          <t>NIC PLAN $25.99 CC</t>
        </is>
      </c>
    </row>
    <row r="18" ht="14.25" customHeight="1">
      <c r="A18" s="206" t="n">
        <v>50558708065</v>
      </c>
      <c r="B18" s="207" t="inlineStr">
        <is>
          <t>ACTIVO</t>
        </is>
      </c>
      <c r="C18" s="208" t="n">
        <v>43251</v>
      </c>
      <c r="D18" s="208" t="n">
        <v>43799</v>
      </c>
      <c r="E18" s="169" t="inlineStr">
        <is>
          <t>NIC PLAN $25.99 CC</t>
        </is>
      </c>
    </row>
    <row r="19" ht="14.25" customHeight="1">
      <c r="A19" s="206" t="n">
        <v>50558708199</v>
      </c>
      <c r="B19" s="207" t="inlineStr">
        <is>
          <t>ACTIVO</t>
        </is>
      </c>
      <c r="C19" s="208" t="n">
        <v>43251</v>
      </c>
      <c r="D19" s="208" t="n">
        <v>43799</v>
      </c>
      <c r="E19" s="169" t="inlineStr">
        <is>
          <t>NIC PLAN $50.99</t>
        </is>
      </c>
    </row>
    <row r="20" ht="14.25" customHeight="1">
      <c r="A20" s="206" t="n">
        <v>50558708230</v>
      </c>
      <c r="B20" s="207" t="inlineStr">
        <is>
          <t>ACTIVO</t>
        </is>
      </c>
      <c r="C20" s="208" t="n">
        <v>43251</v>
      </c>
      <c r="D20" s="208" t="n">
        <v>43799</v>
      </c>
      <c r="E20" s="169" t="inlineStr">
        <is>
          <t>NIC PLAN $50.99</t>
        </is>
      </c>
    </row>
    <row r="21" ht="14.25" customHeight="1">
      <c r="A21" s="206" t="n">
        <v>50558708255</v>
      </c>
      <c r="B21" s="207" t="inlineStr">
        <is>
          <t>ACTIVO</t>
        </is>
      </c>
      <c r="C21" s="208" t="n">
        <v>43251</v>
      </c>
      <c r="D21" s="208" t="n">
        <v>43799</v>
      </c>
      <c r="E21" s="169" t="inlineStr">
        <is>
          <t>NIC PLAN $50.99</t>
        </is>
      </c>
    </row>
    <row r="22" ht="14.25" customHeight="1">
      <c r="A22" s="206" t="n">
        <v>50558710676</v>
      </c>
      <c r="B22" s="207" t="inlineStr">
        <is>
          <t>ACTIVO</t>
        </is>
      </c>
      <c r="C22" s="208" t="n">
        <v>43251</v>
      </c>
      <c r="D22" s="208" t="n">
        <v>43799</v>
      </c>
      <c r="E22" s="169" t="inlineStr">
        <is>
          <t>Plan Claro Ilimitado Corp 1</t>
        </is>
      </c>
    </row>
    <row r="23" ht="14.25" customHeight="1">
      <c r="A23" s="206" t="n">
        <v>50558710683</v>
      </c>
      <c r="B23" s="207" t="inlineStr">
        <is>
          <t>ACTIVO</t>
        </is>
      </c>
      <c r="C23" s="208" t="n">
        <v>43251</v>
      </c>
      <c r="D23" s="208" t="n">
        <v>43799</v>
      </c>
      <c r="E23" s="169" t="inlineStr">
        <is>
          <t>Plan Claro Ilimitado Corp 1</t>
        </is>
      </c>
    </row>
    <row r="24" ht="14.25" customHeight="1">
      <c r="A24" s="206" t="n">
        <v>50558710705</v>
      </c>
      <c r="B24" s="207" t="inlineStr">
        <is>
          <t>ACTIVO</t>
        </is>
      </c>
      <c r="C24" s="208" t="n">
        <v>43251</v>
      </c>
      <c r="D24" s="208" t="n">
        <v>43799</v>
      </c>
      <c r="E24" s="169" t="inlineStr">
        <is>
          <t>Plan Claro Ilimitado Corp 1</t>
        </is>
      </c>
    </row>
    <row r="25" ht="14.25" customHeight="1">
      <c r="A25" s="206" t="n">
        <v>50558710712</v>
      </c>
      <c r="B25" s="207" t="inlineStr">
        <is>
          <t>ACTIVO</t>
        </is>
      </c>
      <c r="C25" s="208" t="n">
        <v>43251</v>
      </c>
      <c r="D25" s="208" t="n">
        <v>43799</v>
      </c>
      <c r="E25" s="169" t="inlineStr">
        <is>
          <t>Plan Claro Ilimitado Corp 1</t>
        </is>
      </c>
    </row>
    <row r="26" ht="14.25" customHeight="1">
      <c r="A26" s="206" t="n">
        <v>50558710729</v>
      </c>
      <c r="B26" s="207" t="inlineStr">
        <is>
          <t>ACTIVO</t>
        </is>
      </c>
      <c r="C26" s="208" t="n">
        <v>43251</v>
      </c>
      <c r="D26" s="208" t="n">
        <v>43799</v>
      </c>
      <c r="E26" s="169" t="inlineStr">
        <is>
          <t>Plan Claro Ilimitado Corp 1</t>
        </is>
      </c>
    </row>
    <row r="27" ht="14.25" customHeight="1">
      <c r="A27" s="206" t="n">
        <v>50558710736</v>
      </c>
      <c r="B27" s="207" t="inlineStr">
        <is>
          <t>ACTIVO</t>
        </is>
      </c>
      <c r="C27" s="208" t="n">
        <v>43251</v>
      </c>
      <c r="D27" s="208" t="n">
        <v>43799</v>
      </c>
      <c r="E27" s="169" t="inlineStr">
        <is>
          <t>Plan Claro Ilimitado Corp 1</t>
        </is>
      </c>
    </row>
    <row r="28" ht="14.25" customHeight="1">
      <c r="A28" s="206" t="n">
        <v>50558710744</v>
      </c>
      <c r="B28" s="207" t="inlineStr">
        <is>
          <t>ACTIVO</t>
        </is>
      </c>
      <c r="C28" s="208" t="n">
        <v>43251</v>
      </c>
      <c r="D28" s="208" t="n">
        <v>43799</v>
      </c>
      <c r="E28" s="169" t="inlineStr">
        <is>
          <t>Plan Claro Ilimitado Corp 1</t>
        </is>
      </c>
    </row>
    <row r="29" ht="14.25" customHeight="1">
      <c r="A29" s="206" t="n">
        <v>50558710746</v>
      </c>
      <c r="B29" s="207" t="inlineStr">
        <is>
          <t>ACTIVO</t>
        </is>
      </c>
      <c r="C29" s="208" t="n">
        <v>43251</v>
      </c>
      <c r="D29" s="208" t="n">
        <v>43799</v>
      </c>
      <c r="E29" s="169" t="inlineStr">
        <is>
          <t>Plan Claro Ilimitado Corp 1</t>
        </is>
      </c>
    </row>
    <row r="30" ht="14.25" customHeight="1">
      <c r="A30" s="206" t="n">
        <v>50558710758</v>
      </c>
      <c r="B30" s="207" t="inlineStr">
        <is>
          <t>ACTIVO</t>
        </is>
      </c>
      <c r="C30" s="208" t="n">
        <v>43251</v>
      </c>
      <c r="D30" s="208" t="n">
        <v>43799</v>
      </c>
      <c r="E30" s="169" t="inlineStr">
        <is>
          <t>Plan Claro Ilimitado Corp 1</t>
        </is>
      </c>
    </row>
    <row r="31" ht="14.25" customHeight="1">
      <c r="A31" s="206" t="n">
        <v>50558710760</v>
      </c>
      <c r="B31" s="207" t="inlineStr">
        <is>
          <t>ACTIVO</t>
        </is>
      </c>
      <c r="C31" s="208" t="n">
        <v>43251</v>
      </c>
      <c r="D31" s="208" t="n">
        <v>43799</v>
      </c>
      <c r="E31" s="169" t="inlineStr">
        <is>
          <t>Plan Claro Ilimitado Corp 1</t>
        </is>
      </c>
    </row>
    <row r="32" ht="14.25" customHeight="1">
      <c r="A32" s="206" t="n">
        <v>50558710761</v>
      </c>
      <c r="B32" s="207" t="inlineStr">
        <is>
          <t>ACTIVO</t>
        </is>
      </c>
      <c r="C32" s="208" t="n">
        <v>43251</v>
      </c>
      <c r="D32" s="208" t="n">
        <v>43799</v>
      </c>
      <c r="E32" s="169" t="inlineStr">
        <is>
          <t>Plan Claro Ilimitado Corp 1</t>
        </is>
      </c>
    </row>
    <row r="33" ht="14.25" customHeight="1">
      <c r="A33" s="206" t="n">
        <v>50558710764</v>
      </c>
      <c r="B33" s="207" t="inlineStr">
        <is>
          <t>ACTIVO</t>
        </is>
      </c>
      <c r="C33" s="208" t="n">
        <v>43251</v>
      </c>
      <c r="D33" s="208" t="n">
        <v>43799</v>
      </c>
      <c r="E33" s="169" t="inlineStr">
        <is>
          <t>Plan Claro Ilimitado Corp 1</t>
        </is>
      </c>
    </row>
    <row r="34" ht="14.25" customHeight="1">
      <c r="A34" s="206" t="n">
        <v>50558710776</v>
      </c>
      <c r="B34" s="207" t="inlineStr">
        <is>
          <t>ACTIVO</t>
        </is>
      </c>
      <c r="C34" s="208" t="n">
        <v>43251</v>
      </c>
      <c r="D34" s="208" t="n">
        <v>43799</v>
      </c>
      <c r="E34" s="169" t="inlineStr">
        <is>
          <t>Plan Claro Ilimitado Corp 1</t>
        </is>
      </c>
    </row>
    <row r="35" ht="14.25" customHeight="1">
      <c r="A35" s="206" t="n">
        <v>50558710778</v>
      </c>
      <c r="B35" s="207" t="inlineStr">
        <is>
          <t>ACTIVO</t>
        </is>
      </c>
      <c r="C35" s="208" t="n">
        <v>43251</v>
      </c>
      <c r="D35" s="208" t="n">
        <v>43799</v>
      </c>
      <c r="E35" s="169" t="inlineStr">
        <is>
          <t>Plan Claro Ilimitado Corp 1</t>
        </is>
      </c>
    </row>
    <row r="36" ht="14.25" customHeight="1">
      <c r="A36" s="206" t="n">
        <v>50558710793</v>
      </c>
      <c r="B36" s="207" t="inlineStr">
        <is>
          <t>ACTIVO</t>
        </is>
      </c>
      <c r="C36" s="208" t="n">
        <v>43251</v>
      </c>
      <c r="D36" s="208" t="n">
        <v>43799</v>
      </c>
      <c r="E36" s="169" t="inlineStr">
        <is>
          <t>Plan Claro Ilimitado Corp 1</t>
        </is>
      </c>
    </row>
    <row r="37" ht="14.25" customHeight="1">
      <c r="A37" s="206" t="n">
        <v>50558710798</v>
      </c>
      <c r="B37" s="207" t="inlineStr">
        <is>
          <t>ACTIVO</t>
        </is>
      </c>
      <c r="C37" s="208" t="n">
        <v>43251</v>
      </c>
      <c r="D37" s="208" t="n">
        <v>43799</v>
      </c>
      <c r="E37" s="169" t="inlineStr">
        <is>
          <t>Plan Claro Ilimitado Corp 1</t>
        </is>
      </c>
    </row>
    <row r="38" ht="14.25" customHeight="1">
      <c r="A38" s="206" t="n">
        <v>50558710811</v>
      </c>
      <c r="B38" s="207" t="inlineStr">
        <is>
          <t>ACTIVO</t>
        </is>
      </c>
      <c r="C38" s="208" t="n">
        <v>43251</v>
      </c>
      <c r="D38" s="208" t="n">
        <v>43799</v>
      </c>
      <c r="E38" s="169" t="inlineStr">
        <is>
          <t>Plan Claro Ilimitado Corp 1</t>
        </is>
      </c>
    </row>
    <row r="39" ht="14.25" customHeight="1">
      <c r="A39" s="206" t="n">
        <v>50558710830</v>
      </c>
      <c r="B39" s="207" t="inlineStr">
        <is>
          <t>ACTIVO</t>
        </is>
      </c>
      <c r="C39" s="208" t="n">
        <v>43251</v>
      </c>
      <c r="D39" s="208" t="n">
        <v>43799</v>
      </c>
      <c r="E39" s="169" t="inlineStr">
        <is>
          <t>Plan Claro Ilimitado Corp 1</t>
        </is>
      </c>
    </row>
    <row r="40" ht="14.25" customHeight="1">
      <c r="A40" s="206" t="n">
        <v>50558710840</v>
      </c>
      <c r="B40" s="207" t="inlineStr">
        <is>
          <t>ACTIVO</t>
        </is>
      </c>
      <c r="C40" s="208" t="n">
        <v>43251</v>
      </c>
      <c r="D40" s="208" t="n">
        <v>43799</v>
      </c>
      <c r="E40" s="169" t="inlineStr">
        <is>
          <t>Plan Claro Ilimitado Corp 1</t>
        </is>
      </c>
    </row>
    <row r="41" ht="14.25" customHeight="1">
      <c r="A41" s="206" t="n">
        <v>50558710844</v>
      </c>
      <c r="B41" s="207" t="inlineStr">
        <is>
          <t>ACTIVO</t>
        </is>
      </c>
      <c r="C41" s="208" t="n">
        <v>43251</v>
      </c>
      <c r="D41" s="208" t="n">
        <v>43799</v>
      </c>
      <c r="E41" s="169" t="inlineStr">
        <is>
          <t>Plan Claro Ilimitado Corp 1</t>
        </is>
      </c>
    </row>
    <row r="42" ht="14.25" customHeight="1">
      <c r="A42" s="206" t="n">
        <v>50558710851</v>
      </c>
      <c r="B42" s="207" t="inlineStr">
        <is>
          <t>ACTIVO</t>
        </is>
      </c>
      <c r="C42" s="208" t="n">
        <v>43251</v>
      </c>
      <c r="D42" s="208" t="n">
        <v>43799</v>
      </c>
      <c r="E42" s="169" t="inlineStr">
        <is>
          <t>NIC PLAN $34.99 CC</t>
        </is>
      </c>
    </row>
    <row r="43" ht="14.25" customHeight="1">
      <c r="A43" s="206" t="n">
        <v>50558710882</v>
      </c>
      <c r="B43" s="207" t="inlineStr">
        <is>
          <t>ACTIVO</t>
        </is>
      </c>
      <c r="C43" s="208" t="n">
        <v>43251</v>
      </c>
      <c r="D43" s="208" t="n">
        <v>43799</v>
      </c>
      <c r="E43" s="169" t="inlineStr">
        <is>
          <t>NIC PLAN $34.99 CC</t>
        </is>
      </c>
    </row>
    <row r="44" ht="14.25" customHeight="1">
      <c r="A44" s="206" t="n">
        <v>50558710889</v>
      </c>
      <c r="B44" s="207" t="inlineStr">
        <is>
          <t>ACTIVO</t>
        </is>
      </c>
      <c r="C44" s="208" t="n">
        <v>43251</v>
      </c>
      <c r="D44" s="208" t="n">
        <v>43799</v>
      </c>
      <c r="E44" s="169" t="inlineStr">
        <is>
          <t>NIC PLAN $34.99 CC</t>
        </is>
      </c>
    </row>
    <row r="45" ht="14.25" customHeight="1">
      <c r="A45" s="206" t="n">
        <v>50558710904</v>
      </c>
      <c r="B45" s="207" t="inlineStr">
        <is>
          <t>ACTIVO</t>
        </is>
      </c>
      <c r="C45" s="208" t="n">
        <v>43251</v>
      </c>
      <c r="D45" s="208" t="n">
        <v>43799</v>
      </c>
      <c r="E45" s="169" t="inlineStr">
        <is>
          <t>NIC PLAN $34.99 CC</t>
        </is>
      </c>
    </row>
    <row r="46" ht="14.25" customHeight="1">
      <c r="A46" s="206" t="n">
        <v>50558710910</v>
      </c>
      <c r="B46" s="207" t="inlineStr">
        <is>
          <t>ACTIVO</t>
        </is>
      </c>
      <c r="C46" s="208" t="n">
        <v>43251</v>
      </c>
      <c r="D46" s="208" t="n">
        <v>43799</v>
      </c>
      <c r="E46" s="169" t="inlineStr">
        <is>
          <t>NIC PLAN $34.99 CC</t>
        </is>
      </c>
    </row>
    <row r="47" ht="14.25" customHeight="1">
      <c r="A47" s="206" t="n">
        <v>50558710913</v>
      </c>
      <c r="B47" s="207" t="inlineStr">
        <is>
          <t>ACTIVO</t>
        </is>
      </c>
      <c r="C47" s="208" t="n">
        <v>43251</v>
      </c>
      <c r="D47" s="208" t="n">
        <v>43799</v>
      </c>
      <c r="E47" s="169" t="inlineStr">
        <is>
          <t>NIC PLAN $34.99 CC</t>
        </is>
      </c>
    </row>
    <row r="48" ht="14.25" customHeight="1">
      <c r="A48" s="206" t="n">
        <v>50558710930</v>
      </c>
      <c r="B48" s="207" t="inlineStr">
        <is>
          <t>ACTIVO</t>
        </is>
      </c>
      <c r="C48" s="208" t="n">
        <v>43251</v>
      </c>
      <c r="D48" s="208" t="n">
        <v>43799</v>
      </c>
      <c r="E48" s="169" t="inlineStr">
        <is>
          <t>NIC PLAN $34.99 CC</t>
        </is>
      </c>
    </row>
    <row r="49" ht="14.25" customHeight="1">
      <c r="A49" s="206" t="n">
        <v>50558710951</v>
      </c>
      <c r="B49" s="207" t="inlineStr">
        <is>
          <t>ACTIVO</t>
        </is>
      </c>
      <c r="C49" s="208" t="n">
        <v>43251</v>
      </c>
      <c r="D49" s="208" t="n">
        <v>43799</v>
      </c>
      <c r="E49" s="169" t="inlineStr">
        <is>
          <t>NIC PLAN $34.99 CC</t>
        </is>
      </c>
    </row>
    <row r="50" ht="14.25" customHeight="1">
      <c r="A50" s="206" t="n">
        <v>50558710959</v>
      </c>
      <c r="B50" s="207" t="inlineStr">
        <is>
          <t>ACTIVO</t>
        </is>
      </c>
      <c r="C50" s="208" t="n">
        <v>43251</v>
      </c>
      <c r="D50" s="208" t="n">
        <v>43799</v>
      </c>
      <c r="E50" s="169" t="inlineStr">
        <is>
          <t>NIC PLAN $34.99 CC</t>
        </is>
      </c>
    </row>
    <row r="51" ht="14.25" customHeight="1">
      <c r="A51" s="206" t="n">
        <v>50558710960</v>
      </c>
      <c r="B51" s="207" t="inlineStr">
        <is>
          <t>ACTIVO</t>
        </is>
      </c>
      <c r="C51" s="208" t="n">
        <v>43251</v>
      </c>
      <c r="D51" s="208" t="n">
        <v>43799</v>
      </c>
      <c r="E51" s="169" t="inlineStr">
        <is>
          <t>NIC PLAN $34.99 CC</t>
        </is>
      </c>
    </row>
    <row r="52" ht="14.25" customHeight="1">
      <c r="A52" s="206" t="n">
        <v>50558711015</v>
      </c>
      <c r="B52" s="207" t="inlineStr">
        <is>
          <t>ACTIVO</t>
        </is>
      </c>
      <c r="C52" s="208" t="n">
        <v>43251</v>
      </c>
      <c r="D52" s="208" t="n">
        <v>43799</v>
      </c>
      <c r="E52" s="169" t="inlineStr">
        <is>
          <t>NIC PLAN $34.99 CC</t>
        </is>
      </c>
    </row>
    <row r="53" ht="14.25" customHeight="1">
      <c r="A53" s="206" t="n">
        <v>50558711022</v>
      </c>
      <c r="B53" s="207" t="inlineStr">
        <is>
          <t>ACTIVO</t>
        </is>
      </c>
      <c r="C53" s="208" t="n">
        <v>43251</v>
      </c>
      <c r="D53" s="208" t="n">
        <v>43799</v>
      </c>
      <c r="E53" s="169" t="inlineStr">
        <is>
          <t>NIC PLAN $34.99 CC</t>
        </is>
      </c>
    </row>
    <row r="54" ht="14.25" customHeight="1">
      <c r="A54" s="206" t="n">
        <v>50558711024</v>
      </c>
      <c r="B54" s="207" t="inlineStr">
        <is>
          <t>ACTIVO</t>
        </is>
      </c>
      <c r="C54" s="208" t="n">
        <v>43251</v>
      </c>
      <c r="D54" s="208" t="n">
        <v>43799</v>
      </c>
      <c r="E54" s="169" t="inlineStr">
        <is>
          <t>NIC PLAN $34.99 CC</t>
        </is>
      </c>
    </row>
    <row r="55" ht="14.25" customHeight="1">
      <c r="A55" s="206" t="n">
        <v>50558711029</v>
      </c>
      <c r="B55" s="207" t="inlineStr">
        <is>
          <t>ACTIVO</t>
        </is>
      </c>
      <c r="C55" s="208" t="n">
        <v>43251</v>
      </c>
      <c r="D55" s="208" t="n">
        <v>43799</v>
      </c>
      <c r="E55" s="169" t="inlineStr">
        <is>
          <t>NIC PLAN $34.99 CC</t>
        </is>
      </c>
    </row>
    <row r="56" ht="14.25" customHeight="1">
      <c r="A56" s="206" t="n">
        <v>50558711040</v>
      </c>
      <c r="B56" s="207" t="inlineStr">
        <is>
          <t>ACTIVO</t>
        </is>
      </c>
      <c r="C56" s="208" t="n">
        <v>43251</v>
      </c>
      <c r="D56" s="208" t="n">
        <v>43799</v>
      </c>
      <c r="E56" s="169" t="inlineStr">
        <is>
          <t>NIC PLAN $34.99 CC</t>
        </is>
      </c>
    </row>
    <row r="57" ht="14.25" customHeight="1">
      <c r="A57" s="206" t="inlineStr">
        <is>
          <t xml:space="preserve">50558711058 </t>
        </is>
      </c>
      <c r="B57" s="207" t="inlineStr">
        <is>
          <t>ACTIVO</t>
        </is>
      </c>
      <c r="C57" s="208" t="n">
        <v>43251</v>
      </c>
      <c r="D57" s="208" t="n">
        <v>43799</v>
      </c>
      <c r="E57" s="169" t="inlineStr">
        <is>
          <t>NIC PLAN $34.99 CC</t>
        </is>
      </c>
    </row>
    <row r="58" ht="14.25" customHeight="1">
      <c r="A58" s="206" t="n">
        <v>50558711064</v>
      </c>
      <c r="B58" s="207" t="inlineStr">
        <is>
          <t>ACTIVO</t>
        </is>
      </c>
      <c r="C58" s="208" t="n">
        <v>43251</v>
      </c>
      <c r="D58" s="208" t="n">
        <v>43799</v>
      </c>
      <c r="E58" s="169" t="inlineStr">
        <is>
          <t>NIC PLAN $34.99 CC</t>
        </is>
      </c>
    </row>
    <row r="59" ht="14.25" customHeight="1">
      <c r="A59" s="206" t="n">
        <v>50558711067</v>
      </c>
      <c r="B59" s="207" t="inlineStr">
        <is>
          <t>ACTIVO</t>
        </is>
      </c>
      <c r="C59" s="208" t="n">
        <v>43251</v>
      </c>
      <c r="D59" s="208" t="n">
        <v>43799</v>
      </c>
      <c r="E59" s="169" t="inlineStr">
        <is>
          <t>NIC PLAN $34.99 CC</t>
        </is>
      </c>
    </row>
    <row r="60" ht="14.25" customHeight="1">
      <c r="A60" s="206" t="n">
        <v>50558711075</v>
      </c>
      <c r="B60" s="207" t="inlineStr">
        <is>
          <t>ACTIVO</t>
        </is>
      </c>
      <c r="C60" s="208" t="n">
        <v>43251</v>
      </c>
      <c r="D60" s="208" t="n">
        <v>43799</v>
      </c>
      <c r="E60" s="169" t="inlineStr">
        <is>
          <t>NIC PLAN $34.99 CC</t>
        </is>
      </c>
    </row>
    <row r="61" ht="14.25" customHeight="1">
      <c r="A61" s="206" t="n">
        <v>50558711092</v>
      </c>
      <c r="B61" s="207" t="inlineStr">
        <is>
          <t>ACTIVO</t>
        </is>
      </c>
      <c r="C61" s="208" t="n">
        <v>43251</v>
      </c>
      <c r="D61" s="208" t="n">
        <v>43799</v>
      </c>
      <c r="E61" s="169" t="inlineStr">
        <is>
          <t>NIC PLAN $34.99 CC</t>
        </is>
      </c>
    </row>
    <row r="62" ht="14.25" customHeight="1">
      <c r="A62" s="206" t="n">
        <v>50558711106</v>
      </c>
      <c r="B62" s="207" t="inlineStr">
        <is>
          <t>ACTIVO</t>
        </is>
      </c>
      <c r="C62" s="208" t="n">
        <v>43251</v>
      </c>
      <c r="D62" s="208" t="n">
        <v>43799</v>
      </c>
      <c r="E62" s="169" t="inlineStr">
        <is>
          <t>NIC PLAN $34.99 CC</t>
        </is>
      </c>
    </row>
    <row r="63" ht="14.25" customHeight="1">
      <c r="A63" s="206" t="n">
        <v>50586145777</v>
      </c>
      <c r="B63" s="207" t="inlineStr">
        <is>
          <t>ACTIVO</t>
        </is>
      </c>
      <c r="C63" s="208" t="n">
        <v>43251</v>
      </c>
      <c r="D63" s="208" t="n">
        <v>43799</v>
      </c>
      <c r="E63" s="169" t="inlineStr">
        <is>
          <t>NIC PLAN $50.99</t>
        </is>
      </c>
    </row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1:A1000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Contabilidad</dc:creator>
  <dcterms:created xmlns:dcterms="http://purl.org/dc/terms/" xmlns:xsi="http://www.w3.org/2001/XMLSchema-instance" xsi:type="dcterms:W3CDTF">2019-11-27T21:10:53Z</dcterms:created>
  <dcterms:modified xmlns:dcterms="http://purl.org/dc/terms/" xmlns:xsi="http://www.w3.org/2001/XMLSchema-instance" xsi:type="dcterms:W3CDTF">2026-02-09T14:18:09Z</dcterms:modified>
  <cp:lastModifiedBy>Miuller Rivera</cp:lastModifiedBy>
</cp:coreProperties>
</file>